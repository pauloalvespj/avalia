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📥 Respostas" sheetId="1" state="visible" r:id="rId3"/>
    <sheet name="⚙️ Config" sheetId="2" state="visible" r:id="rId4"/>
    <sheet name="🔢 Cálculo" sheetId="3" state="visible" r:id="rId5"/>
    <sheet name="📊 Risco por Setor" sheetId="4" state="visible" r:id="rId6"/>
    <sheet name="🔍 Detalhe por Questão" sheetId="5" state="visible" r:id="rId7"/>
    <sheet name="📋 Plano de Ação" sheetId="6" state="visible" r:id="rId8"/>
    <sheet name="📌 Legend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<sst xmlns="http://schemas.openxmlformats.org/spreadsheetml/2006/main" count="2767" uniqueCount="344">
  <si>
    <t xml:space="preserve">📥 RESPOSTAS – Cole aqui os dados exportados do formulário</t>
  </si>
  <si>
    <t xml:space="preserve">Cole a partir da célula A3 incluindo os cabeçalhos. Setor deve estar na coluna D. Escala: Sempre / Frequentemente / Às vezes / Raramente / Nunca/Quase nunca</t>
  </si>
  <si>
    <t xml:space="preserve">Carimbo data/hora</t>
  </si>
  <si>
    <t xml:space="preserve">Pontuação</t>
  </si>
  <si>
    <t xml:space="preserve">Cargo / Função</t>
  </si>
  <si>
    <t xml:space="preserve">Setor</t>
  </si>
  <si>
    <t xml:space="preserve">Tempo na empresa</t>
  </si>
  <si>
    <t xml:space="preserve">Horas semanais</t>
  </si>
  <si>
    <t xml:space="preserve">Carga de trabalho mal distribuída</t>
  </si>
  <si>
    <t xml:space="preserve">Sem tempo para completar tarefas</t>
  </si>
  <si>
    <t xml:space="preserve">Necessidade de trabalhar rapidamente</t>
  </si>
  <si>
    <t xml:space="preserve">Trabalho exige atenção constante</t>
  </si>
  <si>
    <t xml:space="preserve">Trabalho exige decisões difíceis</t>
  </si>
  <si>
    <t xml:space="preserve">Trabalho exige emocionalmente</t>
  </si>
  <si>
    <t xml:space="preserve">Grau de influência no trabalho</t>
  </si>
  <si>
    <t xml:space="preserve">Trabalho exige iniciativa</t>
  </si>
  <si>
    <t xml:space="preserve">Trabalho permite aprender coisas novas</t>
  </si>
  <si>
    <t xml:space="preserve">Informado sobre decisões importantes</t>
  </si>
  <si>
    <t xml:space="preserve">Recebe info necessária para trabalhar bem</t>
  </si>
  <si>
    <t xml:space="preserve">Sabe exatamente suas responsabilidades</t>
  </si>
  <si>
    <t xml:space="preserve">Reconhecimento pela gerência</t>
  </si>
  <si>
    <t xml:space="preserve">Tratamento justo no trabalho</t>
  </si>
  <si>
    <t xml:space="preserve">Ajuda e apoio do superior imediato</t>
  </si>
  <si>
    <t xml:space="preserve">Bom ambiente entre colegas</t>
  </si>
  <si>
    <t xml:space="preserve">Oportunidades de desenvolvimento</t>
  </si>
  <si>
    <t xml:space="preserve">Qualidade no planejamento (gestão)</t>
  </si>
  <si>
    <t xml:space="preserve">Gerência confia nos funcionários</t>
  </si>
  <si>
    <t xml:space="preserve">Confia nas informações da gerência</t>
  </si>
  <si>
    <t xml:space="preserve">Conflitos resolvidos com justiça</t>
  </si>
  <si>
    <t xml:space="preserve">Trabalho distribuído igualmente</t>
  </si>
  <si>
    <t xml:space="preserve">Autoeficácia – resolve problemas</t>
  </si>
  <si>
    <t xml:space="preserve">Significado do trabalho</t>
  </si>
  <si>
    <t xml:space="preserve">Sente que o trabalho é importante</t>
  </si>
  <si>
    <t xml:space="preserve">Identifica-se com os problemas da empresa</t>
  </si>
  <si>
    <t xml:space="preserve">Satisfação global com o trabalho</t>
  </si>
  <si>
    <t xml:space="preserve">Preocupação em ficar desempregado</t>
  </si>
  <si>
    <t xml:space="preserve">Saúde geral percebida</t>
  </si>
  <si>
    <t xml:space="preserve">Trabalho afeta vida privada (energia)</t>
  </si>
  <si>
    <t xml:space="preserve">Trabalho afeta vida privada (tempo)</t>
  </si>
  <si>
    <t xml:space="preserve">Insônia / acorda durante a noite</t>
  </si>
  <si>
    <t xml:space="preserve">Exaustão física</t>
  </si>
  <si>
    <t xml:space="preserve">Exaustão emocional</t>
  </si>
  <si>
    <t xml:space="preserve">Irritabilidade</t>
  </si>
  <si>
    <t xml:space="preserve">Ansiedade</t>
  </si>
  <si>
    <t xml:space="preserve">Tristeza</t>
  </si>
  <si>
    <t xml:space="preserve">Insultos ou provocações verbais</t>
  </si>
  <si>
    <t xml:space="preserve">Assédio sexual indesejado</t>
  </si>
  <si>
    <t xml:space="preserve">Ameaças de violência</t>
  </si>
  <si>
    <t xml:space="preserve">Violência física</t>
  </si>
  <si>
    <t xml:space="preserve">⚙️ TABELA DE CONFIGURAÇÃO – Conversão de Escala</t>
  </si>
  <si>
    <t xml:space="preserve">Resposta Textual</t>
  </si>
  <si>
    <t xml:space="preserve">Score (1–5)</t>
  </si>
  <si>
    <t xml:space="preserve">Saúde – Resposta</t>
  </si>
  <si>
    <t xml:space="preserve">Código</t>
  </si>
  <si>
    <t xml:space="preserve">Fator</t>
  </si>
  <si>
    <t xml:space="preserve">Questão (label curto)</t>
  </si>
  <si>
    <t xml:space="preserve">Coluna Respostas</t>
  </si>
  <si>
    <t xml:space="preserve">Direção (N/P/H)</t>
  </si>
  <si>
    <t xml:space="preserve">Sempre</t>
  </si>
  <si>
    <t xml:space="preserve">Excelente</t>
  </si>
  <si>
    <t xml:space="preserve">EL01</t>
  </si>
  <si>
    <t xml:space="preserve">Exigência Laboral</t>
  </si>
  <si>
    <t xml:space="preserve">G</t>
  </si>
  <si>
    <t xml:space="preserve">N</t>
  </si>
  <si>
    <t xml:space="preserve">Frequentemente</t>
  </si>
  <si>
    <t xml:space="preserve">Muito boa</t>
  </si>
  <si>
    <t xml:space="preserve">EL02</t>
  </si>
  <si>
    <t xml:space="preserve">H</t>
  </si>
  <si>
    <t xml:space="preserve">Às vezes</t>
  </si>
  <si>
    <t xml:space="preserve">Boa</t>
  </si>
  <si>
    <t xml:space="preserve">EL03</t>
  </si>
  <si>
    <t xml:space="preserve">I</t>
  </si>
  <si>
    <t xml:space="preserve">Ás vezes</t>
  </si>
  <si>
    <t xml:space="preserve">Razoável</t>
  </si>
  <si>
    <t xml:space="preserve">EL04</t>
  </si>
  <si>
    <t xml:space="preserve">J</t>
  </si>
  <si>
    <t xml:space="preserve">Algumas vezes</t>
  </si>
  <si>
    <t xml:space="preserve">Fraca</t>
  </si>
  <si>
    <t xml:space="preserve">EL05</t>
  </si>
  <si>
    <t xml:space="preserve">K</t>
  </si>
  <si>
    <t xml:space="preserve">Moderadamente</t>
  </si>
  <si>
    <t xml:space="preserve">Excelente, Muito boa</t>
  </si>
  <si>
    <t xml:space="preserve">EL06</t>
  </si>
  <si>
    <t xml:space="preserve">L</t>
  </si>
  <si>
    <t xml:space="preserve">Um pouco</t>
  </si>
  <si>
    <t xml:space="preserve">Muito boa, Boa</t>
  </si>
  <si>
    <t xml:space="preserve">OT07</t>
  </si>
  <si>
    <t xml:space="preserve">Organização do Trabalho</t>
  </si>
  <si>
    <t xml:space="preserve">M</t>
  </si>
  <si>
    <t xml:space="preserve">P</t>
  </si>
  <si>
    <t xml:space="preserve">Raramente</t>
  </si>
  <si>
    <t xml:space="preserve">Excelente, Boa</t>
  </si>
  <si>
    <t xml:space="preserve">OT08</t>
  </si>
  <si>
    <t xml:space="preserve">Nunca / Quase nunca</t>
  </si>
  <si>
    <t xml:space="preserve">OT09</t>
  </si>
  <si>
    <t xml:space="preserve">O</t>
  </si>
  <si>
    <t xml:space="preserve">Nunca/Quase nunca</t>
  </si>
  <si>
    <t xml:space="preserve">OT10</t>
  </si>
  <si>
    <t xml:space="preserve">OT11</t>
  </si>
  <si>
    <t xml:space="preserve">Q</t>
  </si>
  <si>
    <t xml:space="preserve">OT12</t>
  </si>
  <si>
    <t xml:space="preserve">R</t>
  </si>
  <si>
    <t xml:space="preserve">RS13</t>
  </si>
  <si>
    <t xml:space="preserve">Relações Sociais e Liderança</t>
  </si>
  <si>
    <t xml:space="preserve">S</t>
  </si>
  <si>
    <t xml:space="preserve">RS14</t>
  </si>
  <si>
    <t xml:space="preserve">T</t>
  </si>
  <si>
    <t xml:space="preserve">RS15</t>
  </si>
  <si>
    <t xml:space="preserve">U</t>
  </si>
  <si>
    <t xml:space="preserve">RS16</t>
  </si>
  <si>
    <t xml:space="preserve">V</t>
  </si>
  <si>
    <t xml:space="preserve">RS17</t>
  </si>
  <si>
    <t xml:space="preserve">W</t>
  </si>
  <si>
    <t xml:space="preserve">RS18</t>
  </si>
  <si>
    <t xml:space="preserve">X</t>
  </si>
  <si>
    <t xml:space="preserve">PE19</t>
  </si>
  <si>
    <t xml:space="preserve">Personalidade / Valores</t>
  </si>
  <si>
    <t xml:space="preserve">Y</t>
  </si>
  <si>
    <t xml:space="preserve">PE20</t>
  </si>
  <si>
    <t xml:space="preserve">Z</t>
  </si>
  <si>
    <t xml:space="preserve">PE21</t>
  </si>
  <si>
    <t xml:space="preserve">AA</t>
  </si>
  <si>
    <t xml:space="preserve">PE22</t>
  </si>
  <si>
    <t xml:space="preserve">AB</t>
  </si>
  <si>
    <t xml:space="preserve">PE23</t>
  </si>
  <si>
    <t xml:space="preserve">AC</t>
  </si>
  <si>
    <t xml:space="preserve">IT24</t>
  </si>
  <si>
    <t xml:space="preserve">Interface Indivíduo-Trabalho</t>
  </si>
  <si>
    <t xml:space="preserve">AD</t>
  </si>
  <si>
    <t xml:space="preserve">IT25</t>
  </si>
  <si>
    <t xml:space="preserve">AE</t>
  </si>
  <si>
    <t xml:space="preserve">IT26</t>
  </si>
  <si>
    <t xml:space="preserve">AF</t>
  </si>
  <si>
    <t xml:space="preserve">IT27</t>
  </si>
  <si>
    <t xml:space="preserve">AG</t>
  </si>
  <si>
    <t xml:space="preserve">IT28</t>
  </si>
  <si>
    <t xml:space="preserve">AH</t>
  </si>
  <si>
    <t xml:space="preserve">SB29</t>
  </si>
  <si>
    <t xml:space="preserve">Saúde e Bem-Estar</t>
  </si>
  <si>
    <t xml:space="preserve">AI</t>
  </si>
  <si>
    <t xml:space="preserve">SB30</t>
  </si>
  <si>
    <t xml:space="preserve">AJ</t>
  </si>
  <si>
    <t xml:space="preserve">SB31</t>
  </si>
  <si>
    <t xml:space="preserve">AK</t>
  </si>
  <si>
    <t xml:space="preserve">SB32</t>
  </si>
  <si>
    <t xml:space="preserve">AL</t>
  </si>
  <si>
    <t xml:space="preserve">SB33</t>
  </si>
  <si>
    <t xml:space="preserve">AM</t>
  </si>
  <si>
    <t xml:space="preserve">SB34</t>
  </si>
  <si>
    <t xml:space="preserve">AN</t>
  </si>
  <si>
    <t xml:space="preserve">SB35</t>
  </si>
  <si>
    <t xml:space="preserve">AO</t>
  </si>
  <si>
    <t xml:space="preserve">SB36</t>
  </si>
  <si>
    <t xml:space="preserve">AP</t>
  </si>
  <si>
    <t xml:space="preserve">SB37</t>
  </si>
  <si>
    <t xml:space="preserve">AQ</t>
  </si>
  <si>
    <t xml:space="preserve">CO38</t>
  </si>
  <si>
    <t xml:space="preserve">Comportamentos Ofensivos</t>
  </si>
  <si>
    <t xml:space="preserve">AR</t>
  </si>
  <si>
    <t xml:space="preserve">CO39</t>
  </si>
  <si>
    <t xml:space="preserve">AS</t>
  </si>
  <si>
    <t xml:space="preserve">CO40</t>
  </si>
  <si>
    <t xml:space="preserve">AT</t>
  </si>
  <si>
    <t xml:space="preserve">CO41</t>
  </si>
  <si>
    <t xml:space="preserve">AU</t>
  </si>
  <si>
    <t xml:space="preserve">🔢 CONVERSÃO DE SCORE E CÁLCULO DE RISCO POR RESPONDENTE</t>
  </si>
  <si>
    <t xml:space="preserve">Convertido automaticamente a partir da aba Respostas. Não editar manualmente.</t>
  </si>
  <si>
    <t xml:space="preserve">Nº</t>
  </si>
  <si>
    <t xml:space="preserve">Cargo</t>
  </si>
  <si>
    <t xml:space="preserve">EL01
Carga de trabalho mal distri</t>
  </si>
  <si>
    <t xml:space="preserve">EL02
Sem tempo para completar tar</t>
  </si>
  <si>
    <t xml:space="preserve">EL03
Necessidade de trabalhar rap</t>
  </si>
  <si>
    <t xml:space="preserve">EL04
Trabalho exige atenção const</t>
  </si>
  <si>
    <t xml:space="preserve">EL05
Trabalho exige decisões difí</t>
  </si>
  <si>
    <t xml:space="preserve">EL06
Trabalho exige emocionalment</t>
  </si>
  <si>
    <t xml:space="preserve">OT07
Grau de influência no trabal</t>
  </si>
  <si>
    <t xml:space="preserve">OT08
Trabalho exige iniciativa</t>
  </si>
  <si>
    <t xml:space="preserve">OT09
Trabalho permite aprender co</t>
  </si>
  <si>
    <t xml:space="preserve">OT10
Informado sobre decisões imp</t>
  </si>
  <si>
    <t xml:space="preserve">OT11
Recebe info necessária para </t>
  </si>
  <si>
    <t xml:space="preserve">OT12
Sabe exatamente suas respons</t>
  </si>
  <si>
    <t xml:space="preserve">RS13
Reconhecimento pela gerência</t>
  </si>
  <si>
    <t xml:space="preserve">RS14
Tratamento justo no trabalho</t>
  </si>
  <si>
    <t xml:space="preserve">RS15
Ajuda e apoio do superior im</t>
  </si>
  <si>
    <t xml:space="preserve">RS16
Bom ambiente entre colegas</t>
  </si>
  <si>
    <t xml:space="preserve">RS17
Oportunidades de desenvolvim</t>
  </si>
  <si>
    <t xml:space="preserve">RS18
Qualidade no planejamento (g</t>
  </si>
  <si>
    <t xml:space="preserve">PE19
Gerência confia nos funcioná</t>
  </si>
  <si>
    <t xml:space="preserve">PE20
Confia nas informações da ge</t>
  </si>
  <si>
    <t xml:space="preserve">PE21
Conflitos resolvidos com jus</t>
  </si>
  <si>
    <t xml:space="preserve">PE22
Trabalho distribuído igualme</t>
  </si>
  <si>
    <t xml:space="preserve">PE23
Autoeficácia – resolve probl</t>
  </si>
  <si>
    <t xml:space="preserve">IT24
Significado do trabalho</t>
  </si>
  <si>
    <t xml:space="preserve">IT25
Sente que o trabalho é impor</t>
  </si>
  <si>
    <t xml:space="preserve">IT26
Identifica-se com os problem</t>
  </si>
  <si>
    <t xml:space="preserve">IT27
Satisfação global com o trab</t>
  </si>
  <si>
    <t xml:space="preserve">IT28
Preocupação em ficar desempr</t>
  </si>
  <si>
    <t xml:space="preserve">SB29
Saúde geral percebida</t>
  </si>
  <si>
    <t xml:space="preserve">SB30
Trabalho afeta vida privada </t>
  </si>
  <si>
    <t xml:space="preserve">SB31
Trabalho afeta vida privada </t>
  </si>
  <si>
    <t xml:space="preserve">SB32
Insônia / acorda durante a n</t>
  </si>
  <si>
    <t xml:space="preserve">SB33
Exaustão física</t>
  </si>
  <si>
    <t xml:space="preserve">SB34
Exaustão emocional</t>
  </si>
  <si>
    <t xml:space="preserve">SB35
Irritabilidade</t>
  </si>
  <si>
    <t xml:space="preserve">SB36
Ansiedade</t>
  </si>
  <si>
    <t xml:space="preserve">SB37
Tristeza</t>
  </si>
  <si>
    <t xml:space="preserve">CO38
Insultos ou provocações verb</t>
  </si>
  <si>
    <t xml:space="preserve">CO39
Assédio sexual indesejado</t>
  </si>
  <si>
    <t xml:space="preserve">CO40
Ameaças de violência</t>
  </si>
  <si>
    <t xml:space="preserve">CO41
Violência física</t>
  </si>
  <si>
    <t xml:space="preserve">📊 AVALIAÇÃO DE RISCO PSICOSSOCIAL POR SETOR</t>
  </si>
  <si>
    <t xml:space="preserve">Calculado automaticamente. Classificação: Baixo (&lt;25%) | Moderado (25–49%) | Alto (50–74%) | Crítico (≥75%)</t>
  </si>
  <si>
    <t xml:space="preserve">▶ SETORES DA EMPRESA</t>
  </si>
  <si>
    <t xml:space="preserve">← Preencha os setores existentes</t>
  </si>
  <si>
    <t xml:space="preserve">Operacional</t>
  </si>
  <si>
    <t xml:space="preserve">Administrativo / Técnico</t>
  </si>
  <si>
    <t xml:space="preserve">📋 RESULTADOS POR FATOR E SETOR</t>
  </si>
  <si>
    <t xml:space="preserve">Fator de Risco</t>
  </si>
  <si>
    <t xml:space="preserve">Nº Respondentes</t>
  </si>
  <si>
    <t xml:space="preserve">Score Médio (1–5)</t>
  </si>
  <si>
    <t xml:space="preserve">Risco (%)</t>
  </si>
  <si>
    <t xml:space="preserve">Classificação</t>
  </si>
  <si>
    <t xml:space="preserve">🔴 Crítico</t>
  </si>
  <si>
    <t xml:space="preserve">🟠 Alto</t>
  </si>
  <si>
    <t xml:space="preserve">⚠️ Moderado</t>
  </si>
  <si>
    <t xml:space="preserve">🔍 DETALHE POR QUESTÃO E SETOR</t>
  </si>
  <si>
    <t xml:space="preserve">Média por questão separada por setor. Calculado automaticamente.</t>
  </si>
  <si>
    <t xml:space="preserve">Cód.</t>
  </si>
  <si>
    <t xml:space="preserve">Questão</t>
  </si>
  <si>
    <t xml:space="preserve">Direção</t>
  </si>
  <si>
    <t xml:space="preserve">📋 PLANO DE AÇÃO – MEDIDAS DE IMPLEMENTAÇÃO POR FATOR DE RISCO</t>
  </si>
  <si>
    <t xml:space="preserve">3 medidas de implementação por fator | Status e prazos editáveis | IntegraPsi Consultoria</t>
  </si>
  <si>
    <t xml:space="preserve">Medida de Implementação</t>
  </si>
  <si>
    <t xml:space="preserve">Como Implementar (Passo a Passo)</t>
  </si>
  <si>
    <t xml:space="preserve">Responsável</t>
  </si>
  <si>
    <t xml:space="preserve">Prazo</t>
  </si>
  <si>
    <t xml:space="preserve">Indicador de Resultado</t>
  </si>
  <si>
    <t xml:space="preserve">Status</t>
  </si>
  <si>
    <t xml:space="preserve">Mapear e redistribuir tarefas sobrecarregadas</t>
  </si>
  <si>
    <t xml:space="preserve">Reunião de diagnóstico de carga por função → planilha de redistribuição → revisão mensal</t>
  </si>
  <si>
    <t xml:space="preserve">Gestão Imediata + RH</t>
  </si>
  <si>
    <t xml:space="preserve">30 dias</t>
  </si>
  <si>
    <t xml:space="preserve">% tarefas redistribuídas</t>
  </si>
  <si>
    <t xml:space="preserve">Pendente</t>
  </si>
  <si>
    <t xml:space="preserve">Implantar controle de jornada e limitar horas extras</t>
  </si>
  <si>
    <t xml:space="preserve">Registro eletrônico de ponto → alerta de banco de horas → política formal de horas extras</t>
  </si>
  <si>
    <t xml:space="preserve">RH + Gestão</t>
  </si>
  <si>
    <t xml:space="preserve">Média de HE/colaborador/mês</t>
  </si>
  <si>
    <t xml:space="preserve">Criar rotina semanal de priorização de demandas</t>
  </si>
  <si>
    <t xml:space="preserve">Reunião de 30 min toda segunda-feira → quadro de prioridades → follow-up sexta</t>
  </si>
  <si>
    <t xml:space="preserve">Gestão Imediata</t>
  </si>
  <si>
    <t xml:space="preserve">15 dias</t>
  </si>
  <si>
    <t xml:space="preserve">% tarefas concluídas no prazo</t>
  </si>
  <si>
    <t xml:space="preserve">Elaborar descritivos de cargo para todas as funções</t>
  </si>
  <si>
    <t xml:space="preserve">Levantamento com gestores → rascunho IntegraPsi → validação e entrega → revisão semestral</t>
  </si>
  <si>
    <t xml:space="preserve">RH + IntegraPsi</t>
  </si>
  <si>
    <t xml:space="preserve">60 dias</t>
  </si>
  <si>
    <t xml:space="preserve">% cargos com descrição formalizada</t>
  </si>
  <si>
    <t xml:space="preserve">Criar rotina de comunicação de decisões estratégicas</t>
  </si>
  <si>
    <t xml:space="preserve">Reunião mensal com time → pauta documentada → registro em ata acessível a todos</t>
  </si>
  <si>
    <t xml:space="preserve">Diretoria + Gestão</t>
  </si>
  <si>
    <t xml:space="preserve">% metas comunicadas vs realizadas</t>
  </si>
  <si>
    <t xml:space="preserve">Implantar processo de onboarding estruturado</t>
  </si>
  <si>
    <t xml:space="preserve">Checklist de integração → kit de boas-vindas → 30 dias de acompanhamento → avaliação final</t>
  </si>
  <si>
    <t xml:space="preserve">45 dias</t>
  </si>
  <si>
    <t xml:space="preserve">Taxa de permanência após 90 dias</t>
  </si>
  <si>
    <t xml:space="preserve">Capacitar líderes em comunicação assertiva e humanizada</t>
  </si>
  <si>
    <t xml:space="preserve">Diagnóstico de perfil de liderança → 2 módulos de treinamento (4h cada) → acompanhamento 60d</t>
  </si>
  <si>
    <t xml:space="preserve">IntegraPsi + RH</t>
  </si>
  <si>
    <t xml:space="preserve">eNPS de liderança pré x pós</t>
  </si>
  <si>
    <t xml:space="preserve">Implantar programa de reconhecimento de desempenho</t>
  </si>
  <si>
    <t xml:space="preserve">Definir critérios → criar ritual mensal de reconhecimento → comunicar internamente</t>
  </si>
  <si>
    <t xml:space="preserve">% colaboradores reconhecidos/mês</t>
  </si>
  <si>
    <t xml:space="preserve">Criar canal de escuta ativa líder-colaborador (1-on-1)</t>
  </si>
  <si>
    <t xml:space="preserve">Agenda quinzenal de 20 min líder-colaborador → registro de temas → follow-up de ações</t>
  </si>
  <si>
    <t xml:space="preserve">% 1-on-1 realizados vs planejados</t>
  </si>
  <si>
    <t xml:space="preserve">Promover workshop de cultura e valores organizacionais</t>
  </si>
  <si>
    <t xml:space="preserve">Facilitação IntegraPsi (4h) → construção coletiva de valores → publicação em mural e digital</t>
  </si>
  <si>
    <t xml:space="preserve">% colaboradores participantes</t>
  </si>
  <si>
    <t xml:space="preserve">Criar protocolo formal de resolução de conflitos</t>
  </si>
  <si>
    <t xml:space="preserve">Definir fluxo de mediação → designar responsável → registrar e monitorar ocorrências</t>
  </si>
  <si>
    <t xml:space="preserve">Nº conflitos registrados e mediados</t>
  </si>
  <si>
    <t xml:space="preserve">Implantar política de equidade na distribuição de tarefas</t>
  </si>
  <si>
    <t xml:space="preserve">Mapeamento de carga por colaborador → redistribuição → revisão trimestral com time</t>
  </si>
  <si>
    <t xml:space="preserve">Índice de percepção de equidade (pesquisa)</t>
  </si>
  <si>
    <t xml:space="preserve">Realizar entrevistas de alinhamento de expectativas e carreira</t>
  </si>
  <si>
    <t xml:space="preserve">Entrevista individual (IntegraPsi) com cada colaborador → relatório de expectativas → PDI</t>
  </si>
  <si>
    <t xml:space="preserve">% PDIs elaborados</t>
  </si>
  <si>
    <t xml:space="preserve">Fortalecer comunicação sobre estabilidade e perspectivas na empresa</t>
  </si>
  <si>
    <t xml:space="preserve">Comunicado formal da diretoria → reunião de time → painel de resultados visível a todos</t>
  </si>
  <si>
    <t xml:space="preserve">Diretoria + RH</t>
  </si>
  <si>
    <t xml:space="preserve">Índice de segurança percebida (pós pesquisa)</t>
  </si>
  <si>
    <t xml:space="preserve">Implantar política de flexibilidade para reduzir conflito trabalho-família</t>
  </si>
  <si>
    <t xml:space="preserve">Levantamento de demandas → definição de critérios de flexibilidade → norma interna</t>
  </si>
  <si>
    <t xml:space="preserve">Taxa de absenteísmo pré x pós</t>
  </si>
  <si>
    <t xml:space="preserve">Implantar programa de saúde mental (Cuidado em Dia – IntegraPsi)</t>
  </si>
  <si>
    <t xml:space="preserve">Triagem inicial → atendimentos quinzenais → relatório de monitoramento → revisão trimestral</t>
  </si>
  <si>
    <t xml:space="preserve">IntegraPsi + Med. do Trabalho</t>
  </si>
  <si>
    <t xml:space="preserve">Taxa de atestados por saúde mental</t>
  </si>
  <si>
    <t xml:space="preserve">Criar rotina de pausas obrigatórias durante a jornada</t>
  </si>
  <si>
    <t xml:space="preserve">Definir pausas (10 min a cada 2h) → comunicar → monitorar via gestores imediatos</t>
  </si>
  <si>
    <t xml:space="preserve">% jornadas com pausas realizadas</t>
  </si>
  <si>
    <t xml:space="preserve">Realizar palestras de autocuidado e gestão do estresse</t>
  </si>
  <si>
    <t xml:space="preserve">Palestra mensal (IntegraPsi, 1h) → material de apoio → canal de dúvidas pós-evento</t>
  </si>
  <si>
    <t xml:space="preserve">IntegraPsi</t>
  </si>
  <si>
    <t xml:space="preserve">% colaboradores participantes por evento</t>
  </si>
  <si>
    <t xml:space="preserve">Implantar Canal de Denúncia anônimo (IntegraPsi)</t>
  </si>
  <si>
    <t xml:space="preserve">Definir canal (QR code + e-mail) → divulgar para todos → SLA de 72h para resposta</t>
  </si>
  <si>
    <t xml:space="preserve">RH + IntegraPsi + Jurídico</t>
  </si>
  <si>
    <t xml:space="preserve">15 dias – URGENTE</t>
  </si>
  <si>
    <t xml:space="preserve">Nº denúncias registradas e tratadas</t>
  </si>
  <si>
    <t xml:space="preserve">Promover treinamento obrigatório de prevenção de assédio</t>
  </si>
  <si>
    <t xml:space="preserve">Treinamento presencial (2h) para todos → lista de presença → avaliação de conhecimento</t>
  </si>
  <si>
    <t xml:space="preserve">30 dias – URGENTE</t>
  </si>
  <si>
    <t xml:space="preserve">% colaboradores treinados</t>
  </si>
  <si>
    <t xml:space="preserve">Elaborar política formal de conduta e comportamentos inaceitáveis</t>
  </si>
  <si>
    <t xml:space="preserve">Política redigida por RH/Jurídico → aprovação diretoria → assinatura de ciência por todos</t>
  </si>
  <si>
    <t xml:space="preserve">RH + Jurídico</t>
  </si>
  <si>
    <t xml:space="preserve">% assinaturas de ciência coletadas</t>
  </si>
  <si>
    <t xml:space="preserve">📌 LEGENDA – CLASSIFICAÇÃO E METODOLOGIA</t>
  </si>
  <si>
    <t xml:space="preserve">Nível</t>
  </si>
  <si>
    <t xml:space="preserve">Faixa</t>
  </si>
  <si>
    <t xml:space="preserve">Descrição</t>
  </si>
  <si>
    <t xml:space="preserve">Baixo</t>
  </si>
  <si>
    <t xml:space="preserve">0% – 24%</t>
  </si>
  <si>
    <t xml:space="preserve">Monitorar periodicamente. Risco sob controle.</t>
  </si>
  <si>
    <t xml:space="preserve">Moderado</t>
  </si>
  <si>
    <t xml:space="preserve">25% – 49%</t>
  </si>
  <si>
    <t xml:space="preserve">Planejar intervenções preventivas no curto prazo.</t>
  </si>
  <si>
    <t xml:space="preserve">Alto</t>
  </si>
  <si>
    <t xml:space="preserve">50% – 74%</t>
  </si>
  <si>
    <t xml:space="preserve">Intervenção prioritária. Risco impacta performance e saúde.</t>
  </si>
  <si>
    <t xml:space="preserve">Crítico</t>
  </si>
  <si>
    <t xml:space="preserve">75%+</t>
  </si>
  <si>
    <t xml:space="preserve">Ação imediata obrigatória. Risco grave. NR-01 art. 6.</t>
  </si>
  <si>
    <t xml:space="preserve">METODOLOGIA</t>
  </si>
  <si>
    <t xml:space="preserve">Instrumento: COPSOQ II – Copenhagen Psychosocial Questionnaire (adaptado)</t>
  </si>
  <si>
    <t xml:space="preserve">Escala de resposta: 5 pontos | Nunca/Quase nunca (1) → Sempre (5)</t>
  </si>
  <si>
    <t xml:space="preserve">Conversão de risco – item negativo: (score - 1) / 4 × 100</t>
  </si>
  <si>
    <t xml:space="preserve">Conversão de risco – item positivo: (5 - score) / 4 × 100</t>
  </si>
  <si>
    <t xml:space="preserve">Score do fator = média aritmética de todos os itens do fator</t>
  </si>
  <si>
    <t xml:space="preserve">Risco do fator = média aritmética dos riscos individuais de cada item</t>
  </si>
  <si>
    <t xml:space="preserve">Base legal: NR-01 Portaria MTE 1.419/2024 – Gerenciamento de Riscos Psicossociais</t>
  </si>
  <si>
    <t xml:space="preserve">Produzido por: IntegraPsi Consultoria Ltda | Érika Coelho | CRP 04/78000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</si>
</sst>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2E75B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9"/>
      <color rgb="FF7030A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C55A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F2F7FB"/>
      </patternFill>
    </fill>
    <fill>
      <patternFill patternType="solid">
        <fgColor rgb="FF2E75B6"/>
        <bgColor rgb="FF0066CC"/>
      </patternFill>
    </fill>
    <fill>
      <patternFill patternType="solid">
        <fgColor rgb="FFFFFACD"/>
        <bgColor rgb="FFFFF8CC"/>
      </patternFill>
    </fill>
    <fill>
      <patternFill patternType="solid">
        <fgColor rgb="FFFFFFFF"/>
        <bgColor rgb="FFF2F7FB"/>
      </patternFill>
    </fill>
    <fill>
      <patternFill patternType="solid">
        <fgColor rgb="FFF2F7FB"/>
        <bgColor rgb="FFFFFFFF"/>
      </patternFill>
    </fill>
    <fill>
      <patternFill patternType="solid">
        <fgColor rgb="FFDFFFDF"/>
        <bgColor rgb="FFF2F7FB"/>
      </patternFill>
    </fill>
    <fill>
      <patternFill patternType="solid">
        <fgColor rgb="FFFFF8CC"/>
        <bgColor rgb="FFFFFACD"/>
      </patternFill>
    </fill>
    <fill>
      <patternFill patternType="solid">
        <fgColor rgb="FFFFE5CC"/>
        <bgColor rgb="FFFFD7D7"/>
      </patternFill>
    </fill>
    <fill>
      <patternFill patternType="solid">
        <fgColor rgb="FFFFD7D7"/>
        <bgColor rgb="FFFFE5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ACD"/>
      <rgbColor rgb="FFF2F7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5CC"/>
      <rgbColor rgb="FFDFFFDF"/>
      <rgbColor rgb="FFFFF8CC"/>
      <rgbColor rgb="FF99CCFF"/>
      <rgbColor rgb="FFFF99CC"/>
      <rgbColor rgb="FFCC99FF"/>
      <rgbColor rgb="FFFFD7D7"/>
      <rgbColor rgb="FF2E75B6"/>
      <rgbColor rgb="FF33CCCC"/>
      <rgbColor rgb="FF99CC00"/>
      <rgbColor rgb="FFFFCC00"/>
      <rgbColor rgb="FFFF9900"/>
      <rgbColor rgb="FFC55A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4" min="3" style="0" width="2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47" min="7" style="0" width="2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</row>
  </sheetData>
  <mergeCells count="2">
    <mergeCell ref="A1:AU1"/>
    <mergeCell ref="A2:A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6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38"/>
    <col collapsed="false" customWidth="true" hidden="false" outlineLevel="0" max="10" min="9" style="0" width="14"/>
  </cols>
  <sheetData>
    <row r="1" customFormat="false" ht="25.5" hidden="false" customHeight="true" outlineLevel="0" collapsed="false">
      <c r="A1" s="6" t="s">
        <v>49</v>
      </c>
      <c r="B1" s="6"/>
      <c r="C1" s="6"/>
      <c r="D1" s="6"/>
      <c r="E1" s="6"/>
      <c r="F1" s="6"/>
    </row>
    <row r="3" customFormat="false" ht="23.85" hidden="false" customHeight="false" outlineLevel="0" collapsed="false">
      <c r="A3" s="7" t="s">
        <v>50</v>
      </c>
      <c r="B3" s="7" t="s">
        <v>51</v>
      </c>
      <c r="C3" s="7" t="s">
        <v>52</v>
      </c>
      <c r="D3" s="7" t="s">
        <v>51</v>
      </c>
      <c r="F3" s="8" t="s">
        <v>53</v>
      </c>
      <c r="G3" s="8" t="s">
        <v>54</v>
      </c>
      <c r="H3" s="8" t="s">
        <v>55</v>
      </c>
      <c r="I3" s="8" t="s">
        <v>56</v>
      </c>
      <c r="J3" s="8" t="s">
        <v>57</v>
      </c>
    </row>
    <row r="4" customFormat="false" ht="15" hidden="false" customHeight="false" outlineLevel="0" collapsed="false">
      <c r="A4" s="9" t="s">
        <v>58</v>
      </c>
      <c r="B4" s="9" t="n">
        <v>5</v>
      </c>
      <c r="C4" s="9" t="s">
        <v>59</v>
      </c>
      <c r="D4" s="9" t="n">
        <v>5</v>
      </c>
      <c r="F4" s="9" t="s">
        <v>60</v>
      </c>
      <c r="G4" s="9" t="s">
        <v>61</v>
      </c>
      <c r="H4" s="9" t="s">
        <v>8</v>
      </c>
      <c r="I4" s="9" t="s">
        <v>62</v>
      </c>
      <c r="J4" s="9" t="s">
        <v>63</v>
      </c>
    </row>
    <row r="5" customFormat="false" ht="15" hidden="false" customHeight="false" outlineLevel="0" collapsed="false">
      <c r="A5" s="9" t="s">
        <v>64</v>
      </c>
      <c r="B5" s="9" t="n">
        <v>4</v>
      </c>
      <c r="C5" s="9" t="s">
        <v>65</v>
      </c>
      <c r="D5" s="9" t="n">
        <v>4</v>
      </c>
      <c r="F5" s="9" t="s">
        <v>66</v>
      </c>
      <c r="G5" s="9" t="s">
        <v>61</v>
      </c>
      <c r="H5" s="9" t="s">
        <v>9</v>
      </c>
      <c r="I5" s="9" t="s">
        <v>67</v>
      </c>
      <c r="J5" s="9" t="s">
        <v>63</v>
      </c>
    </row>
    <row r="6" customFormat="false" ht="15" hidden="false" customHeight="false" outlineLevel="0" collapsed="false">
      <c r="A6" s="9" t="s">
        <v>68</v>
      </c>
      <c r="B6" s="9" t="n">
        <v>3</v>
      </c>
      <c r="C6" s="9" t="s">
        <v>69</v>
      </c>
      <c r="D6" s="9" t="n">
        <v>3</v>
      </c>
      <c r="F6" s="9" t="s">
        <v>70</v>
      </c>
      <c r="G6" s="9" t="s">
        <v>61</v>
      </c>
      <c r="H6" s="9" t="s">
        <v>10</v>
      </c>
      <c r="I6" s="9" t="s">
        <v>71</v>
      </c>
      <c r="J6" s="9" t="s">
        <v>63</v>
      </c>
    </row>
    <row r="7" customFormat="false" ht="15" hidden="false" customHeight="false" outlineLevel="0" collapsed="false">
      <c r="A7" s="9" t="s">
        <v>72</v>
      </c>
      <c r="B7" s="9" t="n">
        <v>3</v>
      </c>
      <c r="C7" s="9" t="s">
        <v>73</v>
      </c>
      <c r="D7" s="9" t="n">
        <v>2</v>
      </c>
      <c r="F7" s="9" t="s">
        <v>74</v>
      </c>
      <c r="G7" s="9" t="s">
        <v>61</v>
      </c>
      <c r="H7" s="9" t="s">
        <v>11</v>
      </c>
      <c r="I7" s="9" t="s">
        <v>75</v>
      </c>
      <c r="J7" s="9" t="s">
        <v>63</v>
      </c>
    </row>
    <row r="8" customFormat="false" ht="15" hidden="false" customHeight="false" outlineLevel="0" collapsed="false">
      <c r="A8" s="9" t="s">
        <v>76</v>
      </c>
      <c r="B8" s="9" t="n">
        <v>3</v>
      </c>
      <c r="C8" s="9" t="s">
        <v>77</v>
      </c>
      <c r="D8" s="9" t="n">
        <v>1</v>
      </c>
      <c r="F8" s="9" t="s">
        <v>78</v>
      </c>
      <c r="G8" s="9" t="s">
        <v>61</v>
      </c>
      <c r="H8" s="9" t="s">
        <v>12</v>
      </c>
      <c r="I8" s="9" t="s">
        <v>79</v>
      </c>
      <c r="J8" s="9" t="s">
        <v>63</v>
      </c>
    </row>
    <row r="9" customFormat="false" ht="15" hidden="false" customHeight="false" outlineLevel="0" collapsed="false">
      <c r="A9" s="9" t="s">
        <v>80</v>
      </c>
      <c r="B9" s="9" t="n">
        <v>3</v>
      </c>
      <c r="C9" s="9" t="s">
        <v>81</v>
      </c>
      <c r="D9" s="9" t="n">
        <v>4.5</v>
      </c>
      <c r="F9" s="9" t="s">
        <v>82</v>
      </c>
      <c r="G9" s="9" t="s">
        <v>61</v>
      </c>
      <c r="H9" s="9" t="s">
        <v>13</v>
      </c>
      <c r="I9" s="9" t="s">
        <v>83</v>
      </c>
      <c r="J9" s="9" t="s">
        <v>63</v>
      </c>
    </row>
    <row r="10" customFormat="false" ht="15" hidden="false" customHeight="false" outlineLevel="0" collapsed="false">
      <c r="A10" s="9" t="s">
        <v>84</v>
      </c>
      <c r="B10" s="9" t="n">
        <v>2</v>
      </c>
      <c r="C10" s="9" t="s">
        <v>85</v>
      </c>
      <c r="D10" s="9" t="n">
        <v>3.5</v>
      </c>
      <c r="F10" s="9" t="s">
        <v>86</v>
      </c>
      <c r="G10" s="9" t="s">
        <v>87</v>
      </c>
      <c r="H10" s="9" t="s">
        <v>14</v>
      </c>
      <c r="I10" s="9" t="s">
        <v>88</v>
      </c>
      <c r="J10" s="9" t="s">
        <v>89</v>
      </c>
    </row>
    <row r="11" customFormat="false" ht="15" hidden="false" customHeight="false" outlineLevel="0" collapsed="false">
      <c r="A11" s="9" t="s">
        <v>90</v>
      </c>
      <c r="B11" s="9" t="n">
        <v>2</v>
      </c>
      <c r="C11" s="9" t="s">
        <v>91</v>
      </c>
      <c r="D11" s="9" t="n">
        <v>4</v>
      </c>
      <c r="F11" s="9" t="s">
        <v>92</v>
      </c>
      <c r="G11" s="9" t="s">
        <v>87</v>
      </c>
      <c r="H11" s="9" t="s">
        <v>15</v>
      </c>
      <c r="I11" s="9" t="s">
        <v>63</v>
      </c>
      <c r="J11" s="9" t="s">
        <v>89</v>
      </c>
    </row>
    <row r="12" customFormat="false" ht="15" hidden="false" customHeight="false" outlineLevel="0" collapsed="false">
      <c r="A12" s="9" t="s">
        <v>93</v>
      </c>
      <c r="B12" s="9" t="n">
        <v>1</v>
      </c>
      <c r="F12" s="9" t="s">
        <v>94</v>
      </c>
      <c r="G12" s="9" t="s">
        <v>87</v>
      </c>
      <c r="H12" s="9" t="s">
        <v>16</v>
      </c>
      <c r="I12" s="9" t="s">
        <v>95</v>
      </c>
      <c r="J12" s="9" t="s">
        <v>89</v>
      </c>
    </row>
    <row r="13" customFormat="false" ht="15" hidden="false" customHeight="false" outlineLevel="0" collapsed="false">
      <c r="A13" s="9" t="s">
        <v>96</v>
      </c>
      <c r="B13" s="9" t="n">
        <v>1</v>
      </c>
      <c r="F13" s="9" t="s">
        <v>97</v>
      </c>
      <c r="G13" s="9" t="s">
        <v>87</v>
      </c>
      <c r="H13" s="9" t="s">
        <v>17</v>
      </c>
      <c r="I13" s="9" t="s">
        <v>89</v>
      </c>
      <c r="J13" s="9" t="s">
        <v>89</v>
      </c>
    </row>
    <row r="14" customFormat="false" ht="15" hidden="false" customHeight="false" outlineLevel="0" collapsed="false">
      <c r="F14" s="9" t="s">
        <v>98</v>
      </c>
      <c r="G14" s="9" t="s">
        <v>87</v>
      </c>
      <c r="H14" s="9" t="s">
        <v>18</v>
      </c>
      <c r="I14" s="9" t="s">
        <v>99</v>
      </c>
      <c r="J14" s="9" t="s">
        <v>89</v>
      </c>
    </row>
    <row r="15" customFormat="false" ht="15" hidden="false" customHeight="false" outlineLevel="0" collapsed="false">
      <c r="F15" s="9" t="s">
        <v>100</v>
      </c>
      <c r="G15" s="9" t="s">
        <v>87</v>
      </c>
      <c r="H15" s="9" t="s">
        <v>19</v>
      </c>
      <c r="I15" s="9" t="s">
        <v>101</v>
      </c>
      <c r="J15" s="9" t="s">
        <v>89</v>
      </c>
    </row>
    <row r="16" customFormat="false" ht="15" hidden="false" customHeight="false" outlineLevel="0" collapsed="false">
      <c r="F16" s="9" t="s">
        <v>102</v>
      </c>
      <c r="G16" s="9" t="s">
        <v>103</v>
      </c>
      <c r="H16" s="9" t="s">
        <v>20</v>
      </c>
      <c r="I16" s="9" t="s">
        <v>104</v>
      </c>
      <c r="J16" s="9" t="s">
        <v>89</v>
      </c>
    </row>
    <row r="17" customFormat="false" ht="15" hidden="false" customHeight="false" outlineLevel="0" collapsed="false">
      <c r="F17" s="9" t="s">
        <v>105</v>
      </c>
      <c r="G17" s="9" t="s">
        <v>103</v>
      </c>
      <c r="H17" s="9" t="s">
        <v>21</v>
      </c>
      <c r="I17" s="9" t="s">
        <v>106</v>
      </c>
      <c r="J17" s="9" t="s">
        <v>89</v>
      </c>
    </row>
    <row r="18" customFormat="false" ht="15" hidden="false" customHeight="false" outlineLevel="0" collapsed="false">
      <c r="F18" s="9" t="s">
        <v>107</v>
      </c>
      <c r="G18" s="9" t="s">
        <v>103</v>
      </c>
      <c r="H18" s="9" t="s">
        <v>22</v>
      </c>
      <c r="I18" s="9" t="s">
        <v>108</v>
      </c>
      <c r="J18" s="9" t="s">
        <v>89</v>
      </c>
    </row>
    <row r="19" customFormat="false" ht="15" hidden="false" customHeight="false" outlineLevel="0" collapsed="false">
      <c r="F19" s="9" t="s">
        <v>109</v>
      </c>
      <c r="G19" s="9" t="s">
        <v>103</v>
      </c>
      <c r="H19" s="9" t="s">
        <v>23</v>
      </c>
      <c r="I19" s="9" t="s">
        <v>110</v>
      </c>
      <c r="J19" s="9" t="s">
        <v>89</v>
      </c>
    </row>
    <row r="20" customFormat="false" ht="15" hidden="false" customHeight="false" outlineLevel="0" collapsed="false">
      <c r="F20" s="9" t="s">
        <v>111</v>
      </c>
      <c r="G20" s="9" t="s">
        <v>103</v>
      </c>
      <c r="H20" s="9" t="s">
        <v>24</v>
      </c>
      <c r="I20" s="9" t="s">
        <v>112</v>
      </c>
      <c r="J20" s="9" t="s">
        <v>89</v>
      </c>
    </row>
    <row r="21" customFormat="false" ht="15" hidden="false" customHeight="false" outlineLevel="0" collapsed="false">
      <c r="F21" s="9" t="s">
        <v>113</v>
      </c>
      <c r="G21" s="9" t="s">
        <v>103</v>
      </c>
      <c r="H21" s="9" t="s">
        <v>25</v>
      </c>
      <c r="I21" s="9" t="s">
        <v>114</v>
      </c>
      <c r="J21" s="9" t="s">
        <v>89</v>
      </c>
    </row>
    <row r="22" customFormat="false" ht="15" hidden="false" customHeight="false" outlineLevel="0" collapsed="false">
      <c r="F22" s="9" t="s">
        <v>115</v>
      </c>
      <c r="G22" s="9" t="s">
        <v>116</v>
      </c>
      <c r="H22" s="9" t="s">
        <v>26</v>
      </c>
      <c r="I22" s="9" t="s">
        <v>117</v>
      </c>
      <c r="J22" s="9" t="s">
        <v>89</v>
      </c>
    </row>
    <row r="23" customFormat="false" ht="15" hidden="false" customHeight="false" outlineLevel="0" collapsed="false">
      <c r="F23" s="9" t="s">
        <v>118</v>
      </c>
      <c r="G23" s="9" t="s">
        <v>116</v>
      </c>
      <c r="H23" s="9" t="s">
        <v>27</v>
      </c>
      <c r="I23" s="9" t="s">
        <v>119</v>
      </c>
      <c r="J23" s="9" t="s">
        <v>89</v>
      </c>
    </row>
    <row r="24" customFormat="false" ht="15" hidden="false" customHeight="false" outlineLevel="0" collapsed="false">
      <c r="F24" s="9" t="s">
        <v>120</v>
      </c>
      <c r="G24" s="9" t="s">
        <v>116</v>
      </c>
      <c r="H24" s="9" t="s">
        <v>28</v>
      </c>
      <c r="I24" s="9" t="s">
        <v>121</v>
      </c>
      <c r="J24" s="9" t="s">
        <v>89</v>
      </c>
    </row>
    <row r="25" customFormat="false" ht="15" hidden="false" customHeight="false" outlineLevel="0" collapsed="false">
      <c r="F25" s="9" t="s">
        <v>122</v>
      </c>
      <c r="G25" s="9" t="s">
        <v>116</v>
      </c>
      <c r="H25" s="9" t="s">
        <v>29</v>
      </c>
      <c r="I25" s="9" t="s">
        <v>123</v>
      </c>
      <c r="J25" s="9" t="s">
        <v>89</v>
      </c>
    </row>
    <row r="26" customFormat="false" ht="15" hidden="false" customHeight="false" outlineLevel="0" collapsed="false">
      <c r="F26" s="9" t="s">
        <v>124</v>
      </c>
      <c r="G26" s="9" t="s">
        <v>116</v>
      </c>
      <c r="H26" s="9" t="s">
        <v>30</v>
      </c>
      <c r="I26" s="9" t="s">
        <v>125</v>
      </c>
      <c r="J26" s="9" t="s">
        <v>89</v>
      </c>
    </row>
    <row r="27" customFormat="false" ht="15" hidden="false" customHeight="false" outlineLevel="0" collapsed="false">
      <c r="F27" s="9" t="s">
        <v>126</v>
      </c>
      <c r="G27" s="9" t="s">
        <v>127</v>
      </c>
      <c r="H27" s="9" t="s">
        <v>31</v>
      </c>
      <c r="I27" s="9" t="s">
        <v>128</v>
      </c>
      <c r="J27" s="9" t="s">
        <v>89</v>
      </c>
    </row>
    <row r="28" customFormat="false" ht="15" hidden="false" customHeight="false" outlineLevel="0" collapsed="false">
      <c r="F28" s="9" t="s">
        <v>129</v>
      </c>
      <c r="G28" s="9" t="s">
        <v>127</v>
      </c>
      <c r="H28" s="9" t="s">
        <v>32</v>
      </c>
      <c r="I28" s="9" t="s">
        <v>130</v>
      </c>
      <c r="J28" s="9" t="s">
        <v>89</v>
      </c>
    </row>
    <row r="29" customFormat="false" ht="15" hidden="false" customHeight="false" outlineLevel="0" collapsed="false">
      <c r="F29" s="9" t="s">
        <v>131</v>
      </c>
      <c r="G29" s="9" t="s">
        <v>127</v>
      </c>
      <c r="H29" s="9" t="s">
        <v>33</v>
      </c>
      <c r="I29" s="9" t="s">
        <v>132</v>
      </c>
      <c r="J29" s="9" t="s">
        <v>89</v>
      </c>
    </row>
    <row r="30" customFormat="false" ht="15" hidden="false" customHeight="false" outlineLevel="0" collapsed="false">
      <c r="F30" s="9" t="s">
        <v>133</v>
      </c>
      <c r="G30" s="9" t="s">
        <v>127</v>
      </c>
      <c r="H30" s="9" t="s">
        <v>34</v>
      </c>
      <c r="I30" s="9" t="s">
        <v>134</v>
      </c>
      <c r="J30" s="9" t="s">
        <v>89</v>
      </c>
    </row>
    <row r="31" customFormat="false" ht="15" hidden="false" customHeight="false" outlineLevel="0" collapsed="false">
      <c r="F31" s="9" t="s">
        <v>135</v>
      </c>
      <c r="G31" s="9" t="s">
        <v>127</v>
      </c>
      <c r="H31" s="9" t="s">
        <v>35</v>
      </c>
      <c r="I31" s="9" t="s">
        <v>136</v>
      </c>
      <c r="J31" s="9" t="s">
        <v>63</v>
      </c>
    </row>
    <row r="32" customFormat="false" ht="15" hidden="false" customHeight="false" outlineLevel="0" collapsed="false">
      <c r="F32" s="9" t="s">
        <v>137</v>
      </c>
      <c r="G32" s="9" t="s">
        <v>138</v>
      </c>
      <c r="H32" s="9" t="s">
        <v>36</v>
      </c>
      <c r="I32" s="9" t="s">
        <v>139</v>
      </c>
      <c r="J32" s="9" t="s">
        <v>67</v>
      </c>
    </row>
    <row r="33" customFormat="false" ht="15" hidden="false" customHeight="false" outlineLevel="0" collapsed="false">
      <c r="F33" s="9" t="s">
        <v>140</v>
      </c>
      <c r="G33" s="9" t="s">
        <v>138</v>
      </c>
      <c r="H33" s="9" t="s">
        <v>37</v>
      </c>
      <c r="I33" s="9" t="s">
        <v>141</v>
      </c>
      <c r="J33" s="9" t="s">
        <v>63</v>
      </c>
    </row>
    <row r="34" customFormat="false" ht="15" hidden="false" customHeight="false" outlineLevel="0" collapsed="false">
      <c r="F34" s="9" t="s">
        <v>142</v>
      </c>
      <c r="G34" s="9" t="s">
        <v>138</v>
      </c>
      <c r="H34" s="9" t="s">
        <v>38</v>
      </c>
      <c r="I34" s="9" t="s">
        <v>143</v>
      </c>
      <c r="J34" s="9" t="s">
        <v>63</v>
      </c>
    </row>
    <row r="35" customFormat="false" ht="15" hidden="false" customHeight="false" outlineLevel="0" collapsed="false">
      <c r="F35" s="9" t="s">
        <v>144</v>
      </c>
      <c r="G35" s="9" t="s">
        <v>138</v>
      </c>
      <c r="H35" s="9" t="s">
        <v>39</v>
      </c>
      <c r="I35" s="9" t="s">
        <v>145</v>
      </c>
      <c r="J35" s="9" t="s">
        <v>63</v>
      </c>
    </row>
    <row r="36" customFormat="false" ht="15" hidden="false" customHeight="false" outlineLevel="0" collapsed="false">
      <c r="F36" s="9" t="s">
        <v>146</v>
      </c>
      <c r="G36" s="9" t="s">
        <v>138</v>
      </c>
      <c r="H36" s="9" t="s">
        <v>40</v>
      </c>
      <c r="I36" s="9" t="s">
        <v>147</v>
      </c>
      <c r="J36" s="9" t="s">
        <v>63</v>
      </c>
    </row>
    <row r="37" customFormat="false" ht="15" hidden="false" customHeight="false" outlineLevel="0" collapsed="false">
      <c r="F37" s="9" t="s">
        <v>148</v>
      </c>
      <c r="G37" s="9" t="s">
        <v>138</v>
      </c>
      <c r="H37" s="9" t="s">
        <v>41</v>
      </c>
      <c r="I37" s="9" t="s">
        <v>149</v>
      </c>
      <c r="J37" s="9" t="s">
        <v>63</v>
      </c>
    </row>
    <row r="38" customFormat="false" ht="15" hidden="false" customHeight="false" outlineLevel="0" collapsed="false">
      <c r="F38" s="9" t="s">
        <v>150</v>
      </c>
      <c r="G38" s="9" t="s">
        <v>138</v>
      </c>
      <c r="H38" s="9" t="s">
        <v>42</v>
      </c>
      <c r="I38" s="9" t="s">
        <v>151</v>
      </c>
      <c r="J38" s="9" t="s">
        <v>63</v>
      </c>
    </row>
    <row r="39" customFormat="false" ht="15" hidden="false" customHeight="false" outlineLevel="0" collapsed="false">
      <c r="F39" s="9" t="s">
        <v>152</v>
      </c>
      <c r="G39" s="9" t="s">
        <v>138</v>
      </c>
      <c r="H39" s="9" t="s">
        <v>43</v>
      </c>
      <c r="I39" s="9" t="s">
        <v>153</v>
      </c>
      <c r="J39" s="9" t="s">
        <v>63</v>
      </c>
    </row>
    <row r="40" customFormat="false" ht="15" hidden="false" customHeight="false" outlineLevel="0" collapsed="false">
      <c r="F40" s="9" t="s">
        <v>154</v>
      </c>
      <c r="G40" s="9" t="s">
        <v>138</v>
      </c>
      <c r="H40" s="9" t="s">
        <v>44</v>
      </c>
      <c r="I40" s="9" t="s">
        <v>155</v>
      </c>
      <c r="J40" s="9" t="s">
        <v>63</v>
      </c>
    </row>
    <row r="41" customFormat="false" ht="15" hidden="false" customHeight="false" outlineLevel="0" collapsed="false">
      <c r="F41" s="9" t="s">
        <v>156</v>
      </c>
      <c r="G41" s="9" t="s">
        <v>157</v>
      </c>
      <c r="H41" s="9" t="s">
        <v>45</v>
      </c>
      <c r="I41" s="9" t="s">
        <v>158</v>
      </c>
      <c r="J41" s="9" t="s">
        <v>63</v>
      </c>
    </row>
    <row r="42" customFormat="false" ht="15" hidden="false" customHeight="false" outlineLevel="0" collapsed="false">
      <c r="F42" s="9" t="s">
        <v>159</v>
      </c>
      <c r="G42" s="9" t="s">
        <v>157</v>
      </c>
      <c r="H42" s="9" t="s">
        <v>46</v>
      </c>
      <c r="I42" s="9" t="s">
        <v>160</v>
      </c>
      <c r="J42" s="9" t="s">
        <v>63</v>
      </c>
    </row>
    <row r="43" customFormat="false" ht="15" hidden="false" customHeight="false" outlineLevel="0" collapsed="false">
      <c r="F43" s="9" t="s">
        <v>161</v>
      </c>
      <c r="G43" s="9" t="s">
        <v>157</v>
      </c>
      <c r="H43" s="9" t="s">
        <v>47</v>
      </c>
      <c r="I43" s="9" t="s">
        <v>162</v>
      </c>
      <c r="J43" s="9" t="s">
        <v>63</v>
      </c>
    </row>
    <row r="44" customFormat="false" ht="15" hidden="false" customHeight="false" outlineLevel="0" collapsed="false">
      <c r="F44" s="9" t="s">
        <v>163</v>
      </c>
      <c r="G44" s="9" t="s">
        <v>157</v>
      </c>
      <c r="H44" s="9" t="s">
        <v>48</v>
      </c>
      <c r="I44" s="9" t="s">
        <v>164</v>
      </c>
      <c r="J44" s="9" t="s">
        <v>63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44" min="4" style="0" width="9"/>
  </cols>
  <sheetData>
    <row r="1" customFormat="false" ht="25.5" hidden="false" customHeight="true" outlineLevel="0" collapsed="false">
      <c r="A1" s="6" t="s">
        <v>165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customFormat="false" ht="13.5" hidden="false" customHeight="true" outlineLevel="0" collapsed="false">
      <c r="A2" s="2" t="s">
        <v>166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customFormat="false" ht="39.75" hidden="false" customHeight="true" outlineLevel="0" collapsed="false">
      <c r="A3" s="10" t="s">
        <v>167</v>
      </c>
      <c r="B3" s="10" t="s">
        <v>5</v>
      </c>
      <c r="C3" s="10" t="s">
        <v>168</v>
      </c>
      <c r="D3" s="11" t="s">
        <v>169</v>
      </c>
      <c r="E3" s="11" t="s">
        <v>170</v>
      </c>
      <c r="F3" s="11" t="s">
        <v>171</v>
      </c>
      <c r="G3" s="11" t="s">
        <v>172</v>
      </c>
      <c r="H3" s="11" t="s">
        <v>173</v>
      </c>
      <c r="I3" s="11" t="s">
        <v>174</v>
      </c>
      <c r="J3" s="11" t="s">
        <v>175</v>
      </c>
      <c r="K3" s="11" t="s">
        <v>176</v>
      </c>
      <c r="L3" s="11" t="s">
        <v>177</v>
      </c>
      <c r="M3" s="11" t="s">
        <v>178</v>
      </c>
      <c r="N3" s="11" t="s">
        <v>179</v>
      </c>
      <c r="O3" s="11" t="s">
        <v>180</v>
      </c>
      <c r="P3" s="11" t="s">
        <v>181</v>
      </c>
      <c r="Q3" s="11" t="s">
        <v>182</v>
      </c>
      <c r="R3" s="11" t="s">
        <v>183</v>
      </c>
      <c r="S3" s="11" t="s">
        <v>184</v>
      </c>
      <c r="T3" s="11" t="s">
        <v>185</v>
      </c>
      <c r="U3" s="11" t="s">
        <v>186</v>
      </c>
      <c r="V3" s="11" t="s">
        <v>187</v>
      </c>
      <c r="W3" s="11" t="s">
        <v>188</v>
      </c>
      <c r="X3" s="11" t="s">
        <v>189</v>
      </c>
      <c r="Y3" s="11" t="s">
        <v>190</v>
      </c>
      <c r="Z3" s="11" t="s">
        <v>191</v>
      </c>
      <c r="AA3" s="11" t="s">
        <v>192</v>
      </c>
      <c r="AB3" s="11" t="s">
        <v>193</v>
      </c>
      <c r="AC3" s="11" t="s">
        <v>194</v>
      </c>
      <c r="AD3" s="11" t="s">
        <v>195</v>
      </c>
      <c r="AE3" s="11" t="s">
        <v>196</v>
      </c>
      <c r="AF3" s="11" t="s">
        <v>197</v>
      </c>
      <c r="AG3" s="11" t="s">
        <v>198</v>
      </c>
      <c r="AH3" s="11" t="s">
        <v>199</v>
      </c>
      <c r="AI3" s="11" t="s">
        <v>200</v>
      </c>
      <c r="AJ3" s="11" t="s">
        <v>201</v>
      </c>
      <c r="AK3" s="11" t="s">
        <v>202</v>
      </c>
      <c r="AL3" s="11" t="s">
        <v>203</v>
      </c>
      <c r="AM3" s="11" t="s">
        <v>204</v>
      </c>
      <c r="AN3" s="11" t="s">
        <v>205</v>
      </c>
      <c r="AO3" s="11" t="s">
        <v>206</v>
      </c>
      <c r="AP3" s="11" t="s">
        <v>207</v>
      </c>
      <c r="AQ3" s="11" t="s">
        <v>208</v>
      </c>
      <c r="AR3" s="11" t="s">
        <v>209</v>
      </c>
    </row>
    <row r="4" customFormat="false" ht="15" hidden="false" customHeight="false" outlineLevel="0" collapsed="false">
      <c r="A4" s="12" t="str">
        <f aca="false">IF(ISBLANK('📥 Respostas'!D4),"",ROW()-3)</f>
        <v/>
      </c>
      <c r="B4" s="12" t="n">
        <f aca="false">'📥 Respostas'!D4</f>
        <v>0</v>
      </c>
      <c r="C4" s="13" t="n">
        <f aca="false">'📥 Respostas'!C4</f>
        <v>0</v>
      </c>
      <c r="D4" s="14" t="str">
        <f aca="false">IFERROR(VLOOKUP(TRIM('📥 Respostas'!G4),'⚙️ Config'!$A$4:$B$13,2,0),"")</f>
        <v/>
      </c>
      <c r="E4" s="14" t="str">
        <f aca="false">IFERROR(VLOOKUP(TRIM('📥 Respostas'!H4),'⚙️ Config'!$A$4:$B$13,2,0),"")</f>
        <v/>
      </c>
      <c r="F4" s="14" t="str">
        <f aca="false">IFERROR(VLOOKUP(TRIM('📥 Respostas'!I4),'⚙️ Config'!$A$4:$B$13,2,0),"")</f>
        <v/>
      </c>
      <c r="G4" s="14" t="str">
        <f aca="false">IFERROR(VLOOKUP(TRIM('📥 Respostas'!J4),'⚙️ Config'!$A$4:$B$13,2,0),"")</f>
        <v/>
      </c>
      <c r="H4" s="14" t="str">
        <f aca="false">IFERROR(VLOOKUP(TRIM('📥 Respostas'!K4),'⚙️ Config'!$A$4:$B$13,2,0),"")</f>
        <v/>
      </c>
      <c r="I4" s="14" t="str">
        <f aca="false">IFERROR(VLOOKUP(TRIM('📥 Respostas'!L4),'⚙️ Config'!$A$4:$B$13,2,0),"")</f>
        <v/>
      </c>
      <c r="J4" s="14" t="str">
        <f aca="false">IFERROR(VLOOKUP(TRIM('📥 Respostas'!M4),'⚙️ Config'!$A$4:$B$13,2,0),"")</f>
        <v/>
      </c>
      <c r="K4" s="14" t="str">
        <f aca="false">IFERROR(VLOOKUP(TRIM('📥 Respostas'!N4),'⚙️ Config'!$A$4:$B$13,2,0),"")</f>
        <v/>
      </c>
      <c r="L4" s="14" t="str">
        <f aca="false">IFERROR(VLOOKUP(TRIM('📥 Respostas'!O4),'⚙️ Config'!$A$4:$B$13,2,0),"")</f>
        <v/>
      </c>
      <c r="M4" s="14" t="str">
        <f aca="false">IFERROR(VLOOKUP(TRIM('📥 Respostas'!P4),'⚙️ Config'!$A$4:$B$13,2,0),"")</f>
        <v/>
      </c>
      <c r="N4" s="14" t="str">
        <f aca="false">IFERROR(VLOOKUP(TRIM('📥 Respostas'!Q4),'⚙️ Config'!$A$4:$B$13,2,0),"")</f>
        <v/>
      </c>
      <c r="O4" s="14" t="str">
        <f aca="false">IFERROR(VLOOKUP(TRIM('📥 Respostas'!R4),'⚙️ Config'!$A$4:$B$13,2,0),"")</f>
        <v/>
      </c>
      <c r="P4" s="14" t="str">
        <f aca="false">IFERROR(VLOOKUP(TRIM('📥 Respostas'!S4),'⚙️ Config'!$A$4:$B$13,2,0),"")</f>
        <v/>
      </c>
      <c r="Q4" s="14" t="str">
        <f aca="false">IFERROR(VLOOKUP(TRIM('📥 Respostas'!T4),'⚙️ Config'!$A$4:$B$13,2,0),"")</f>
        <v/>
      </c>
      <c r="R4" s="14" t="str">
        <f aca="false">IFERROR(VLOOKUP(TRIM('📥 Respostas'!U4),'⚙️ Config'!$A$4:$B$13,2,0),"")</f>
        <v/>
      </c>
      <c r="S4" s="14" t="str">
        <f aca="false">IFERROR(VLOOKUP(TRIM('📥 Respostas'!V4),'⚙️ Config'!$A$4:$B$13,2,0),"")</f>
        <v/>
      </c>
      <c r="T4" s="14" t="str">
        <f aca="false">IFERROR(VLOOKUP(TRIM('📥 Respostas'!W4),'⚙️ Config'!$A$4:$B$13,2,0),"")</f>
        <v/>
      </c>
      <c r="U4" s="14" t="str">
        <f aca="false">IFERROR(VLOOKUP(TRIM('📥 Respostas'!X4),'⚙️ Config'!$A$4:$B$13,2,0),"")</f>
        <v/>
      </c>
      <c r="V4" s="14" t="str">
        <f aca="false">IFERROR(VLOOKUP(TRIM('📥 Respostas'!Y4),'⚙️ Config'!$A$4:$B$13,2,0),"")</f>
        <v/>
      </c>
      <c r="W4" s="14" t="str">
        <f aca="false">IFERROR(VLOOKUP(TRIM('📥 Respostas'!Z4),'⚙️ Config'!$A$4:$B$13,2,0),"")</f>
        <v/>
      </c>
      <c r="X4" s="14" t="str">
        <f aca="false">IFERROR(VLOOKUP(TRIM('📥 Respostas'!AA4),'⚙️ Config'!$A$4:$B$13,2,0),"")</f>
        <v/>
      </c>
      <c r="Y4" s="14" t="str">
        <f aca="false">IFERROR(VLOOKUP(TRIM('📥 Respostas'!AB4),'⚙️ Config'!$A$4:$B$13,2,0),"")</f>
        <v/>
      </c>
      <c r="Z4" s="14" t="str">
        <f aca="false">IFERROR(VLOOKUP(TRIM('📥 Respostas'!AC4),'⚙️ Config'!$A$4:$B$13,2,0),"")</f>
        <v/>
      </c>
      <c r="AA4" s="14" t="str">
        <f aca="false">IFERROR(VLOOKUP(TRIM('📥 Respostas'!AD4),'⚙️ Config'!$A$4:$B$13,2,0),"")</f>
        <v/>
      </c>
      <c r="AB4" s="14" t="str">
        <f aca="false">IFERROR(VLOOKUP(TRIM('📥 Respostas'!AE4),'⚙️ Config'!$A$4:$B$13,2,0),"")</f>
        <v/>
      </c>
      <c r="AC4" s="14" t="str">
        <f aca="false">IFERROR(VLOOKUP(TRIM('📥 Respostas'!AF4),'⚙️ Config'!$A$4:$B$13,2,0),"")</f>
        <v/>
      </c>
      <c r="AD4" s="14" t="str">
        <f aca="false">IFERROR(VLOOKUP(TRIM('📥 Respostas'!AG4),'⚙️ Config'!$A$4:$B$13,2,0),"")</f>
        <v/>
      </c>
      <c r="AE4" s="14" t="str">
        <f aca="false">IFERROR(VLOOKUP(TRIM('📥 Respostas'!AH4),'⚙️ Config'!$A$4:$B$13,2,0),"")</f>
        <v/>
      </c>
      <c r="AF4" s="14" t="str">
        <f aca="false">IFERROR(VLOOKUP(TRIM('📥 Respostas'!AI4),'⚙️ Config'!$C$4:$D$11,2,0),"")</f>
        <v/>
      </c>
      <c r="AG4" s="14" t="str">
        <f aca="false">IFERROR(VLOOKUP(TRIM('📥 Respostas'!AJ4),'⚙️ Config'!$A$4:$B$13,2,0),"")</f>
        <v/>
      </c>
      <c r="AH4" s="14" t="str">
        <f aca="false">IFERROR(VLOOKUP(TRIM('📥 Respostas'!AK4),'⚙️ Config'!$A$4:$B$13,2,0),"")</f>
        <v/>
      </c>
      <c r="AI4" s="14" t="str">
        <f aca="false">IFERROR(VLOOKUP(TRIM('📥 Respostas'!AL4),'⚙️ Config'!$A$4:$B$13,2,0),"")</f>
        <v/>
      </c>
      <c r="AJ4" s="14" t="str">
        <f aca="false">IFERROR(VLOOKUP(TRIM('📥 Respostas'!AM4),'⚙️ Config'!$A$4:$B$13,2,0),"")</f>
        <v/>
      </c>
      <c r="AK4" s="14" t="str">
        <f aca="false">IFERROR(VLOOKUP(TRIM('📥 Respostas'!AN4),'⚙️ Config'!$A$4:$B$13,2,0),"")</f>
        <v/>
      </c>
      <c r="AL4" s="14" t="str">
        <f aca="false">IFERROR(VLOOKUP(TRIM('📥 Respostas'!AO4),'⚙️ Config'!$A$4:$B$13,2,0),"")</f>
        <v/>
      </c>
      <c r="AM4" s="14" t="str">
        <f aca="false">IFERROR(VLOOKUP(TRIM('📥 Respostas'!AP4),'⚙️ Config'!$A$4:$B$13,2,0),"")</f>
        <v/>
      </c>
      <c r="AN4" s="14" t="str">
        <f aca="false">IFERROR(VLOOKUP(TRIM('📥 Respostas'!AQ4),'⚙️ Config'!$A$4:$B$13,2,0),"")</f>
        <v/>
      </c>
      <c r="AO4" s="14" t="str">
        <f aca="false">IFERROR(VLOOKUP(TRIM('📥 Respostas'!AR4),'⚙️ Config'!$A$4:$B$13,2,0),"")</f>
        <v/>
      </c>
      <c r="AP4" s="14" t="str">
        <f aca="false">IFERROR(VLOOKUP(TRIM('📥 Respostas'!AS4),'⚙️ Config'!$A$4:$B$13,2,0),"")</f>
        <v/>
      </c>
      <c r="AQ4" s="14" t="str">
        <f aca="false">IFERROR(VLOOKUP(TRIM('📥 Respostas'!AT4),'⚙️ Config'!$A$4:$B$13,2,0),"")</f>
        <v/>
      </c>
      <c r="AR4" s="14" t="str">
        <f aca="false">IFERROR(VLOOKUP(TRIM('📥 Respostas'!AU4),'⚙️ Config'!$A$4:$B$13,2,0),"")</f>
        <v/>
      </c>
    </row>
    <row r="5" customFormat="false" ht="15" hidden="false" customHeight="false" outlineLevel="0" collapsed="false">
      <c r="A5" s="15" t="str">
        <f aca="false">IF(ISBLANK('📥 Respostas'!D5),"",ROW()-3)</f>
        <v/>
      </c>
      <c r="B5" s="15" t="n">
        <f aca="false">'📥 Respostas'!D5</f>
        <v>0</v>
      </c>
      <c r="C5" s="5" t="n">
        <f aca="false">'📥 Respostas'!C5</f>
        <v>0</v>
      </c>
      <c r="D5" s="14" t="str">
        <f aca="false">IFERROR(VLOOKUP(TRIM('📥 Respostas'!G5),'⚙️ Config'!$A$4:$B$13,2,0),"")</f>
        <v/>
      </c>
      <c r="E5" s="14" t="str">
        <f aca="false">IFERROR(VLOOKUP(TRIM('📥 Respostas'!H5),'⚙️ Config'!$A$4:$B$13,2,0),"")</f>
        <v/>
      </c>
      <c r="F5" s="14" t="str">
        <f aca="false">IFERROR(VLOOKUP(TRIM('📥 Respostas'!I5),'⚙️ Config'!$A$4:$B$13,2,0),"")</f>
        <v/>
      </c>
      <c r="G5" s="14" t="str">
        <f aca="false">IFERROR(VLOOKUP(TRIM('📥 Respostas'!J5),'⚙️ Config'!$A$4:$B$13,2,0),"")</f>
        <v/>
      </c>
      <c r="H5" s="14" t="str">
        <f aca="false">IFERROR(VLOOKUP(TRIM('📥 Respostas'!K5),'⚙️ Config'!$A$4:$B$13,2,0),"")</f>
        <v/>
      </c>
      <c r="I5" s="14" t="str">
        <f aca="false">IFERROR(VLOOKUP(TRIM('📥 Respostas'!L5),'⚙️ Config'!$A$4:$B$13,2,0),"")</f>
        <v/>
      </c>
      <c r="J5" s="14" t="str">
        <f aca="false">IFERROR(VLOOKUP(TRIM('📥 Respostas'!M5),'⚙️ Config'!$A$4:$B$13,2,0),"")</f>
        <v/>
      </c>
      <c r="K5" s="14" t="str">
        <f aca="false">IFERROR(VLOOKUP(TRIM('📥 Respostas'!N5),'⚙️ Config'!$A$4:$B$13,2,0),"")</f>
        <v/>
      </c>
      <c r="L5" s="14" t="str">
        <f aca="false">IFERROR(VLOOKUP(TRIM('📥 Respostas'!O5),'⚙️ Config'!$A$4:$B$13,2,0),"")</f>
        <v/>
      </c>
      <c r="M5" s="14" t="str">
        <f aca="false">IFERROR(VLOOKUP(TRIM('📥 Respostas'!P5),'⚙️ Config'!$A$4:$B$13,2,0),"")</f>
        <v/>
      </c>
      <c r="N5" s="14" t="str">
        <f aca="false">IFERROR(VLOOKUP(TRIM('📥 Respostas'!Q5),'⚙️ Config'!$A$4:$B$13,2,0),"")</f>
        <v/>
      </c>
      <c r="O5" s="14" t="str">
        <f aca="false">IFERROR(VLOOKUP(TRIM('📥 Respostas'!R5),'⚙️ Config'!$A$4:$B$13,2,0),"")</f>
        <v/>
      </c>
      <c r="P5" s="14" t="str">
        <f aca="false">IFERROR(VLOOKUP(TRIM('📥 Respostas'!S5),'⚙️ Config'!$A$4:$B$13,2,0),"")</f>
        <v/>
      </c>
      <c r="Q5" s="14" t="str">
        <f aca="false">IFERROR(VLOOKUP(TRIM('📥 Respostas'!T5),'⚙️ Config'!$A$4:$B$13,2,0),"")</f>
        <v/>
      </c>
      <c r="R5" s="14" t="str">
        <f aca="false">IFERROR(VLOOKUP(TRIM('📥 Respostas'!U5),'⚙️ Config'!$A$4:$B$13,2,0),"")</f>
        <v/>
      </c>
      <c r="S5" s="14" t="str">
        <f aca="false">IFERROR(VLOOKUP(TRIM('📥 Respostas'!V5),'⚙️ Config'!$A$4:$B$13,2,0),"")</f>
        <v/>
      </c>
      <c r="T5" s="14" t="str">
        <f aca="false">IFERROR(VLOOKUP(TRIM('📥 Respostas'!W5),'⚙️ Config'!$A$4:$B$13,2,0),"")</f>
        <v/>
      </c>
      <c r="U5" s="14" t="str">
        <f aca="false">IFERROR(VLOOKUP(TRIM('📥 Respostas'!X5),'⚙️ Config'!$A$4:$B$13,2,0),"")</f>
        <v/>
      </c>
      <c r="V5" s="14" t="str">
        <f aca="false">IFERROR(VLOOKUP(TRIM('📥 Respostas'!Y5),'⚙️ Config'!$A$4:$B$13,2,0),"")</f>
        <v/>
      </c>
      <c r="W5" s="14" t="str">
        <f aca="false">IFERROR(VLOOKUP(TRIM('📥 Respostas'!Z5),'⚙️ Config'!$A$4:$B$13,2,0),"")</f>
        <v/>
      </c>
      <c r="X5" s="14" t="str">
        <f aca="false">IFERROR(VLOOKUP(TRIM('📥 Respostas'!AA5),'⚙️ Config'!$A$4:$B$13,2,0),"")</f>
        <v/>
      </c>
      <c r="Y5" s="14" t="str">
        <f aca="false">IFERROR(VLOOKUP(TRIM('📥 Respostas'!AB5),'⚙️ Config'!$A$4:$B$13,2,0),"")</f>
        <v/>
      </c>
      <c r="Z5" s="14" t="str">
        <f aca="false">IFERROR(VLOOKUP(TRIM('📥 Respostas'!AC5),'⚙️ Config'!$A$4:$B$13,2,0),"")</f>
        <v/>
      </c>
      <c r="AA5" s="14" t="str">
        <f aca="false">IFERROR(VLOOKUP(TRIM('📥 Respostas'!AD5),'⚙️ Config'!$A$4:$B$13,2,0),"")</f>
        <v/>
      </c>
      <c r="AB5" s="14" t="str">
        <f aca="false">IFERROR(VLOOKUP(TRIM('📥 Respostas'!AE5),'⚙️ Config'!$A$4:$B$13,2,0),"")</f>
        <v/>
      </c>
      <c r="AC5" s="14" t="str">
        <f aca="false">IFERROR(VLOOKUP(TRIM('📥 Respostas'!AF5),'⚙️ Config'!$A$4:$B$13,2,0),"")</f>
        <v/>
      </c>
      <c r="AD5" s="14" t="str">
        <f aca="false">IFERROR(VLOOKUP(TRIM('📥 Respostas'!AG5),'⚙️ Config'!$A$4:$B$13,2,0),"")</f>
        <v/>
      </c>
      <c r="AE5" s="14" t="str">
        <f aca="false">IFERROR(VLOOKUP(TRIM('📥 Respostas'!AH5),'⚙️ Config'!$A$4:$B$13,2,0),"")</f>
        <v/>
      </c>
      <c r="AF5" s="14" t="str">
        <f aca="false">IFERROR(VLOOKUP(TRIM('📥 Respostas'!AI5),'⚙️ Config'!$C$4:$D$11,2,0),"")</f>
        <v/>
      </c>
      <c r="AG5" s="14" t="str">
        <f aca="false">IFERROR(VLOOKUP(TRIM('📥 Respostas'!AJ5),'⚙️ Config'!$A$4:$B$13,2,0),"")</f>
        <v/>
      </c>
      <c r="AH5" s="14" t="str">
        <f aca="false">IFERROR(VLOOKUP(TRIM('📥 Respostas'!AK5),'⚙️ Config'!$A$4:$B$13,2,0),"")</f>
        <v/>
      </c>
      <c r="AI5" s="14" t="str">
        <f aca="false">IFERROR(VLOOKUP(TRIM('📥 Respostas'!AL5),'⚙️ Config'!$A$4:$B$13,2,0),"")</f>
        <v/>
      </c>
      <c r="AJ5" s="14" t="str">
        <f aca="false">IFERROR(VLOOKUP(TRIM('📥 Respostas'!AM5),'⚙️ Config'!$A$4:$B$13,2,0),"")</f>
        <v/>
      </c>
      <c r="AK5" s="14" t="str">
        <f aca="false">IFERROR(VLOOKUP(TRIM('📥 Respostas'!AN5),'⚙️ Config'!$A$4:$B$13,2,0),"")</f>
        <v/>
      </c>
      <c r="AL5" s="14" t="str">
        <f aca="false">IFERROR(VLOOKUP(TRIM('📥 Respostas'!AO5),'⚙️ Config'!$A$4:$B$13,2,0),"")</f>
        <v/>
      </c>
      <c r="AM5" s="14" t="str">
        <f aca="false">IFERROR(VLOOKUP(TRIM('📥 Respostas'!AP5),'⚙️ Config'!$A$4:$B$13,2,0),"")</f>
        <v/>
      </c>
      <c r="AN5" s="14" t="str">
        <f aca="false">IFERROR(VLOOKUP(TRIM('📥 Respostas'!AQ5),'⚙️ Config'!$A$4:$B$13,2,0),"")</f>
        <v/>
      </c>
      <c r="AO5" s="14" t="str">
        <f aca="false">IFERROR(VLOOKUP(TRIM('📥 Respostas'!AR5),'⚙️ Config'!$A$4:$B$13,2,0),"")</f>
        <v/>
      </c>
      <c r="AP5" s="14" t="str">
        <f aca="false">IFERROR(VLOOKUP(TRIM('📥 Respostas'!AS5),'⚙️ Config'!$A$4:$B$13,2,0),"")</f>
        <v/>
      </c>
      <c r="AQ5" s="14" t="str">
        <f aca="false">IFERROR(VLOOKUP(TRIM('📥 Respostas'!AT5),'⚙️ Config'!$A$4:$B$13,2,0),"")</f>
        <v/>
      </c>
      <c r="AR5" s="14" t="str">
        <f aca="false">IFERROR(VLOOKUP(TRIM('📥 Respostas'!AU5),'⚙️ Config'!$A$4:$B$13,2,0),"")</f>
        <v/>
      </c>
    </row>
    <row r="6" customFormat="false" ht="15" hidden="false" customHeight="false" outlineLevel="0" collapsed="false">
      <c r="A6" s="12" t="str">
        <f aca="false">IF(ISBLANK('📥 Respostas'!D6),"",ROW()-3)</f>
        <v/>
      </c>
      <c r="B6" s="12" t="n">
        <f aca="false">'📥 Respostas'!D6</f>
        <v>0</v>
      </c>
      <c r="C6" s="13" t="n">
        <f aca="false">'📥 Respostas'!C6</f>
        <v>0</v>
      </c>
      <c r="D6" s="14" t="str">
        <f aca="false">IFERROR(VLOOKUP(TRIM('📥 Respostas'!G6),'⚙️ Config'!$A$4:$B$13,2,0),"")</f>
        <v/>
      </c>
      <c r="E6" s="14" t="str">
        <f aca="false">IFERROR(VLOOKUP(TRIM('📥 Respostas'!H6),'⚙️ Config'!$A$4:$B$13,2,0),"")</f>
        <v/>
      </c>
      <c r="F6" s="14" t="str">
        <f aca="false">IFERROR(VLOOKUP(TRIM('📥 Respostas'!I6),'⚙️ Config'!$A$4:$B$13,2,0),"")</f>
        <v/>
      </c>
      <c r="G6" s="14" t="str">
        <f aca="false">IFERROR(VLOOKUP(TRIM('📥 Respostas'!J6),'⚙️ Config'!$A$4:$B$13,2,0),"")</f>
        <v/>
      </c>
      <c r="H6" s="14" t="str">
        <f aca="false">IFERROR(VLOOKUP(TRIM('📥 Respostas'!K6),'⚙️ Config'!$A$4:$B$13,2,0),"")</f>
        <v/>
      </c>
      <c r="I6" s="14" t="str">
        <f aca="false">IFERROR(VLOOKUP(TRIM('📥 Respostas'!L6),'⚙️ Config'!$A$4:$B$13,2,0),"")</f>
        <v/>
      </c>
      <c r="J6" s="14" t="str">
        <f aca="false">IFERROR(VLOOKUP(TRIM('📥 Respostas'!M6),'⚙️ Config'!$A$4:$B$13,2,0),"")</f>
        <v/>
      </c>
      <c r="K6" s="14" t="str">
        <f aca="false">IFERROR(VLOOKUP(TRIM('📥 Respostas'!N6),'⚙️ Config'!$A$4:$B$13,2,0),"")</f>
        <v/>
      </c>
      <c r="L6" s="14" t="str">
        <f aca="false">IFERROR(VLOOKUP(TRIM('📥 Respostas'!O6),'⚙️ Config'!$A$4:$B$13,2,0),"")</f>
        <v/>
      </c>
      <c r="M6" s="14" t="str">
        <f aca="false">IFERROR(VLOOKUP(TRIM('📥 Respostas'!P6),'⚙️ Config'!$A$4:$B$13,2,0),"")</f>
        <v/>
      </c>
      <c r="N6" s="14" t="str">
        <f aca="false">IFERROR(VLOOKUP(TRIM('📥 Respostas'!Q6),'⚙️ Config'!$A$4:$B$13,2,0),"")</f>
        <v/>
      </c>
      <c r="O6" s="14" t="str">
        <f aca="false">IFERROR(VLOOKUP(TRIM('📥 Respostas'!R6),'⚙️ Config'!$A$4:$B$13,2,0),"")</f>
        <v/>
      </c>
      <c r="P6" s="14" t="str">
        <f aca="false">IFERROR(VLOOKUP(TRIM('📥 Respostas'!S6),'⚙️ Config'!$A$4:$B$13,2,0),"")</f>
        <v/>
      </c>
      <c r="Q6" s="14" t="str">
        <f aca="false">IFERROR(VLOOKUP(TRIM('📥 Respostas'!T6),'⚙️ Config'!$A$4:$B$13,2,0),"")</f>
        <v/>
      </c>
      <c r="R6" s="14" t="str">
        <f aca="false">IFERROR(VLOOKUP(TRIM('📥 Respostas'!U6),'⚙️ Config'!$A$4:$B$13,2,0),"")</f>
        <v/>
      </c>
      <c r="S6" s="14" t="str">
        <f aca="false">IFERROR(VLOOKUP(TRIM('📥 Respostas'!V6),'⚙️ Config'!$A$4:$B$13,2,0),"")</f>
        <v/>
      </c>
      <c r="T6" s="14" t="str">
        <f aca="false">IFERROR(VLOOKUP(TRIM('📥 Respostas'!W6),'⚙️ Config'!$A$4:$B$13,2,0),"")</f>
        <v/>
      </c>
      <c r="U6" s="14" t="str">
        <f aca="false">IFERROR(VLOOKUP(TRIM('📥 Respostas'!X6),'⚙️ Config'!$A$4:$B$13,2,0),"")</f>
        <v/>
      </c>
      <c r="V6" s="14" t="str">
        <f aca="false">IFERROR(VLOOKUP(TRIM('📥 Respostas'!Y6),'⚙️ Config'!$A$4:$B$13,2,0),"")</f>
        <v/>
      </c>
      <c r="W6" s="14" t="str">
        <f aca="false">IFERROR(VLOOKUP(TRIM('📥 Respostas'!Z6),'⚙️ Config'!$A$4:$B$13,2,0),"")</f>
        <v/>
      </c>
      <c r="X6" s="14" t="str">
        <f aca="false">IFERROR(VLOOKUP(TRIM('📥 Respostas'!AA6),'⚙️ Config'!$A$4:$B$13,2,0),"")</f>
        <v/>
      </c>
      <c r="Y6" s="14" t="str">
        <f aca="false">IFERROR(VLOOKUP(TRIM('📥 Respostas'!AB6),'⚙️ Config'!$A$4:$B$13,2,0),"")</f>
        <v/>
      </c>
      <c r="Z6" s="14" t="str">
        <f aca="false">IFERROR(VLOOKUP(TRIM('📥 Respostas'!AC6),'⚙️ Config'!$A$4:$B$13,2,0),"")</f>
        <v/>
      </c>
      <c r="AA6" s="14" t="str">
        <f aca="false">IFERROR(VLOOKUP(TRIM('📥 Respostas'!AD6),'⚙️ Config'!$A$4:$B$13,2,0),"")</f>
        <v/>
      </c>
      <c r="AB6" s="14" t="str">
        <f aca="false">IFERROR(VLOOKUP(TRIM('📥 Respostas'!AE6),'⚙️ Config'!$A$4:$B$13,2,0),"")</f>
        <v/>
      </c>
      <c r="AC6" s="14" t="str">
        <f aca="false">IFERROR(VLOOKUP(TRIM('📥 Respostas'!AF6),'⚙️ Config'!$A$4:$B$13,2,0),"")</f>
        <v/>
      </c>
      <c r="AD6" s="14" t="str">
        <f aca="false">IFERROR(VLOOKUP(TRIM('📥 Respostas'!AG6),'⚙️ Config'!$A$4:$B$13,2,0),"")</f>
        <v/>
      </c>
      <c r="AE6" s="14" t="str">
        <f aca="false">IFERROR(VLOOKUP(TRIM('📥 Respostas'!AH6),'⚙️ Config'!$A$4:$B$13,2,0),"")</f>
        <v/>
      </c>
      <c r="AF6" s="14" t="str">
        <f aca="false">IFERROR(VLOOKUP(TRIM('📥 Respostas'!AI6),'⚙️ Config'!$C$4:$D$11,2,0),"")</f>
        <v/>
      </c>
      <c r="AG6" s="14" t="str">
        <f aca="false">IFERROR(VLOOKUP(TRIM('📥 Respostas'!AJ6),'⚙️ Config'!$A$4:$B$13,2,0),"")</f>
        <v/>
      </c>
      <c r="AH6" s="14" t="str">
        <f aca="false">IFERROR(VLOOKUP(TRIM('📥 Respostas'!AK6),'⚙️ Config'!$A$4:$B$13,2,0),"")</f>
        <v/>
      </c>
      <c r="AI6" s="14" t="str">
        <f aca="false">IFERROR(VLOOKUP(TRIM('📥 Respostas'!AL6),'⚙️ Config'!$A$4:$B$13,2,0),"")</f>
        <v/>
      </c>
      <c r="AJ6" s="14" t="str">
        <f aca="false">IFERROR(VLOOKUP(TRIM('📥 Respostas'!AM6),'⚙️ Config'!$A$4:$B$13,2,0),"")</f>
        <v/>
      </c>
      <c r="AK6" s="14" t="str">
        <f aca="false">IFERROR(VLOOKUP(TRIM('📥 Respostas'!AN6),'⚙️ Config'!$A$4:$B$13,2,0),"")</f>
        <v/>
      </c>
      <c r="AL6" s="14" t="str">
        <f aca="false">IFERROR(VLOOKUP(TRIM('📥 Respostas'!AO6),'⚙️ Config'!$A$4:$B$13,2,0),"")</f>
        <v/>
      </c>
      <c r="AM6" s="14" t="str">
        <f aca="false">IFERROR(VLOOKUP(TRIM('📥 Respostas'!AP6),'⚙️ Config'!$A$4:$B$13,2,0),"")</f>
        <v/>
      </c>
      <c r="AN6" s="14" t="str">
        <f aca="false">IFERROR(VLOOKUP(TRIM('📥 Respostas'!AQ6),'⚙️ Config'!$A$4:$B$13,2,0),"")</f>
        <v/>
      </c>
      <c r="AO6" s="14" t="str">
        <f aca="false">IFERROR(VLOOKUP(TRIM('📥 Respostas'!AR6),'⚙️ Config'!$A$4:$B$13,2,0),"")</f>
        <v/>
      </c>
      <c r="AP6" s="14" t="str">
        <f aca="false">IFERROR(VLOOKUP(TRIM('📥 Respostas'!AS6),'⚙️ Config'!$A$4:$B$13,2,0),"")</f>
        <v/>
      </c>
      <c r="AQ6" s="14" t="str">
        <f aca="false">IFERROR(VLOOKUP(TRIM('📥 Respostas'!AT6),'⚙️ Config'!$A$4:$B$13,2,0),"")</f>
        <v/>
      </c>
      <c r="AR6" s="14" t="str">
        <f aca="false">IFERROR(VLOOKUP(TRIM('📥 Respostas'!AU6),'⚙️ Config'!$A$4:$B$13,2,0),"")</f>
        <v/>
      </c>
    </row>
    <row r="7" customFormat="false" ht="15" hidden="false" customHeight="false" outlineLevel="0" collapsed="false">
      <c r="A7" s="15" t="str">
        <f aca="false">IF(ISBLANK('📥 Respostas'!D7),"",ROW()-3)</f>
        <v/>
      </c>
      <c r="B7" s="15" t="n">
        <f aca="false">'📥 Respostas'!D7</f>
        <v>0</v>
      </c>
      <c r="C7" s="5" t="n">
        <f aca="false">'📥 Respostas'!C7</f>
        <v>0</v>
      </c>
      <c r="D7" s="14" t="str">
        <f aca="false">IFERROR(VLOOKUP(TRIM('📥 Respostas'!G7),'⚙️ Config'!$A$4:$B$13,2,0),"")</f>
        <v/>
      </c>
      <c r="E7" s="14" t="str">
        <f aca="false">IFERROR(VLOOKUP(TRIM('📥 Respostas'!H7),'⚙️ Config'!$A$4:$B$13,2,0),"")</f>
        <v/>
      </c>
      <c r="F7" s="14" t="str">
        <f aca="false">IFERROR(VLOOKUP(TRIM('📥 Respostas'!I7),'⚙️ Config'!$A$4:$B$13,2,0),"")</f>
        <v/>
      </c>
      <c r="G7" s="14" t="str">
        <f aca="false">IFERROR(VLOOKUP(TRIM('📥 Respostas'!J7),'⚙️ Config'!$A$4:$B$13,2,0),"")</f>
        <v/>
      </c>
      <c r="H7" s="14" t="str">
        <f aca="false">IFERROR(VLOOKUP(TRIM('📥 Respostas'!K7),'⚙️ Config'!$A$4:$B$13,2,0),"")</f>
        <v/>
      </c>
      <c r="I7" s="14" t="str">
        <f aca="false">IFERROR(VLOOKUP(TRIM('📥 Respostas'!L7),'⚙️ Config'!$A$4:$B$13,2,0),"")</f>
        <v/>
      </c>
      <c r="J7" s="14" t="str">
        <f aca="false">IFERROR(VLOOKUP(TRIM('📥 Respostas'!M7),'⚙️ Config'!$A$4:$B$13,2,0),"")</f>
        <v/>
      </c>
      <c r="K7" s="14" t="str">
        <f aca="false">IFERROR(VLOOKUP(TRIM('📥 Respostas'!N7),'⚙️ Config'!$A$4:$B$13,2,0),"")</f>
        <v/>
      </c>
      <c r="L7" s="14" t="str">
        <f aca="false">IFERROR(VLOOKUP(TRIM('📥 Respostas'!O7),'⚙️ Config'!$A$4:$B$13,2,0),"")</f>
        <v/>
      </c>
      <c r="M7" s="14" t="str">
        <f aca="false">IFERROR(VLOOKUP(TRIM('📥 Respostas'!P7),'⚙️ Config'!$A$4:$B$13,2,0),"")</f>
        <v/>
      </c>
      <c r="N7" s="14" t="str">
        <f aca="false">IFERROR(VLOOKUP(TRIM('📥 Respostas'!Q7),'⚙️ Config'!$A$4:$B$13,2,0),"")</f>
        <v/>
      </c>
      <c r="O7" s="14" t="str">
        <f aca="false">IFERROR(VLOOKUP(TRIM('📥 Respostas'!R7),'⚙️ Config'!$A$4:$B$13,2,0),"")</f>
        <v/>
      </c>
      <c r="P7" s="14" t="str">
        <f aca="false">IFERROR(VLOOKUP(TRIM('📥 Respostas'!S7),'⚙️ Config'!$A$4:$B$13,2,0),"")</f>
        <v/>
      </c>
      <c r="Q7" s="14" t="str">
        <f aca="false">IFERROR(VLOOKUP(TRIM('📥 Respostas'!T7),'⚙️ Config'!$A$4:$B$13,2,0),"")</f>
        <v/>
      </c>
      <c r="R7" s="14" t="str">
        <f aca="false">IFERROR(VLOOKUP(TRIM('📥 Respostas'!U7),'⚙️ Config'!$A$4:$B$13,2,0),"")</f>
        <v/>
      </c>
      <c r="S7" s="14" t="str">
        <f aca="false">IFERROR(VLOOKUP(TRIM('📥 Respostas'!V7),'⚙️ Config'!$A$4:$B$13,2,0),"")</f>
        <v/>
      </c>
      <c r="T7" s="14" t="str">
        <f aca="false">IFERROR(VLOOKUP(TRIM('📥 Respostas'!W7),'⚙️ Config'!$A$4:$B$13,2,0),"")</f>
        <v/>
      </c>
      <c r="U7" s="14" t="str">
        <f aca="false">IFERROR(VLOOKUP(TRIM('📥 Respostas'!X7),'⚙️ Config'!$A$4:$B$13,2,0),"")</f>
        <v/>
      </c>
      <c r="V7" s="14" t="str">
        <f aca="false">IFERROR(VLOOKUP(TRIM('📥 Respostas'!Y7),'⚙️ Config'!$A$4:$B$13,2,0),"")</f>
        <v/>
      </c>
      <c r="W7" s="14" t="str">
        <f aca="false">IFERROR(VLOOKUP(TRIM('📥 Respostas'!Z7),'⚙️ Config'!$A$4:$B$13,2,0),"")</f>
        <v/>
      </c>
      <c r="X7" s="14" t="str">
        <f aca="false">IFERROR(VLOOKUP(TRIM('📥 Respostas'!AA7),'⚙️ Config'!$A$4:$B$13,2,0),"")</f>
        <v/>
      </c>
      <c r="Y7" s="14" t="str">
        <f aca="false">IFERROR(VLOOKUP(TRIM('📥 Respostas'!AB7),'⚙️ Config'!$A$4:$B$13,2,0),"")</f>
        <v/>
      </c>
      <c r="Z7" s="14" t="str">
        <f aca="false">IFERROR(VLOOKUP(TRIM('📥 Respostas'!AC7),'⚙️ Config'!$A$4:$B$13,2,0),"")</f>
        <v/>
      </c>
      <c r="AA7" s="14" t="str">
        <f aca="false">IFERROR(VLOOKUP(TRIM('📥 Respostas'!AD7),'⚙️ Config'!$A$4:$B$13,2,0),"")</f>
        <v/>
      </c>
      <c r="AB7" s="14" t="str">
        <f aca="false">IFERROR(VLOOKUP(TRIM('📥 Respostas'!AE7),'⚙️ Config'!$A$4:$B$13,2,0),"")</f>
        <v/>
      </c>
      <c r="AC7" s="14" t="str">
        <f aca="false">IFERROR(VLOOKUP(TRIM('📥 Respostas'!AF7),'⚙️ Config'!$A$4:$B$13,2,0),"")</f>
        <v/>
      </c>
      <c r="AD7" s="14" t="str">
        <f aca="false">IFERROR(VLOOKUP(TRIM('📥 Respostas'!AG7),'⚙️ Config'!$A$4:$B$13,2,0),"")</f>
        <v/>
      </c>
      <c r="AE7" s="14" t="str">
        <f aca="false">IFERROR(VLOOKUP(TRIM('📥 Respostas'!AH7),'⚙️ Config'!$A$4:$B$13,2,0),"")</f>
        <v/>
      </c>
      <c r="AF7" s="14" t="str">
        <f aca="false">IFERROR(VLOOKUP(TRIM('📥 Respostas'!AI7),'⚙️ Config'!$C$4:$D$11,2,0),"")</f>
        <v/>
      </c>
      <c r="AG7" s="14" t="str">
        <f aca="false">IFERROR(VLOOKUP(TRIM('📥 Respostas'!AJ7),'⚙️ Config'!$A$4:$B$13,2,0),"")</f>
        <v/>
      </c>
      <c r="AH7" s="14" t="str">
        <f aca="false">IFERROR(VLOOKUP(TRIM('📥 Respostas'!AK7),'⚙️ Config'!$A$4:$B$13,2,0),"")</f>
        <v/>
      </c>
      <c r="AI7" s="14" t="str">
        <f aca="false">IFERROR(VLOOKUP(TRIM('📥 Respostas'!AL7),'⚙️ Config'!$A$4:$B$13,2,0),"")</f>
        <v/>
      </c>
      <c r="AJ7" s="14" t="str">
        <f aca="false">IFERROR(VLOOKUP(TRIM('📥 Respostas'!AM7),'⚙️ Config'!$A$4:$B$13,2,0),"")</f>
        <v/>
      </c>
      <c r="AK7" s="14" t="str">
        <f aca="false">IFERROR(VLOOKUP(TRIM('📥 Respostas'!AN7),'⚙️ Config'!$A$4:$B$13,2,0),"")</f>
        <v/>
      </c>
      <c r="AL7" s="14" t="str">
        <f aca="false">IFERROR(VLOOKUP(TRIM('📥 Respostas'!AO7),'⚙️ Config'!$A$4:$B$13,2,0),"")</f>
        <v/>
      </c>
      <c r="AM7" s="14" t="str">
        <f aca="false">IFERROR(VLOOKUP(TRIM('📥 Respostas'!AP7),'⚙️ Config'!$A$4:$B$13,2,0),"")</f>
        <v/>
      </c>
      <c r="AN7" s="14" t="str">
        <f aca="false">IFERROR(VLOOKUP(TRIM('📥 Respostas'!AQ7),'⚙️ Config'!$A$4:$B$13,2,0),"")</f>
        <v/>
      </c>
      <c r="AO7" s="14" t="str">
        <f aca="false">IFERROR(VLOOKUP(TRIM('📥 Respostas'!AR7),'⚙️ Config'!$A$4:$B$13,2,0),"")</f>
        <v/>
      </c>
      <c r="AP7" s="14" t="str">
        <f aca="false">IFERROR(VLOOKUP(TRIM('📥 Respostas'!AS7),'⚙️ Config'!$A$4:$B$13,2,0),"")</f>
        <v/>
      </c>
      <c r="AQ7" s="14" t="str">
        <f aca="false">IFERROR(VLOOKUP(TRIM('📥 Respostas'!AT7),'⚙️ Config'!$A$4:$B$13,2,0),"")</f>
        <v/>
      </c>
      <c r="AR7" s="14" t="str">
        <f aca="false">IFERROR(VLOOKUP(TRIM('📥 Respostas'!AU7),'⚙️ Config'!$A$4:$B$13,2,0),"")</f>
        <v/>
      </c>
    </row>
    <row r="8" customFormat="false" ht="15" hidden="false" customHeight="false" outlineLevel="0" collapsed="false">
      <c r="A8" s="12" t="str">
        <f aca="false">IF(ISBLANK('📥 Respostas'!D8),"",ROW()-3)</f>
        <v/>
      </c>
      <c r="B8" s="12" t="n">
        <f aca="false">'📥 Respostas'!D8</f>
        <v>0</v>
      </c>
      <c r="C8" s="13" t="n">
        <f aca="false">'📥 Respostas'!C8</f>
        <v>0</v>
      </c>
      <c r="D8" s="14" t="str">
        <f aca="false">IFERROR(VLOOKUP(TRIM('📥 Respostas'!G8),'⚙️ Config'!$A$4:$B$13,2,0),"")</f>
        <v/>
      </c>
      <c r="E8" s="14" t="str">
        <f aca="false">IFERROR(VLOOKUP(TRIM('📥 Respostas'!H8),'⚙️ Config'!$A$4:$B$13,2,0),"")</f>
        <v/>
      </c>
      <c r="F8" s="14" t="str">
        <f aca="false">IFERROR(VLOOKUP(TRIM('📥 Respostas'!I8),'⚙️ Config'!$A$4:$B$13,2,0),"")</f>
        <v/>
      </c>
      <c r="G8" s="14" t="str">
        <f aca="false">IFERROR(VLOOKUP(TRIM('📥 Respostas'!J8),'⚙️ Config'!$A$4:$B$13,2,0),"")</f>
        <v/>
      </c>
      <c r="H8" s="14" t="str">
        <f aca="false">IFERROR(VLOOKUP(TRIM('📥 Respostas'!K8),'⚙️ Config'!$A$4:$B$13,2,0),"")</f>
        <v/>
      </c>
      <c r="I8" s="14" t="str">
        <f aca="false">IFERROR(VLOOKUP(TRIM('📥 Respostas'!L8),'⚙️ Config'!$A$4:$B$13,2,0),"")</f>
        <v/>
      </c>
      <c r="J8" s="14" t="str">
        <f aca="false">IFERROR(VLOOKUP(TRIM('📥 Respostas'!M8),'⚙️ Config'!$A$4:$B$13,2,0),"")</f>
        <v/>
      </c>
      <c r="K8" s="14" t="str">
        <f aca="false">IFERROR(VLOOKUP(TRIM('📥 Respostas'!N8),'⚙️ Config'!$A$4:$B$13,2,0),"")</f>
        <v/>
      </c>
      <c r="L8" s="14" t="str">
        <f aca="false">IFERROR(VLOOKUP(TRIM('📥 Respostas'!O8),'⚙️ Config'!$A$4:$B$13,2,0),"")</f>
        <v/>
      </c>
      <c r="M8" s="14" t="str">
        <f aca="false">IFERROR(VLOOKUP(TRIM('📥 Respostas'!P8),'⚙️ Config'!$A$4:$B$13,2,0),"")</f>
        <v/>
      </c>
      <c r="N8" s="14" t="str">
        <f aca="false">IFERROR(VLOOKUP(TRIM('📥 Respostas'!Q8),'⚙️ Config'!$A$4:$B$13,2,0),"")</f>
        <v/>
      </c>
      <c r="O8" s="14" t="str">
        <f aca="false">IFERROR(VLOOKUP(TRIM('📥 Respostas'!R8),'⚙️ Config'!$A$4:$B$13,2,0),"")</f>
        <v/>
      </c>
      <c r="P8" s="14" t="str">
        <f aca="false">IFERROR(VLOOKUP(TRIM('📥 Respostas'!S8),'⚙️ Config'!$A$4:$B$13,2,0),"")</f>
        <v/>
      </c>
      <c r="Q8" s="14" t="str">
        <f aca="false">IFERROR(VLOOKUP(TRIM('📥 Respostas'!T8),'⚙️ Config'!$A$4:$B$13,2,0),"")</f>
        <v/>
      </c>
      <c r="R8" s="14" t="str">
        <f aca="false">IFERROR(VLOOKUP(TRIM('📥 Respostas'!U8),'⚙️ Config'!$A$4:$B$13,2,0),"")</f>
        <v/>
      </c>
      <c r="S8" s="14" t="str">
        <f aca="false">IFERROR(VLOOKUP(TRIM('📥 Respostas'!V8),'⚙️ Config'!$A$4:$B$13,2,0),"")</f>
        <v/>
      </c>
      <c r="T8" s="14" t="str">
        <f aca="false">IFERROR(VLOOKUP(TRIM('📥 Respostas'!W8),'⚙️ Config'!$A$4:$B$13,2,0),"")</f>
        <v/>
      </c>
      <c r="U8" s="14" t="str">
        <f aca="false">IFERROR(VLOOKUP(TRIM('📥 Respostas'!X8),'⚙️ Config'!$A$4:$B$13,2,0),"")</f>
        <v/>
      </c>
      <c r="V8" s="14" t="str">
        <f aca="false">IFERROR(VLOOKUP(TRIM('📥 Respostas'!Y8),'⚙️ Config'!$A$4:$B$13,2,0),"")</f>
        <v/>
      </c>
      <c r="W8" s="14" t="str">
        <f aca="false">IFERROR(VLOOKUP(TRIM('📥 Respostas'!Z8),'⚙️ Config'!$A$4:$B$13,2,0),"")</f>
        <v/>
      </c>
      <c r="X8" s="14" t="str">
        <f aca="false">IFERROR(VLOOKUP(TRIM('📥 Respostas'!AA8),'⚙️ Config'!$A$4:$B$13,2,0),"")</f>
        <v/>
      </c>
      <c r="Y8" s="14" t="str">
        <f aca="false">IFERROR(VLOOKUP(TRIM('📥 Respostas'!AB8),'⚙️ Config'!$A$4:$B$13,2,0),"")</f>
        <v/>
      </c>
      <c r="Z8" s="14" t="str">
        <f aca="false">IFERROR(VLOOKUP(TRIM('📥 Respostas'!AC8),'⚙️ Config'!$A$4:$B$13,2,0),"")</f>
        <v/>
      </c>
      <c r="AA8" s="14" t="str">
        <f aca="false">IFERROR(VLOOKUP(TRIM('📥 Respostas'!AD8),'⚙️ Config'!$A$4:$B$13,2,0),"")</f>
        <v/>
      </c>
      <c r="AB8" s="14" t="str">
        <f aca="false">IFERROR(VLOOKUP(TRIM('📥 Respostas'!AE8),'⚙️ Config'!$A$4:$B$13,2,0),"")</f>
        <v/>
      </c>
      <c r="AC8" s="14" t="str">
        <f aca="false">IFERROR(VLOOKUP(TRIM('📥 Respostas'!AF8),'⚙️ Config'!$A$4:$B$13,2,0),"")</f>
        <v/>
      </c>
      <c r="AD8" s="14" t="str">
        <f aca="false">IFERROR(VLOOKUP(TRIM('📥 Respostas'!AG8),'⚙️ Config'!$A$4:$B$13,2,0),"")</f>
        <v/>
      </c>
      <c r="AE8" s="14" t="str">
        <f aca="false">IFERROR(VLOOKUP(TRIM('📥 Respostas'!AH8),'⚙️ Config'!$A$4:$B$13,2,0),"")</f>
        <v/>
      </c>
      <c r="AF8" s="14" t="str">
        <f aca="false">IFERROR(VLOOKUP(TRIM('📥 Respostas'!AI8),'⚙️ Config'!$C$4:$D$11,2,0),"")</f>
        <v/>
      </c>
      <c r="AG8" s="14" t="str">
        <f aca="false">IFERROR(VLOOKUP(TRIM('📥 Respostas'!AJ8),'⚙️ Config'!$A$4:$B$13,2,0),"")</f>
        <v/>
      </c>
      <c r="AH8" s="14" t="str">
        <f aca="false">IFERROR(VLOOKUP(TRIM('📥 Respostas'!AK8),'⚙️ Config'!$A$4:$B$13,2,0),"")</f>
        <v/>
      </c>
      <c r="AI8" s="14" t="str">
        <f aca="false">IFERROR(VLOOKUP(TRIM('📥 Respostas'!AL8),'⚙️ Config'!$A$4:$B$13,2,0),"")</f>
        <v/>
      </c>
      <c r="AJ8" s="14" t="str">
        <f aca="false">IFERROR(VLOOKUP(TRIM('📥 Respostas'!AM8),'⚙️ Config'!$A$4:$B$13,2,0),"")</f>
        <v/>
      </c>
      <c r="AK8" s="14" t="str">
        <f aca="false">IFERROR(VLOOKUP(TRIM('📥 Respostas'!AN8),'⚙️ Config'!$A$4:$B$13,2,0),"")</f>
        <v/>
      </c>
      <c r="AL8" s="14" t="str">
        <f aca="false">IFERROR(VLOOKUP(TRIM('📥 Respostas'!AO8),'⚙️ Config'!$A$4:$B$13,2,0),"")</f>
        <v/>
      </c>
      <c r="AM8" s="14" t="str">
        <f aca="false">IFERROR(VLOOKUP(TRIM('📥 Respostas'!AP8),'⚙️ Config'!$A$4:$B$13,2,0),"")</f>
        <v/>
      </c>
      <c r="AN8" s="14" t="str">
        <f aca="false">IFERROR(VLOOKUP(TRIM('📥 Respostas'!AQ8),'⚙️ Config'!$A$4:$B$13,2,0),"")</f>
        <v/>
      </c>
      <c r="AO8" s="14" t="str">
        <f aca="false">IFERROR(VLOOKUP(TRIM('📥 Respostas'!AR8),'⚙️ Config'!$A$4:$B$13,2,0),"")</f>
        <v/>
      </c>
      <c r="AP8" s="14" t="str">
        <f aca="false">IFERROR(VLOOKUP(TRIM('📥 Respostas'!AS8),'⚙️ Config'!$A$4:$B$13,2,0),"")</f>
        <v/>
      </c>
      <c r="AQ8" s="14" t="str">
        <f aca="false">IFERROR(VLOOKUP(TRIM('📥 Respostas'!AT8),'⚙️ Config'!$A$4:$B$13,2,0),"")</f>
        <v/>
      </c>
      <c r="AR8" s="14" t="str">
        <f aca="false">IFERROR(VLOOKUP(TRIM('📥 Respostas'!AU8),'⚙️ Config'!$A$4:$B$13,2,0),"")</f>
        <v/>
      </c>
    </row>
    <row r="9" customFormat="false" ht="15" hidden="false" customHeight="false" outlineLevel="0" collapsed="false">
      <c r="A9" s="15" t="str">
        <f aca="false">IF(ISBLANK('📥 Respostas'!D9),"",ROW()-3)</f>
        <v/>
      </c>
      <c r="B9" s="15" t="n">
        <f aca="false">'📥 Respostas'!D9</f>
        <v>0</v>
      </c>
      <c r="C9" s="5" t="n">
        <f aca="false">'📥 Respostas'!C9</f>
        <v>0</v>
      </c>
      <c r="D9" s="14" t="str">
        <f aca="false">IFERROR(VLOOKUP(TRIM('📥 Respostas'!G9),'⚙️ Config'!$A$4:$B$13,2,0),"")</f>
        <v/>
      </c>
      <c r="E9" s="14" t="str">
        <f aca="false">IFERROR(VLOOKUP(TRIM('📥 Respostas'!H9),'⚙️ Config'!$A$4:$B$13,2,0),"")</f>
        <v/>
      </c>
      <c r="F9" s="14" t="str">
        <f aca="false">IFERROR(VLOOKUP(TRIM('📥 Respostas'!I9),'⚙️ Config'!$A$4:$B$13,2,0),"")</f>
        <v/>
      </c>
      <c r="G9" s="14" t="str">
        <f aca="false">IFERROR(VLOOKUP(TRIM('📥 Respostas'!J9),'⚙️ Config'!$A$4:$B$13,2,0),"")</f>
        <v/>
      </c>
      <c r="H9" s="14" t="str">
        <f aca="false">IFERROR(VLOOKUP(TRIM('📥 Respostas'!K9),'⚙️ Config'!$A$4:$B$13,2,0),"")</f>
        <v/>
      </c>
      <c r="I9" s="14" t="str">
        <f aca="false">IFERROR(VLOOKUP(TRIM('📥 Respostas'!L9),'⚙️ Config'!$A$4:$B$13,2,0),"")</f>
        <v/>
      </c>
      <c r="J9" s="14" t="str">
        <f aca="false">IFERROR(VLOOKUP(TRIM('📥 Respostas'!M9),'⚙️ Config'!$A$4:$B$13,2,0),"")</f>
        <v/>
      </c>
      <c r="K9" s="14" t="str">
        <f aca="false">IFERROR(VLOOKUP(TRIM('📥 Respostas'!N9),'⚙️ Config'!$A$4:$B$13,2,0),"")</f>
        <v/>
      </c>
      <c r="L9" s="14" t="str">
        <f aca="false">IFERROR(VLOOKUP(TRIM('📥 Respostas'!O9),'⚙️ Config'!$A$4:$B$13,2,0),"")</f>
        <v/>
      </c>
      <c r="M9" s="14" t="str">
        <f aca="false">IFERROR(VLOOKUP(TRIM('📥 Respostas'!P9),'⚙️ Config'!$A$4:$B$13,2,0),"")</f>
        <v/>
      </c>
      <c r="N9" s="14" t="str">
        <f aca="false">IFERROR(VLOOKUP(TRIM('📥 Respostas'!Q9),'⚙️ Config'!$A$4:$B$13,2,0),"")</f>
        <v/>
      </c>
      <c r="O9" s="14" t="str">
        <f aca="false">IFERROR(VLOOKUP(TRIM('📥 Respostas'!R9),'⚙️ Config'!$A$4:$B$13,2,0),"")</f>
        <v/>
      </c>
      <c r="P9" s="14" t="str">
        <f aca="false">IFERROR(VLOOKUP(TRIM('📥 Respostas'!S9),'⚙️ Config'!$A$4:$B$13,2,0),"")</f>
        <v/>
      </c>
      <c r="Q9" s="14" t="str">
        <f aca="false">IFERROR(VLOOKUP(TRIM('📥 Respostas'!T9),'⚙️ Config'!$A$4:$B$13,2,0),"")</f>
        <v/>
      </c>
      <c r="R9" s="14" t="str">
        <f aca="false">IFERROR(VLOOKUP(TRIM('📥 Respostas'!U9),'⚙️ Config'!$A$4:$B$13,2,0),"")</f>
        <v/>
      </c>
      <c r="S9" s="14" t="str">
        <f aca="false">IFERROR(VLOOKUP(TRIM('📥 Respostas'!V9),'⚙️ Config'!$A$4:$B$13,2,0),"")</f>
        <v/>
      </c>
      <c r="T9" s="14" t="str">
        <f aca="false">IFERROR(VLOOKUP(TRIM('📥 Respostas'!W9),'⚙️ Config'!$A$4:$B$13,2,0),"")</f>
        <v/>
      </c>
      <c r="U9" s="14" t="str">
        <f aca="false">IFERROR(VLOOKUP(TRIM('📥 Respostas'!X9),'⚙️ Config'!$A$4:$B$13,2,0),"")</f>
        <v/>
      </c>
      <c r="V9" s="14" t="str">
        <f aca="false">IFERROR(VLOOKUP(TRIM('📥 Respostas'!Y9),'⚙️ Config'!$A$4:$B$13,2,0),"")</f>
        <v/>
      </c>
      <c r="W9" s="14" t="str">
        <f aca="false">IFERROR(VLOOKUP(TRIM('📥 Respostas'!Z9),'⚙️ Config'!$A$4:$B$13,2,0),"")</f>
        <v/>
      </c>
      <c r="X9" s="14" t="str">
        <f aca="false">IFERROR(VLOOKUP(TRIM('📥 Respostas'!AA9),'⚙️ Config'!$A$4:$B$13,2,0),"")</f>
        <v/>
      </c>
      <c r="Y9" s="14" t="str">
        <f aca="false">IFERROR(VLOOKUP(TRIM('📥 Respostas'!AB9),'⚙️ Config'!$A$4:$B$13,2,0),"")</f>
        <v/>
      </c>
      <c r="Z9" s="14" t="str">
        <f aca="false">IFERROR(VLOOKUP(TRIM('📥 Respostas'!AC9),'⚙️ Config'!$A$4:$B$13,2,0),"")</f>
        <v/>
      </c>
      <c r="AA9" s="14" t="str">
        <f aca="false">IFERROR(VLOOKUP(TRIM('📥 Respostas'!AD9),'⚙️ Config'!$A$4:$B$13,2,0),"")</f>
        <v/>
      </c>
      <c r="AB9" s="14" t="str">
        <f aca="false">IFERROR(VLOOKUP(TRIM('📥 Respostas'!AE9),'⚙️ Config'!$A$4:$B$13,2,0),"")</f>
        <v/>
      </c>
      <c r="AC9" s="14" t="str">
        <f aca="false">IFERROR(VLOOKUP(TRIM('📥 Respostas'!AF9),'⚙️ Config'!$A$4:$B$13,2,0),"")</f>
        <v/>
      </c>
      <c r="AD9" s="14" t="str">
        <f aca="false">IFERROR(VLOOKUP(TRIM('📥 Respostas'!AG9),'⚙️ Config'!$A$4:$B$13,2,0),"")</f>
        <v/>
      </c>
      <c r="AE9" s="14" t="str">
        <f aca="false">IFERROR(VLOOKUP(TRIM('📥 Respostas'!AH9),'⚙️ Config'!$A$4:$B$13,2,0),"")</f>
        <v/>
      </c>
      <c r="AF9" s="14" t="str">
        <f aca="false">IFERROR(VLOOKUP(TRIM('📥 Respostas'!AI9),'⚙️ Config'!$C$4:$D$11,2,0),"")</f>
        <v/>
      </c>
      <c r="AG9" s="14" t="str">
        <f aca="false">IFERROR(VLOOKUP(TRIM('📥 Respostas'!AJ9),'⚙️ Config'!$A$4:$B$13,2,0),"")</f>
        <v/>
      </c>
      <c r="AH9" s="14" t="str">
        <f aca="false">IFERROR(VLOOKUP(TRIM('📥 Respostas'!AK9),'⚙️ Config'!$A$4:$B$13,2,0),"")</f>
        <v/>
      </c>
      <c r="AI9" s="14" t="str">
        <f aca="false">IFERROR(VLOOKUP(TRIM('📥 Respostas'!AL9),'⚙️ Config'!$A$4:$B$13,2,0),"")</f>
        <v/>
      </c>
      <c r="AJ9" s="14" t="str">
        <f aca="false">IFERROR(VLOOKUP(TRIM('📥 Respostas'!AM9),'⚙️ Config'!$A$4:$B$13,2,0),"")</f>
        <v/>
      </c>
      <c r="AK9" s="14" t="str">
        <f aca="false">IFERROR(VLOOKUP(TRIM('📥 Respostas'!AN9),'⚙️ Config'!$A$4:$B$13,2,0),"")</f>
        <v/>
      </c>
      <c r="AL9" s="14" t="str">
        <f aca="false">IFERROR(VLOOKUP(TRIM('📥 Respostas'!AO9),'⚙️ Config'!$A$4:$B$13,2,0),"")</f>
        <v/>
      </c>
      <c r="AM9" s="14" t="str">
        <f aca="false">IFERROR(VLOOKUP(TRIM('📥 Respostas'!AP9),'⚙️ Config'!$A$4:$B$13,2,0),"")</f>
        <v/>
      </c>
      <c r="AN9" s="14" t="str">
        <f aca="false">IFERROR(VLOOKUP(TRIM('📥 Respostas'!AQ9),'⚙️ Config'!$A$4:$B$13,2,0),"")</f>
        <v/>
      </c>
      <c r="AO9" s="14" t="str">
        <f aca="false">IFERROR(VLOOKUP(TRIM('📥 Respostas'!AR9),'⚙️ Config'!$A$4:$B$13,2,0),"")</f>
        <v/>
      </c>
      <c r="AP9" s="14" t="str">
        <f aca="false">IFERROR(VLOOKUP(TRIM('📥 Respostas'!AS9),'⚙️ Config'!$A$4:$B$13,2,0),"")</f>
        <v/>
      </c>
      <c r="AQ9" s="14" t="str">
        <f aca="false">IFERROR(VLOOKUP(TRIM('📥 Respostas'!AT9),'⚙️ Config'!$A$4:$B$13,2,0),"")</f>
        <v/>
      </c>
      <c r="AR9" s="14" t="str">
        <f aca="false">IFERROR(VLOOKUP(TRIM('📥 Respostas'!AU9),'⚙️ Config'!$A$4:$B$13,2,0),"")</f>
        <v/>
      </c>
    </row>
    <row r="10" customFormat="false" ht="15" hidden="false" customHeight="false" outlineLevel="0" collapsed="false">
      <c r="A10" s="12" t="str">
        <f aca="false">IF(ISBLANK('📥 Respostas'!D10),"",ROW()-3)</f>
        <v/>
      </c>
      <c r="B10" s="12" t="n">
        <f aca="false">'📥 Respostas'!D10</f>
        <v>0</v>
      </c>
      <c r="C10" s="13" t="n">
        <f aca="false">'📥 Respostas'!C10</f>
        <v>0</v>
      </c>
      <c r="D10" s="14" t="str">
        <f aca="false">IFERROR(VLOOKUP(TRIM('📥 Respostas'!G10),'⚙️ Config'!$A$4:$B$13,2,0),"")</f>
        <v/>
      </c>
      <c r="E10" s="14" t="str">
        <f aca="false">IFERROR(VLOOKUP(TRIM('📥 Respostas'!H10),'⚙️ Config'!$A$4:$B$13,2,0),"")</f>
        <v/>
      </c>
      <c r="F10" s="14" t="str">
        <f aca="false">IFERROR(VLOOKUP(TRIM('📥 Respostas'!I10),'⚙️ Config'!$A$4:$B$13,2,0),"")</f>
        <v/>
      </c>
      <c r="G10" s="14" t="str">
        <f aca="false">IFERROR(VLOOKUP(TRIM('📥 Respostas'!J10),'⚙️ Config'!$A$4:$B$13,2,0),"")</f>
        <v/>
      </c>
      <c r="H10" s="14" t="str">
        <f aca="false">IFERROR(VLOOKUP(TRIM('📥 Respostas'!K10),'⚙️ Config'!$A$4:$B$13,2,0),"")</f>
        <v/>
      </c>
      <c r="I10" s="14" t="str">
        <f aca="false">IFERROR(VLOOKUP(TRIM('📥 Respostas'!L10),'⚙️ Config'!$A$4:$B$13,2,0),"")</f>
        <v/>
      </c>
      <c r="J10" s="14" t="str">
        <f aca="false">IFERROR(VLOOKUP(TRIM('📥 Respostas'!M10),'⚙️ Config'!$A$4:$B$13,2,0),"")</f>
        <v/>
      </c>
      <c r="K10" s="14" t="str">
        <f aca="false">IFERROR(VLOOKUP(TRIM('📥 Respostas'!N10),'⚙️ Config'!$A$4:$B$13,2,0),"")</f>
        <v/>
      </c>
      <c r="L10" s="14" t="str">
        <f aca="false">IFERROR(VLOOKUP(TRIM('📥 Respostas'!O10),'⚙️ Config'!$A$4:$B$13,2,0),"")</f>
        <v/>
      </c>
      <c r="M10" s="14" t="str">
        <f aca="false">IFERROR(VLOOKUP(TRIM('📥 Respostas'!P10),'⚙️ Config'!$A$4:$B$13,2,0),"")</f>
        <v/>
      </c>
      <c r="N10" s="14" t="str">
        <f aca="false">IFERROR(VLOOKUP(TRIM('📥 Respostas'!Q10),'⚙️ Config'!$A$4:$B$13,2,0),"")</f>
        <v/>
      </c>
      <c r="O10" s="14" t="str">
        <f aca="false">IFERROR(VLOOKUP(TRIM('📥 Respostas'!R10),'⚙️ Config'!$A$4:$B$13,2,0),"")</f>
        <v/>
      </c>
      <c r="P10" s="14" t="str">
        <f aca="false">IFERROR(VLOOKUP(TRIM('📥 Respostas'!S10),'⚙️ Config'!$A$4:$B$13,2,0),"")</f>
        <v/>
      </c>
      <c r="Q10" s="14" t="str">
        <f aca="false">IFERROR(VLOOKUP(TRIM('📥 Respostas'!T10),'⚙️ Config'!$A$4:$B$13,2,0),"")</f>
        <v/>
      </c>
      <c r="R10" s="14" t="str">
        <f aca="false">IFERROR(VLOOKUP(TRIM('📥 Respostas'!U10),'⚙️ Config'!$A$4:$B$13,2,0),"")</f>
        <v/>
      </c>
      <c r="S10" s="14" t="str">
        <f aca="false">IFERROR(VLOOKUP(TRIM('📥 Respostas'!V10),'⚙️ Config'!$A$4:$B$13,2,0),"")</f>
        <v/>
      </c>
      <c r="T10" s="14" t="str">
        <f aca="false">IFERROR(VLOOKUP(TRIM('📥 Respostas'!W10),'⚙️ Config'!$A$4:$B$13,2,0),"")</f>
        <v/>
      </c>
      <c r="U10" s="14" t="str">
        <f aca="false">IFERROR(VLOOKUP(TRIM('📥 Respostas'!X10),'⚙️ Config'!$A$4:$B$13,2,0),"")</f>
        <v/>
      </c>
      <c r="V10" s="14" t="str">
        <f aca="false">IFERROR(VLOOKUP(TRIM('📥 Respostas'!Y10),'⚙️ Config'!$A$4:$B$13,2,0),"")</f>
        <v/>
      </c>
      <c r="W10" s="14" t="str">
        <f aca="false">IFERROR(VLOOKUP(TRIM('📥 Respostas'!Z10),'⚙️ Config'!$A$4:$B$13,2,0),"")</f>
        <v/>
      </c>
      <c r="X10" s="14" t="str">
        <f aca="false">IFERROR(VLOOKUP(TRIM('📥 Respostas'!AA10),'⚙️ Config'!$A$4:$B$13,2,0),"")</f>
        <v/>
      </c>
      <c r="Y10" s="14" t="str">
        <f aca="false">IFERROR(VLOOKUP(TRIM('📥 Respostas'!AB10),'⚙️ Config'!$A$4:$B$13,2,0),"")</f>
        <v/>
      </c>
      <c r="Z10" s="14" t="str">
        <f aca="false">IFERROR(VLOOKUP(TRIM('📥 Respostas'!AC10),'⚙️ Config'!$A$4:$B$13,2,0),"")</f>
        <v/>
      </c>
      <c r="AA10" s="14" t="str">
        <f aca="false">IFERROR(VLOOKUP(TRIM('📥 Respostas'!AD10),'⚙️ Config'!$A$4:$B$13,2,0),"")</f>
        <v/>
      </c>
      <c r="AB10" s="14" t="str">
        <f aca="false">IFERROR(VLOOKUP(TRIM('📥 Respostas'!AE10),'⚙️ Config'!$A$4:$B$13,2,0),"")</f>
        <v/>
      </c>
      <c r="AC10" s="14" t="str">
        <f aca="false">IFERROR(VLOOKUP(TRIM('📥 Respostas'!AF10),'⚙️ Config'!$A$4:$B$13,2,0),"")</f>
        <v/>
      </c>
      <c r="AD10" s="14" t="str">
        <f aca="false">IFERROR(VLOOKUP(TRIM('📥 Respostas'!AG10),'⚙️ Config'!$A$4:$B$13,2,0),"")</f>
        <v/>
      </c>
      <c r="AE10" s="14" t="str">
        <f aca="false">IFERROR(VLOOKUP(TRIM('📥 Respostas'!AH10),'⚙️ Config'!$A$4:$B$13,2,0),"")</f>
        <v/>
      </c>
      <c r="AF10" s="14" t="str">
        <f aca="false">IFERROR(VLOOKUP(TRIM('📥 Respostas'!AI10),'⚙️ Config'!$C$4:$D$11,2,0),"")</f>
        <v/>
      </c>
      <c r="AG10" s="14" t="str">
        <f aca="false">IFERROR(VLOOKUP(TRIM('📥 Respostas'!AJ10),'⚙️ Config'!$A$4:$B$13,2,0),"")</f>
        <v/>
      </c>
      <c r="AH10" s="14" t="str">
        <f aca="false">IFERROR(VLOOKUP(TRIM('📥 Respostas'!AK10),'⚙️ Config'!$A$4:$B$13,2,0),"")</f>
        <v/>
      </c>
      <c r="AI10" s="14" t="str">
        <f aca="false">IFERROR(VLOOKUP(TRIM('📥 Respostas'!AL10),'⚙️ Config'!$A$4:$B$13,2,0),"")</f>
        <v/>
      </c>
      <c r="AJ10" s="14" t="str">
        <f aca="false">IFERROR(VLOOKUP(TRIM('📥 Respostas'!AM10),'⚙️ Config'!$A$4:$B$13,2,0),"")</f>
        <v/>
      </c>
      <c r="AK10" s="14" t="str">
        <f aca="false">IFERROR(VLOOKUP(TRIM('📥 Respostas'!AN10),'⚙️ Config'!$A$4:$B$13,2,0),"")</f>
        <v/>
      </c>
      <c r="AL10" s="14" t="str">
        <f aca="false">IFERROR(VLOOKUP(TRIM('📥 Respostas'!AO10),'⚙️ Config'!$A$4:$B$13,2,0),"")</f>
        <v/>
      </c>
      <c r="AM10" s="14" t="str">
        <f aca="false">IFERROR(VLOOKUP(TRIM('📥 Respostas'!AP10),'⚙️ Config'!$A$4:$B$13,2,0),"")</f>
        <v/>
      </c>
      <c r="AN10" s="14" t="str">
        <f aca="false">IFERROR(VLOOKUP(TRIM('📥 Respostas'!AQ10),'⚙️ Config'!$A$4:$B$13,2,0),"")</f>
        <v/>
      </c>
      <c r="AO10" s="14" t="str">
        <f aca="false">IFERROR(VLOOKUP(TRIM('📥 Respostas'!AR10),'⚙️ Config'!$A$4:$B$13,2,0),"")</f>
        <v/>
      </c>
      <c r="AP10" s="14" t="str">
        <f aca="false">IFERROR(VLOOKUP(TRIM('📥 Respostas'!AS10),'⚙️ Config'!$A$4:$B$13,2,0),"")</f>
        <v/>
      </c>
      <c r="AQ10" s="14" t="str">
        <f aca="false">IFERROR(VLOOKUP(TRIM('📥 Respostas'!AT10),'⚙️ Config'!$A$4:$B$13,2,0),"")</f>
        <v/>
      </c>
      <c r="AR10" s="14" t="str">
        <f aca="false">IFERROR(VLOOKUP(TRIM('📥 Respostas'!AU10),'⚙️ Config'!$A$4:$B$13,2,0),"")</f>
        <v/>
      </c>
    </row>
    <row r="11" customFormat="false" ht="15" hidden="false" customHeight="false" outlineLevel="0" collapsed="false">
      <c r="A11" s="15" t="str">
        <f aca="false">IF(ISBLANK('📥 Respostas'!D11),"",ROW()-3)</f>
        <v/>
      </c>
      <c r="B11" s="15" t="n">
        <f aca="false">'📥 Respostas'!D11</f>
        <v>0</v>
      </c>
      <c r="C11" s="5" t="n">
        <f aca="false">'📥 Respostas'!C11</f>
        <v>0</v>
      </c>
      <c r="D11" s="14" t="str">
        <f aca="false">IFERROR(VLOOKUP(TRIM('📥 Respostas'!G11),'⚙️ Config'!$A$4:$B$13,2,0),"")</f>
        <v/>
      </c>
      <c r="E11" s="14" t="str">
        <f aca="false">IFERROR(VLOOKUP(TRIM('📥 Respostas'!H11),'⚙️ Config'!$A$4:$B$13,2,0),"")</f>
        <v/>
      </c>
      <c r="F11" s="14" t="str">
        <f aca="false">IFERROR(VLOOKUP(TRIM('📥 Respostas'!I11),'⚙️ Config'!$A$4:$B$13,2,0),"")</f>
        <v/>
      </c>
      <c r="G11" s="14" t="str">
        <f aca="false">IFERROR(VLOOKUP(TRIM('📥 Respostas'!J11),'⚙️ Config'!$A$4:$B$13,2,0),"")</f>
        <v/>
      </c>
      <c r="H11" s="14" t="str">
        <f aca="false">IFERROR(VLOOKUP(TRIM('📥 Respostas'!K11),'⚙️ Config'!$A$4:$B$13,2,0),"")</f>
        <v/>
      </c>
      <c r="I11" s="14" t="str">
        <f aca="false">IFERROR(VLOOKUP(TRIM('📥 Respostas'!L11),'⚙️ Config'!$A$4:$B$13,2,0),"")</f>
        <v/>
      </c>
      <c r="J11" s="14" t="str">
        <f aca="false">IFERROR(VLOOKUP(TRIM('📥 Respostas'!M11),'⚙️ Config'!$A$4:$B$13,2,0),"")</f>
        <v/>
      </c>
      <c r="K11" s="14" t="str">
        <f aca="false">IFERROR(VLOOKUP(TRIM('📥 Respostas'!N11),'⚙️ Config'!$A$4:$B$13,2,0),"")</f>
        <v/>
      </c>
      <c r="L11" s="14" t="str">
        <f aca="false">IFERROR(VLOOKUP(TRIM('📥 Respostas'!O11),'⚙️ Config'!$A$4:$B$13,2,0),"")</f>
        <v/>
      </c>
      <c r="M11" s="14" t="str">
        <f aca="false">IFERROR(VLOOKUP(TRIM('📥 Respostas'!P11),'⚙️ Config'!$A$4:$B$13,2,0),"")</f>
        <v/>
      </c>
      <c r="N11" s="14" t="str">
        <f aca="false">IFERROR(VLOOKUP(TRIM('📥 Respostas'!Q11),'⚙️ Config'!$A$4:$B$13,2,0),"")</f>
        <v/>
      </c>
      <c r="O11" s="14" t="str">
        <f aca="false">IFERROR(VLOOKUP(TRIM('📥 Respostas'!R11),'⚙️ Config'!$A$4:$B$13,2,0),"")</f>
        <v/>
      </c>
      <c r="P11" s="14" t="str">
        <f aca="false">IFERROR(VLOOKUP(TRIM('📥 Respostas'!S11),'⚙️ Config'!$A$4:$B$13,2,0),"")</f>
        <v/>
      </c>
      <c r="Q11" s="14" t="str">
        <f aca="false">IFERROR(VLOOKUP(TRIM('📥 Respostas'!T11),'⚙️ Config'!$A$4:$B$13,2,0),"")</f>
        <v/>
      </c>
      <c r="R11" s="14" t="str">
        <f aca="false">IFERROR(VLOOKUP(TRIM('📥 Respostas'!U11),'⚙️ Config'!$A$4:$B$13,2,0),"")</f>
        <v/>
      </c>
      <c r="S11" s="14" t="str">
        <f aca="false">IFERROR(VLOOKUP(TRIM('📥 Respostas'!V11),'⚙️ Config'!$A$4:$B$13,2,0),"")</f>
        <v/>
      </c>
      <c r="T11" s="14" t="str">
        <f aca="false">IFERROR(VLOOKUP(TRIM('📥 Respostas'!W11),'⚙️ Config'!$A$4:$B$13,2,0),"")</f>
        <v/>
      </c>
      <c r="U11" s="14" t="str">
        <f aca="false">IFERROR(VLOOKUP(TRIM('📥 Respostas'!X11),'⚙️ Config'!$A$4:$B$13,2,0),"")</f>
        <v/>
      </c>
      <c r="V11" s="14" t="str">
        <f aca="false">IFERROR(VLOOKUP(TRIM('📥 Respostas'!Y11),'⚙️ Config'!$A$4:$B$13,2,0),"")</f>
        <v/>
      </c>
      <c r="W11" s="14" t="str">
        <f aca="false">IFERROR(VLOOKUP(TRIM('📥 Respostas'!Z11),'⚙️ Config'!$A$4:$B$13,2,0),"")</f>
        <v/>
      </c>
      <c r="X11" s="14" t="str">
        <f aca="false">IFERROR(VLOOKUP(TRIM('📥 Respostas'!AA11),'⚙️ Config'!$A$4:$B$13,2,0),"")</f>
        <v/>
      </c>
      <c r="Y11" s="14" t="str">
        <f aca="false">IFERROR(VLOOKUP(TRIM('📥 Respostas'!AB11),'⚙️ Config'!$A$4:$B$13,2,0),"")</f>
        <v/>
      </c>
      <c r="Z11" s="14" t="str">
        <f aca="false">IFERROR(VLOOKUP(TRIM('📥 Respostas'!AC11),'⚙️ Config'!$A$4:$B$13,2,0),"")</f>
        <v/>
      </c>
      <c r="AA11" s="14" t="str">
        <f aca="false">IFERROR(VLOOKUP(TRIM('📥 Respostas'!AD11),'⚙️ Config'!$A$4:$B$13,2,0),"")</f>
        <v/>
      </c>
      <c r="AB11" s="14" t="str">
        <f aca="false">IFERROR(VLOOKUP(TRIM('📥 Respostas'!AE11),'⚙️ Config'!$A$4:$B$13,2,0),"")</f>
        <v/>
      </c>
      <c r="AC11" s="14" t="str">
        <f aca="false">IFERROR(VLOOKUP(TRIM('📥 Respostas'!AF11),'⚙️ Config'!$A$4:$B$13,2,0),"")</f>
        <v/>
      </c>
      <c r="AD11" s="14" t="str">
        <f aca="false">IFERROR(VLOOKUP(TRIM('📥 Respostas'!AG11),'⚙️ Config'!$A$4:$B$13,2,0),"")</f>
        <v/>
      </c>
      <c r="AE11" s="14" t="str">
        <f aca="false">IFERROR(VLOOKUP(TRIM('📥 Respostas'!AH11),'⚙️ Config'!$A$4:$B$13,2,0),"")</f>
        <v/>
      </c>
      <c r="AF11" s="14" t="str">
        <f aca="false">IFERROR(VLOOKUP(TRIM('📥 Respostas'!AI11),'⚙️ Config'!$C$4:$D$11,2,0),"")</f>
        <v/>
      </c>
      <c r="AG11" s="14" t="str">
        <f aca="false">IFERROR(VLOOKUP(TRIM('📥 Respostas'!AJ11),'⚙️ Config'!$A$4:$B$13,2,0),"")</f>
        <v/>
      </c>
      <c r="AH11" s="14" t="str">
        <f aca="false">IFERROR(VLOOKUP(TRIM('📥 Respostas'!AK11),'⚙️ Config'!$A$4:$B$13,2,0),"")</f>
        <v/>
      </c>
      <c r="AI11" s="14" t="str">
        <f aca="false">IFERROR(VLOOKUP(TRIM('📥 Respostas'!AL11),'⚙️ Config'!$A$4:$B$13,2,0),"")</f>
        <v/>
      </c>
      <c r="AJ11" s="14" t="str">
        <f aca="false">IFERROR(VLOOKUP(TRIM('📥 Respostas'!AM11),'⚙️ Config'!$A$4:$B$13,2,0),"")</f>
        <v/>
      </c>
      <c r="AK11" s="14" t="str">
        <f aca="false">IFERROR(VLOOKUP(TRIM('📥 Respostas'!AN11),'⚙️ Config'!$A$4:$B$13,2,0),"")</f>
        <v/>
      </c>
      <c r="AL11" s="14" t="str">
        <f aca="false">IFERROR(VLOOKUP(TRIM('📥 Respostas'!AO11),'⚙️ Config'!$A$4:$B$13,2,0),"")</f>
        <v/>
      </c>
      <c r="AM11" s="14" t="str">
        <f aca="false">IFERROR(VLOOKUP(TRIM('📥 Respostas'!AP11),'⚙️ Config'!$A$4:$B$13,2,0),"")</f>
        <v/>
      </c>
      <c r="AN11" s="14" t="str">
        <f aca="false">IFERROR(VLOOKUP(TRIM('📥 Respostas'!AQ11),'⚙️ Config'!$A$4:$B$13,2,0),"")</f>
        <v/>
      </c>
      <c r="AO11" s="14" t="str">
        <f aca="false">IFERROR(VLOOKUP(TRIM('📥 Respostas'!AR11),'⚙️ Config'!$A$4:$B$13,2,0),"")</f>
        <v/>
      </c>
      <c r="AP11" s="14" t="str">
        <f aca="false">IFERROR(VLOOKUP(TRIM('📥 Respostas'!AS11),'⚙️ Config'!$A$4:$B$13,2,0),"")</f>
        <v/>
      </c>
      <c r="AQ11" s="14" t="str">
        <f aca="false">IFERROR(VLOOKUP(TRIM('📥 Respostas'!AT11),'⚙️ Config'!$A$4:$B$13,2,0),"")</f>
        <v/>
      </c>
      <c r="AR11" s="14" t="str">
        <f aca="false">IFERROR(VLOOKUP(TRIM('📥 Respostas'!AU11),'⚙️ Config'!$A$4:$B$13,2,0),"")</f>
        <v/>
      </c>
    </row>
    <row r="12" customFormat="false" ht="15" hidden="false" customHeight="false" outlineLevel="0" collapsed="false">
      <c r="A12" s="12" t="str">
        <f aca="false">IF(ISBLANK('📥 Respostas'!D12),"",ROW()-3)</f>
        <v/>
      </c>
      <c r="B12" s="12" t="n">
        <f aca="false">'📥 Respostas'!D12</f>
        <v>0</v>
      </c>
      <c r="C12" s="13" t="n">
        <f aca="false">'📥 Respostas'!C12</f>
        <v>0</v>
      </c>
      <c r="D12" s="14" t="str">
        <f aca="false">IFERROR(VLOOKUP(TRIM('📥 Respostas'!G12),'⚙️ Config'!$A$4:$B$13,2,0),"")</f>
        <v/>
      </c>
      <c r="E12" s="14" t="str">
        <f aca="false">IFERROR(VLOOKUP(TRIM('📥 Respostas'!H12),'⚙️ Config'!$A$4:$B$13,2,0),"")</f>
        <v/>
      </c>
      <c r="F12" s="14" t="str">
        <f aca="false">IFERROR(VLOOKUP(TRIM('📥 Respostas'!I12),'⚙️ Config'!$A$4:$B$13,2,0),"")</f>
        <v/>
      </c>
      <c r="G12" s="14" t="str">
        <f aca="false">IFERROR(VLOOKUP(TRIM('📥 Respostas'!J12),'⚙️ Config'!$A$4:$B$13,2,0),"")</f>
        <v/>
      </c>
      <c r="H12" s="14" t="str">
        <f aca="false">IFERROR(VLOOKUP(TRIM('📥 Respostas'!K12),'⚙️ Config'!$A$4:$B$13,2,0),"")</f>
        <v/>
      </c>
      <c r="I12" s="14" t="str">
        <f aca="false">IFERROR(VLOOKUP(TRIM('📥 Respostas'!L12),'⚙️ Config'!$A$4:$B$13,2,0),"")</f>
        <v/>
      </c>
      <c r="J12" s="14" t="str">
        <f aca="false">IFERROR(VLOOKUP(TRIM('📥 Respostas'!M12),'⚙️ Config'!$A$4:$B$13,2,0),"")</f>
        <v/>
      </c>
      <c r="K12" s="14" t="str">
        <f aca="false">IFERROR(VLOOKUP(TRIM('📥 Respostas'!N12),'⚙️ Config'!$A$4:$B$13,2,0),"")</f>
        <v/>
      </c>
      <c r="L12" s="14" t="str">
        <f aca="false">IFERROR(VLOOKUP(TRIM('📥 Respostas'!O12),'⚙️ Config'!$A$4:$B$13,2,0),"")</f>
        <v/>
      </c>
      <c r="M12" s="14" t="str">
        <f aca="false">IFERROR(VLOOKUP(TRIM('📥 Respostas'!P12),'⚙️ Config'!$A$4:$B$13,2,0),"")</f>
        <v/>
      </c>
      <c r="N12" s="14" t="str">
        <f aca="false">IFERROR(VLOOKUP(TRIM('📥 Respostas'!Q12),'⚙️ Config'!$A$4:$B$13,2,0),"")</f>
        <v/>
      </c>
      <c r="O12" s="14" t="str">
        <f aca="false">IFERROR(VLOOKUP(TRIM('📥 Respostas'!R12),'⚙️ Config'!$A$4:$B$13,2,0),"")</f>
        <v/>
      </c>
      <c r="P12" s="14" t="str">
        <f aca="false">IFERROR(VLOOKUP(TRIM('📥 Respostas'!S12),'⚙️ Config'!$A$4:$B$13,2,0),"")</f>
        <v/>
      </c>
      <c r="Q12" s="14" t="str">
        <f aca="false">IFERROR(VLOOKUP(TRIM('📥 Respostas'!T12),'⚙️ Config'!$A$4:$B$13,2,0),"")</f>
        <v/>
      </c>
      <c r="R12" s="14" t="str">
        <f aca="false">IFERROR(VLOOKUP(TRIM('📥 Respostas'!U12),'⚙️ Config'!$A$4:$B$13,2,0),"")</f>
        <v/>
      </c>
      <c r="S12" s="14" t="str">
        <f aca="false">IFERROR(VLOOKUP(TRIM('📥 Respostas'!V12),'⚙️ Config'!$A$4:$B$13,2,0),"")</f>
        <v/>
      </c>
      <c r="T12" s="14" t="str">
        <f aca="false">IFERROR(VLOOKUP(TRIM('📥 Respostas'!W12),'⚙️ Config'!$A$4:$B$13,2,0),"")</f>
        <v/>
      </c>
      <c r="U12" s="14" t="str">
        <f aca="false">IFERROR(VLOOKUP(TRIM('📥 Respostas'!X12),'⚙️ Config'!$A$4:$B$13,2,0),"")</f>
        <v/>
      </c>
      <c r="V12" s="14" t="str">
        <f aca="false">IFERROR(VLOOKUP(TRIM('📥 Respostas'!Y12),'⚙️ Config'!$A$4:$B$13,2,0),"")</f>
        <v/>
      </c>
      <c r="W12" s="14" t="str">
        <f aca="false">IFERROR(VLOOKUP(TRIM('📥 Respostas'!Z12),'⚙️ Config'!$A$4:$B$13,2,0),"")</f>
        <v/>
      </c>
      <c r="X12" s="14" t="str">
        <f aca="false">IFERROR(VLOOKUP(TRIM('📥 Respostas'!AA12),'⚙️ Config'!$A$4:$B$13,2,0),"")</f>
        <v/>
      </c>
      <c r="Y12" s="14" t="str">
        <f aca="false">IFERROR(VLOOKUP(TRIM('📥 Respostas'!AB12),'⚙️ Config'!$A$4:$B$13,2,0),"")</f>
        <v/>
      </c>
      <c r="Z12" s="14" t="str">
        <f aca="false">IFERROR(VLOOKUP(TRIM('📥 Respostas'!AC12),'⚙️ Config'!$A$4:$B$13,2,0),"")</f>
        <v/>
      </c>
      <c r="AA12" s="14" t="str">
        <f aca="false">IFERROR(VLOOKUP(TRIM('📥 Respostas'!AD12),'⚙️ Config'!$A$4:$B$13,2,0),"")</f>
        <v/>
      </c>
      <c r="AB12" s="14" t="str">
        <f aca="false">IFERROR(VLOOKUP(TRIM('📥 Respostas'!AE12),'⚙️ Config'!$A$4:$B$13,2,0),"")</f>
        <v/>
      </c>
      <c r="AC12" s="14" t="str">
        <f aca="false">IFERROR(VLOOKUP(TRIM('📥 Respostas'!AF12),'⚙️ Config'!$A$4:$B$13,2,0),"")</f>
        <v/>
      </c>
      <c r="AD12" s="14" t="str">
        <f aca="false">IFERROR(VLOOKUP(TRIM('📥 Respostas'!AG12),'⚙️ Config'!$A$4:$B$13,2,0),"")</f>
        <v/>
      </c>
      <c r="AE12" s="14" t="str">
        <f aca="false">IFERROR(VLOOKUP(TRIM('📥 Respostas'!AH12),'⚙️ Config'!$A$4:$B$13,2,0),"")</f>
        <v/>
      </c>
      <c r="AF12" s="14" t="str">
        <f aca="false">IFERROR(VLOOKUP(TRIM('📥 Respostas'!AI12),'⚙️ Config'!$C$4:$D$11,2,0),"")</f>
        <v/>
      </c>
      <c r="AG12" s="14" t="str">
        <f aca="false">IFERROR(VLOOKUP(TRIM('📥 Respostas'!AJ12),'⚙️ Config'!$A$4:$B$13,2,0),"")</f>
        <v/>
      </c>
      <c r="AH12" s="14" t="str">
        <f aca="false">IFERROR(VLOOKUP(TRIM('📥 Respostas'!AK12),'⚙️ Config'!$A$4:$B$13,2,0),"")</f>
        <v/>
      </c>
      <c r="AI12" s="14" t="str">
        <f aca="false">IFERROR(VLOOKUP(TRIM('📥 Respostas'!AL12),'⚙️ Config'!$A$4:$B$13,2,0),"")</f>
        <v/>
      </c>
      <c r="AJ12" s="14" t="str">
        <f aca="false">IFERROR(VLOOKUP(TRIM('📥 Respostas'!AM12),'⚙️ Config'!$A$4:$B$13,2,0),"")</f>
        <v/>
      </c>
      <c r="AK12" s="14" t="str">
        <f aca="false">IFERROR(VLOOKUP(TRIM('📥 Respostas'!AN12),'⚙️ Config'!$A$4:$B$13,2,0),"")</f>
        <v/>
      </c>
      <c r="AL12" s="14" t="str">
        <f aca="false">IFERROR(VLOOKUP(TRIM('📥 Respostas'!AO12),'⚙️ Config'!$A$4:$B$13,2,0),"")</f>
        <v/>
      </c>
      <c r="AM12" s="14" t="str">
        <f aca="false">IFERROR(VLOOKUP(TRIM('📥 Respostas'!AP12),'⚙️ Config'!$A$4:$B$13,2,0),"")</f>
        <v/>
      </c>
      <c r="AN12" s="14" t="str">
        <f aca="false">IFERROR(VLOOKUP(TRIM('📥 Respostas'!AQ12),'⚙️ Config'!$A$4:$B$13,2,0),"")</f>
        <v/>
      </c>
      <c r="AO12" s="14" t="str">
        <f aca="false">IFERROR(VLOOKUP(TRIM('📥 Respostas'!AR12),'⚙️ Config'!$A$4:$B$13,2,0),"")</f>
        <v/>
      </c>
      <c r="AP12" s="14" t="str">
        <f aca="false">IFERROR(VLOOKUP(TRIM('📥 Respostas'!AS12),'⚙️ Config'!$A$4:$B$13,2,0),"")</f>
        <v/>
      </c>
      <c r="AQ12" s="14" t="str">
        <f aca="false">IFERROR(VLOOKUP(TRIM('📥 Respostas'!AT12),'⚙️ Config'!$A$4:$B$13,2,0),"")</f>
        <v/>
      </c>
      <c r="AR12" s="14" t="str">
        <f aca="false">IFERROR(VLOOKUP(TRIM('📥 Respostas'!AU12),'⚙️ Config'!$A$4:$B$13,2,0),"")</f>
        <v/>
      </c>
    </row>
    <row r="13" customFormat="false" ht="15" hidden="false" customHeight="false" outlineLevel="0" collapsed="false">
      <c r="A13" s="15" t="str">
        <f aca="false">IF(ISBLANK('📥 Respostas'!D13),"",ROW()-3)</f>
        <v/>
      </c>
      <c r="B13" s="15" t="n">
        <f aca="false">'📥 Respostas'!D13</f>
        <v>0</v>
      </c>
      <c r="C13" s="5" t="n">
        <f aca="false">'📥 Respostas'!C13</f>
        <v>0</v>
      </c>
      <c r="D13" s="14" t="str">
        <f aca="false">IFERROR(VLOOKUP(TRIM('📥 Respostas'!G13),'⚙️ Config'!$A$4:$B$13,2,0),"")</f>
        <v/>
      </c>
      <c r="E13" s="14" t="str">
        <f aca="false">IFERROR(VLOOKUP(TRIM('📥 Respostas'!H13),'⚙️ Config'!$A$4:$B$13,2,0),"")</f>
        <v/>
      </c>
      <c r="F13" s="14" t="str">
        <f aca="false">IFERROR(VLOOKUP(TRIM('📥 Respostas'!I13),'⚙️ Config'!$A$4:$B$13,2,0),"")</f>
        <v/>
      </c>
      <c r="G13" s="14" t="str">
        <f aca="false">IFERROR(VLOOKUP(TRIM('📥 Respostas'!J13),'⚙️ Config'!$A$4:$B$13,2,0),"")</f>
        <v/>
      </c>
      <c r="H13" s="14" t="str">
        <f aca="false">IFERROR(VLOOKUP(TRIM('📥 Respostas'!K13),'⚙️ Config'!$A$4:$B$13,2,0),"")</f>
        <v/>
      </c>
      <c r="I13" s="14" t="str">
        <f aca="false">IFERROR(VLOOKUP(TRIM('📥 Respostas'!L13),'⚙️ Config'!$A$4:$B$13,2,0),"")</f>
        <v/>
      </c>
      <c r="J13" s="14" t="str">
        <f aca="false">IFERROR(VLOOKUP(TRIM('📥 Respostas'!M13),'⚙️ Config'!$A$4:$B$13,2,0),"")</f>
        <v/>
      </c>
      <c r="K13" s="14" t="str">
        <f aca="false">IFERROR(VLOOKUP(TRIM('📥 Respostas'!N13),'⚙️ Config'!$A$4:$B$13,2,0),"")</f>
        <v/>
      </c>
      <c r="L13" s="14" t="str">
        <f aca="false">IFERROR(VLOOKUP(TRIM('📥 Respostas'!O13),'⚙️ Config'!$A$4:$B$13,2,0),"")</f>
        <v/>
      </c>
      <c r="M13" s="14" t="str">
        <f aca="false">IFERROR(VLOOKUP(TRIM('📥 Respostas'!P13),'⚙️ Config'!$A$4:$B$13,2,0),"")</f>
        <v/>
      </c>
      <c r="N13" s="14" t="str">
        <f aca="false">IFERROR(VLOOKUP(TRIM('📥 Respostas'!Q13),'⚙️ Config'!$A$4:$B$13,2,0),"")</f>
        <v/>
      </c>
      <c r="O13" s="14" t="str">
        <f aca="false">IFERROR(VLOOKUP(TRIM('📥 Respostas'!R13),'⚙️ Config'!$A$4:$B$13,2,0),"")</f>
        <v/>
      </c>
      <c r="P13" s="14" t="str">
        <f aca="false">IFERROR(VLOOKUP(TRIM('📥 Respostas'!S13),'⚙️ Config'!$A$4:$B$13,2,0),"")</f>
        <v/>
      </c>
      <c r="Q13" s="14" t="str">
        <f aca="false">IFERROR(VLOOKUP(TRIM('📥 Respostas'!T13),'⚙️ Config'!$A$4:$B$13,2,0),"")</f>
        <v/>
      </c>
      <c r="R13" s="14" t="str">
        <f aca="false">IFERROR(VLOOKUP(TRIM('📥 Respostas'!U13),'⚙️ Config'!$A$4:$B$13,2,0),"")</f>
        <v/>
      </c>
      <c r="S13" s="14" t="str">
        <f aca="false">IFERROR(VLOOKUP(TRIM('📥 Respostas'!V13),'⚙️ Config'!$A$4:$B$13,2,0),"")</f>
        <v/>
      </c>
      <c r="T13" s="14" t="str">
        <f aca="false">IFERROR(VLOOKUP(TRIM('📥 Respostas'!W13),'⚙️ Config'!$A$4:$B$13,2,0),"")</f>
        <v/>
      </c>
      <c r="U13" s="14" t="str">
        <f aca="false">IFERROR(VLOOKUP(TRIM('📥 Respostas'!X13),'⚙️ Config'!$A$4:$B$13,2,0),"")</f>
        <v/>
      </c>
      <c r="V13" s="14" t="str">
        <f aca="false">IFERROR(VLOOKUP(TRIM('📥 Respostas'!Y13),'⚙️ Config'!$A$4:$B$13,2,0),"")</f>
        <v/>
      </c>
      <c r="W13" s="14" t="str">
        <f aca="false">IFERROR(VLOOKUP(TRIM('📥 Respostas'!Z13),'⚙️ Config'!$A$4:$B$13,2,0),"")</f>
        <v/>
      </c>
      <c r="X13" s="14" t="str">
        <f aca="false">IFERROR(VLOOKUP(TRIM('📥 Respostas'!AA13),'⚙️ Config'!$A$4:$B$13,2,0),"")</f>
        <v/>
      </c>
      <c r="Y13" s="14" t="str">
        <f aca="false">IFERROR(VLOOKUP(TRIM('📥 Respostas'!AB13),'⚙️ Config'!$A$4:$B$13,2,0),"")</f>
        <v/>
      </c>
      <c r="Z13" s="14" t="str">
        <f aca="false">IFERROR(VLOOKUP(TRIM('📥 Respostas'!AC13),'⚙️ Config'!$A$4:$B$13,2,0),"")</f>
        <v/>
      </c>
      <c r="AA13" s="14" t="str">
        <f aca="false">IFERROR(VLOOKUP(TRIM('📥 Respostas'!AD13),'⚙️ Config'!$A$4:$B$13,2,0),"")</f>
        <v/>
      </c>
      <c r="AB13" s="14" t="str">
        <f aca="false">IFERROR(VLOOKUP(TRIM('📥 Respostas'!AE13),'⚙️ Config'!$A$4:$B$13,2,0),"")</f>
        <v/>
      </c>
      <c r="AC13" s="14" t="str">
        <f aca="false">IFERROR(VLOOKUP(TRIM('📥 Respostas'!AF13),'⚙️ Config'!$A$4:$B$13,2,0),"")</f>
        <v/>
      </c>
      <c r="AD13" s="14" t="str">
        <f aca="false">IFERROR(VLOOKUP(TRIM('📥 Respostas'!AG13),'⚙️ Config'!$A$4:$B$13,2,0),"")</f>
        <v/>
      </c>
      <c r="AE13" s="14" t="str">
        <f aca="false">IFERROR(VLOOKUP(TRIM('📥 Respostas'!AH13),'⚙️ Config'!$A$4:$B$13,2,0),"")</f>
        <v/>
      </c>
      <c r="AF13" s="14" t="str">
        <f aca="false">IFERROR(VLOOKUP(TRIM('📥 Respostas'!AI13),'⚙️ Config'!$C$4:$D$11,2,0),"")</f>
        <v/>
      </c>
      <c r="AG13" s="14" t="str">
        <f aca="false">IFERROR(VLOOKUP(TRIM('📥 Respostas'!AJ13),'⚙️ Config'!$A$4:$B$13,2,0),"")</f>
        <v/>
      </c>
      <c r="AH13" s="14" t="str">
        <f aca="false">IFERROR(VLOOKUP(TRIM('📥 Respostas'!AK13),'⚙️ Config'!$A$4:$B$13,2,0),"")</f>
        <v/>
      </c>
      <c r="AI13" s="14" t="str">
        <f aca="false">IFERROR(VLOOKUP(TRIM('📥 Respostas'!AL13),'⚙️ Config'!$A$4:$B$13,2,0),"")</f>
        <v/>
      </c>
      <c r="AJ13" s="14" t="str">
        <f aca="false">IFERROR(VLOOKUP(TRIM('📥 Respostas'!AM13),'⚙️ Config'!$A$4:$B$13,2,0),"")</f>
        <v/>
      </c>
      <c r="AK13" s="14" t="str">
        <f aca="false">IFERROR(VLOOKUP(TRIM('📥 Respostas'!AN13),'⚙️ Config'!$A$4:$B$13,2,0),"")</f>
        <v/>
      </c>
      <c r="AL13" s="14" t="str">
        <f aca="false">IFERROR(VLOOKUP(TRIM('📥 Respostas'!AO13),'⚙️ Config'!$A$4:$B$13,2,0),"")</f>
        <v/>
      </c>
      <c r="AM13" s="14" t="str">
        <f aca="false">IFERROR(VLOOKUP(TRIM('📥 Respostas'!AP13),'⚙️ Config'!$A$4:$B$13,2,0),"")</f>
        <v/>
      </c>
      <c r="AN13" s="14" t="str">
        <f aca="false">IFERROR(VLOOKUP(TRIM('📥 Respostas'!AQ13),'⚙️ Config'!$A$4:$B$13,2,0),"")</f>
        <v/>
      </c>
      <c r="AO13" s="14" t="str">
        <f aca="false">IFERROR(VLOOKUP(TRIM('📥 Respostas'!AR13),'⚙️ Config'!$A$4:$B$13,2,0),"")</f>
        <v/>
      </c>
      <c r="AP13" s="14" t="str">
        <f aca="false">IFERROR(VLOOKUP(TRIM('📥 Respostas'!AS13),'⚙️ Config'!$A$4:$B$13,2,0),"")</f>
        <v/>
      </c>
      <c r="AQ13" s="14" t="str">
        <f aca="false">IFERROR(VLOOKUP(TRIM('📥 Respostas'!AT13),'⚙️ Config'!$A$4:$B$13,2,0),"")</f>
        <v/>
      </c>
      <c r="AR13" s="14" t="str">
        <f aca="false">IFERROR(VLOOKUP(TRIM('📥 Respostas'!AU13),'⚙️ Config'!$A$4:$B$13,2,0),"")</f>
        <v/>
      </c>
    </row>
    <row r="14" customFormat="false" ht="15" hidden="false" customHeight="false" outlineLevel="0" collapsed="false">
      <c r="A14" s="12" t="str">
        <f aca="false">IF(ISBLANK('📥 Respostas'!D14),"",ROW()-3)</f>
        <v/>
      </c>
      <c r="B14" s="12" t="n">
        <f aca="false">'📥 Respostas'!D14</f>
        <v>0</v>
      </c>
      <c r="C14" s="13" t="n">
        <f aca="false">'📥 Respostas'!C14</f>
        <v>0</v>
      </c>
      <c r="D14" s="14" t="str">
        <f aca="false">IFERROR(VLOOKUP(TRIM('📥 Respostas'!G14),'⚙️ Config'!$A$4:$B$13,2,0),"")</f>
        <v/>
      </c>
      <c r="E14" s="14" t="str">
        <f aca="false">IFERROR(VLOOKUP(TRIM('📥 Respostas'!H14),'⚙️ Config'!$A$4:$B$13,2,0),"")</f>
        <v/>
      </c>
      <c r="F14" s="14" t="str">
        <f aca="false">IFERROR(VLOOKUP(TRIM('📥 Respostas'!I14),'⚙️ Config'!$A$4:$B$13,2,0),"")</f>
        <v/>
      </c>
      <c r="G14" s="14" t="str">
        <f aca="false">IFERROR(VLOOKUP(TRIM('📥 Respostas'!J14),'⚙️ Config'!$A$4:$B$13,2,0),"")</f>
        <v/>
      </c>
      <c r="H14" s="14" t="str">
        <f aca="false">IFERROR(VLOOKUP(TRIM('📥 Respostas'!K14),'⚙️ Config'!$A$4:$B$13,2,0),"")</f>
        <v/>
      </c>
      <c r="I14" s="14" t="str">
        <f aca="false">IFERROR(VLOOKUP(TRIM('📥 Respostas'!L14),'⚙️ Config'!$A$4:$B$13,2,0),"")</f>
        <v/>
      </c>
      <c r="J14" s="14" t="str">
        <f aca="false">IFERROR(VLOOKUP(TRIM('📥 Respostas'!M14),'⚙️ Config'!$A$4:$B$13,2,0),"")</f>
        <v/>
      </c>
      <c r="K14" s="14" t="str">
        <f aca="false">IFERROR(VLOOKUP(TRIM('📥 Respostas'!N14),'⚙️ Config'!$A$4:$B$13,2,0),"")</f>
        <v/>
      </c>
      <c r="L14" s="14" t="str">
        <f aca="false">IFERROR(VLOOKUP(TRIM('📥 Respostas'!O14),'⚙️ Config'!$A$4:$B$13,2,0),"")</f>
        <v/>
      </c>
      <c r="M14" s="14" t="str">
        <f aca="false">IFERROR(VLOOKUP(TRIM('📥 Respostas'!P14),'⚙️ Config'!$A$4:$B$13,2,0),"")</f>
        <v/>
      </c>
      <c r="N14" s="14" t="str">
        <f aca="false">IFERROR(VLOOKUP(TRIM('📥 Respostas'!Q14),'⚙️ Config'!$A$4:$B$13,2,0),"")</f>
        <v/>
      </c>
      <c r="O14" s="14" t="str">
        <f aca="false">IFERROR(VLOOKUP(TRIM('📥 Respostas'!R14),'⚙️ Config'!$A$4:$B$13,2,0),"")</f>
        <v/>
      </c>
      <c r="P14" s="14" t="str">
        <f aca="false">IFERROR(VLOOKUP(TRIM('📥 Respostas'!S14),'⚙️ Config'!$A$4:$B$13,2,0),"")</f>
        <v/>
      </c>
      <c r="Q14" s="14" t="str">
        <f aca="false">IFERROR(VLOOKUP(TRIM('📥 Respostas'!T14),'⚙️ Config'!$A$4:$B$13,2,0),"")</f>
        <v/>
      </c>
      <c r="R14" s="14" t="str">
        <f aca="false">IFERROR(VLOOKUP(TRIM('📥 Respostas'!U14),'⚙️ Config'!$A$4:$B$13,2,0),"")</f>
        <v/>
      </c>
      <c r="S14" s="14" t="str">
        <f aca="false">IFERROR(VLOOKUP(TRIM('📥 Respostas'!V14),'⚙️ Config'!$A$4:$B$13,2,0),"")</f>
        <v/>
      </c>
      <c r="T14" s="14" t="str">
        <f aca="false">IFERROR(VLOOKUP(TRIM('📥 Respostas'!W14),'⚙️ Config'!$A$4:$B$13,2,0),"")</f>
        <v/>
      </c>
      <c r="U14" s="14" t="str">
        <f aca="false">IFERROR(VLOOKUP(TRIM('📥 Respostas'!X14),'⚙️ Config'!$A$4:$B$13,2,0),"")</f>
        <v/>
      </c>
      <c r="V14" s="14" t="str">
        <f aca="false">IFERROR(VLOOKUP(TRIM('📥 Respostas'!Y14),'⚙️ Config'!$A$4:$B$13,2,0),"")</f>
        <v/>
      </c>
      <c r="W14" s="14" t="str">
        <f aca="false">IFERROR(VLOOKUP(TRIM('📥 Respostas'!Z14),'⚙️ Config'!$A$4:$B$13,2,0),"")</f>
        <v/>
      </c>
      <c r="X14" s="14" t="str">
        <f aca="false">IFERROR(VLOOKUP(TRIM('📥 Respostas'!AA14),'⚙️ Config'!$A$4:$B$13,2,0),"")</f>
        <v/>
      </c>
      <c r="Y14" s="14" t="str">
        <f aca="false">IFERROR(VLOOKUP(TRIM('📥 Respostas'!AB14),'⚙️ Config'!$A$4:$B$13,2,0),"")</f>
        <v/>
      </c>
      <c r="Z14" s="14" t="str">
        <f aca="false">IFERROR(VLOOKUP(TRIM('📥 Respostas'!AC14),'⚙️ Config'!$A$4:$B$13,2,0),"")</f>
        <v/>
      </c>
      <c r="AA14" s="14" t="str">
        <f aca="false">IFERROR(VLOOKUP(TRIM('📥 Respostas'!AD14),'⚙️ Config'!$A$4:$B$13,2,0),"")</f>
        <v/>
      </c>
      <c r="AB14" s="14" t="str">
        <f aca="false">IFERROR(VLOOKUP(TRIM('📥 Respostas'!AE14),'⚙️ Config'!$A$4:$B$13,2,0),"")</f>
        <v/>
      </c>
      <c r="AC14" s="14" t="str">
        <f aca="false">IFERROR(VLOOKUP(TRIM('📥 Respostas'!AF14),'⚙️ Config'!$A$4:$B$13,2,0),"")</f>
        <v/>
      </c>
      <c r="AD14" s="14" t="str">
        <f aca="false">IFERROR(VLOOKUP(TRIM('📥 Respostas'!AG14),'⚙️ Config'!$A$4:$B$13,2,0),"")</f>
        <v/>
      </c>
      <c r="AE14" s="14" t="str">
        <f aca="false">IFERROR(VLOOKUP(TRIM('📥 Respostas'!AH14),'⚙️ Config'!$A$4:$B$13,2,0),"")</f>
        <v/>
      </c>
      <c r="AF14" s="14" t="str">
        <f aca="false">IFERROR(VLOOKUP(TRIM('📥 Respostas'!AI14),'⚙️ Config'!$C$4:$D$11,2,0),"")</f>
        <v/>
      </c>
      <c r="AG14" s="14" t="str">
        <f aca="false">IFERROR(VLOOKUP(TRIM('📥 Respostas'!AJ14),'⚙️ Config'!$A$4:$B$13,2,0),"")</f>
        <v/>
      </c>
      <c r="AH14" s="14" t="str">
        <f aca="false">IFERROR(VLOOKUP(TRIM('📥 Respostas'!AK14),'⚙️ Config'!$A$4:$B$13,2,0),"")</f>
        <v/>
      </c>
      <c r="AI14" s="14" t="str">
        <f aca="false">IFERROR(VLOOKUP(TRIM('📥 Respostas'!AL14),'⚙️ Config'!$A$4:$B$13,2,0),"")</f>
        <v/>
      </c>
      <c r="AJ14" s="14" t="str">
        <f aca="false">IFERROR(VLOOKUP(TRIM('📥 Respostas'!AM14),'⚙️ Config'!$A$4:$B$13,2,0),"")</f>
        <v/>
      </c>
      <c r="AK14" s="14" t="str">
        <f aca="false">IFERROR(VLOOKUP(TRIM('📥 Respostas'!AN14),'⚙️ Config'!$A$4:$B$13,2,0),"")</f>
        <v/>
      </c>
      <c r="AL14" s="14" t="str">
        <f aca="false">IFERROR(VLOOKUP(TRIM('📥 Respostas'!AO14),'⚙️ Config'!$A$4:$B$13,2,0),"")</f>
        <v/>
      </c>
      <c r="AM14" s="14" t="str">
        <f aca="false">IFERROR(VLOOKUP(TRIM('📥 Respostas'!AP14),'⚙️ Config'!$A$4:$B$13,2,0),"")</f>
        <v/>
      </c>
      <c r="AN14" s="14" t="str">
        <f aca="false">IFERROR(VLOOKUP(TRIM('📥 Respostas'!AQ14),'⚙️ Config'!$A$4:$B$13,2,0),"")</f>
        <v/>
      </c>
      <c r="AO14" s="14" t="str">
        <f aca="false">IFERROR(VLOOKUP(TRIM('📥 Respostas'!AR14),'⚙️ Config'!$A$4:$B$13,2,0),"")</f>
        <v/>
      </c>
      <c r="AP14" s="14" t="str">
        <f aca="false">IFERROR(VLOOKUP(TRIM('📥 Respostas'!AS14),'⚙️ Config'!$A$4:$B$13,2,0),"")</f>
        <v/>
      </c>
      <c r="AQ14" s="14" t="str">
        <f aca="false">IFERROR(VLOOKUP(TRIM('📥 Respostas'!AT14),'⚙️ Config'!$A$4:$B$13,2,0),"")</f>
        <v/>
      </c>
      <c r="AR14" s="14" t="str">
        <f aca="false">IFERROR(VLOOKUP(TRIM('📥 Respostas'!AU14),'⚙️ Config'!$A$4:$B$13,2,0),"")</f>
        <v/>
      </c>
    </row>
    <row r="15" customFormat="false" ht="15" hidden="false" customHeight="false" outlineLevel="0" collapsed="false">
      <c r="A15" s="15" t="str">
        <f aca="false">IF(ISBLANK('📥 Respostas'!D15),"",ROW()-3)</f>
        <v/>
      </c>
      <c r="B15" s="15" t="n">
        <f aca="false">'📥 Respostas'!D15</f>
        <v>0</v>
      </c>
      <c r="C15" s="5" t="n">
        <f aca="false">'📥 Respostas'!C15</f>
        <v>0</v>
      </c>
      <c r="D15" s="14" t="str">
        <f aca="false">IFERROR(VLOOKUP(TRIM('📥 Respostas'!G15),'⚙️ Config'!$A$4:$B$13,2,0),"")</f>
        <v/>
      </c>
      <c r="E15" s="14" t="str">
        <f aca="false">IFERROR(VLOOKUP(TRIM('📥 Respostas'!H15),'⚙️ Config'!$A$4:$B$13,2,0),"")</f>
        <v/>
      </c>
      <c r="F15" s="14" t="str">
        <f aca="false">IFERROR(VLOOKUP(TRIM('📥 Respostas'!I15),'⚙️ Config'!$A$4:$B$13,2,0),"")</f>
        <v/>
      </c>
      <c r="G15" s="14" t="str">
        <f aca="false">IFERROR(VLOOKUP(TRIM('📥 Respostas'!J15),'⚙️ Config'!$A$4:$B$13,2,0),"")</f>
        <v/>
      </c>
      <c r="H15" s="14" t="str">
        <f aca="false">IFERROR(VLOOKUP(TRIM('📥 Respostas'!K15),'⚙️ Config'!$A$4:$B$13,2,0),"")</f>
        <v/>
      </c>
      <c r="I15" s="14" t="str">
        <f aca="false">IFERROR(VLOOKUP(TRIM('📥 Respostas'!L15),'⚙️ Config'!$A$4:$B$13,2,0),"")</f>
        <v/>
      </c>
      <c r="J15" s="14" t="str">
        <f aca="false">IFERROR(VLOOKUP(TRIM('📥 Respostas'!M15),'⚙️ Config'!$A$4:$B$13,2,0),"")</f>
        <v/>
      </c>
      <c r="K15" s="14" t="str">
        <f aca="false">IFERROR(VLOOKUP(TRIM('📥 Respostas'!N15),'⚙️ Config'!$A$4:$B$13,2,0),"")</f>
        <v/>
      </c>
      <c r="L15" s="14" t="str">
        <f aca="false">IFERROR(VLOOKUP(TRIM('📥 Respostas'!O15),'⚙️ Config'!$A$4:$B$13,2,0),"")</f>
        <v/>
      </c>
      <c r="M15" s="14" t="str">
        <f aca="false">IFERROR(VLOOKUP(TRIM('📥 Respostas'!P15),'⚙️ Config'!$A$4:$B$13,2,0),"")</f>
        <v/>
      </c>
      <c r="N15" s="14" t="str">
        <f aca="false">IFERROR(VLOOKUP(TRIM('📥 Respostas'!Q15),'⚙️ Config'!$A$4:$B$13,2,0),"")</f>
        <v/>
      </c>
      <c r="O15" s="14" t="str">
        <f aca="false">IFERROR(VLOOKUP(TRIM('📥 Respostas'!R15),'⚙️ Config'!$A$4:$B$13,2,0),"")</f>
        <v/>
      </c>
      <c r="P15" s="14" t="str">
        <f aca="false">IFERROR(VLOOKUP(TRIM('📥 Respostas'!S15),'⚙️ Config'!$A$4:$B$13,2,0),"")</f>
        <v/>
      </c>
      <c r="Q15" s="14" t="str">
        <f aca="false">IFERROR(VLOOKUP(TRIM('📥 Respostas'!T15),'⚙️ Config'!$A$4:$B$13,2,0),"")</f>
        <v/>
      </c>
      <c r="R15" s="14" t="str">
        <f aca="false">IFERROR(VLOOKUP(TRIM('📥 Respostas'!U15),'⚙️ Config'!$A$4:$B$13,2,0),"")</f>
        <v/>
      </c>
      <c r="S15" s="14" t="str">
        <f aca="false">IFERROR(VLOOKUP(TRIM('📥 Respostas'!V15),'⚙️ Config'!$A$4:$B$13,2,0),"")</f>
        <v/>
      </c>
      <c r="T15" s="14" t="str">
        <f aca="false">IFERROR(VLOOKUP(TRIM('📥 Respostas'!W15),'⚙️ Config'!$A$4:$B$13,2,0),"")</f>
        <v/>
      </c>
      <c r="U15" s="14" t="str">
        <f aca="false">IFERROR(VLOOKUP(TRIM('📥 Respostas'!X15),'⚙️ Config'!$A$4:$B$13,2,0),"")</f>
        <v/>
      </c>
      <c r="V15" s="14" t="str">
        <f aca="false">IFERROR(VLOOKUP(TRIM('📥 Respostas'!Y15),'⚙️ Config'!$A$4:$B$13,2,0),"")</f>
        <v/>
      </c>
      <c r="W15" s="14" t="str">
        <f aca="false">IFERROR(VLOOKUP(TRIM('📥 Respostas'!Z15),'⚙️ Config'!$A$4:$B$13,2,0),"")</f>
        <v/>
      </c>
      <c r="X15" s="14" t="str">
        <f aca="false">IFERROR(VLOOKUP(TRIM('📥 Respostas'!AA15),'⚙️ Config'!$A$4:$B$13,2,0),"")</f>
        <v/>
      </c>
      <c r="Y15" s="14" t="str">
        <f aca="false">IFERROR(VLOOKUP(TRIM('📥 Respostas'!AB15),'⚙️ Config'!$A$4:$B$13,2,0),"")</f>
        <v/>
      </c>
      <c r="Z15" s="14" t="str">
        <f aca="false">IFERROR(VLOOKUP(TRIM('📥 Respostas'!AC15),'⚙️ Config'!$A$4:$B$13,2,0),"")</f>
        <v/>
      </c>
      <c r="AA15" s="14" t="str">
        <f aca="false">IFERROR(VLOOKUP(TRIM('📥 Respostas'!AD15),'⚙️ Config'!$A$4:$B$13,2,0),"")</f>
        <v/>
      </c>
      <c r="AB15" s="14" t="str">
        <f aca="false">IFERROR(VLOOKUP(TRIM('📥 Respostas'!AE15),'⚙️ Config'!$A$4:$B$13,2,0),"")</f>
        <v/>
      </c>
      <c r="AC15" s="14" t="str">
        <f aca="false">IFERROR(VLOOKUP(TRIM('📥 Respostas'!AF15),'⚙️ Config'!$A$4:$B$13,2,0),"")</f>
        <v/>
      </c>
      <c r="AD15" s="14" t="str">
        <f aca="false">IFERROR(VLOOKUP(TRIM('📥 Respostas'!AG15),'⚙️ Config'!$A$4:$B$13,2,0),"")</f>
        <v/>
      </c>
      <c r="AE15" s="14" t="str">
        <f aca="false">IFERROR(VLOOKUP(TRIM('📥 Respostas'!AH15),'⚙️ Config'!$A$4:$B$13,2,0),"")</f>
        <v/>
      </c>
      <c r="AF15" s="14" t="str">
        <f aca="false">IFERROR(VLOOKUP(TRIM('📥 Respostas'!AI15),'⚙️ Config'!$C$4:$D$11,2,0),"")</f>
        <v/>
      </c>
      <c r="AG15" s="14" t="str">
        <f aca="false">IFERROR(VLOOKUP(TRIM('📥 Respostas'!AJ15),'⚙️ Config'!$A$4:$B$13,2,0),"")</f>
        <v/>
      </c>
      <c r="AH15" s="14" t="str">
        <f aca="false">IFERROR(VLOOKUP(TRIM('📥 Respostas'!AK15),'⚙️ Config'!$A$4:$B$13,2,0),"")</f>
        <v/>
      </c>
      <c r="AI15" s="14" t="str">
        <f aca="false">IFERROR(VLOOKUP(TRIM('📥 Respostas'!AL15),'⚙️ Config'!$A$4:$B$13,2,0),"")</f>
        <v/>
      </c>
      <c r="AJ15" s="14" t="str">
        <f aca="false">IFERROR(VLOOKUP(TRIM('📥 Respostas'!AM15),'⚙️ Config'!$A$4:$B$13,2,0),"")</f>
        <v/>
      </c>
      <c r="AK15" s="14" t="str">
        <f aca="false">IFERROR(VLOOKUP(TRIM('📥 Respostas'!AN15),'⚙️ Config'!$A$4:$B$13,2,0),"")</f>
        <v/>
      </c>
      <c r="AL15" s="14" t="str">
        <f aca="false">IFERROR(VLOOKUP(TRIM('📥 Respostas'!AO15),'⚙️ Config'!$A$4:$B$13,2,0),"")</f>
        <v/>
      </c>
      <c r="AM15" s="14" t="str">
        <f aca="false">IFERROR(VLOOKUP(TRIM('📥 Respostas'!AP15),'⚙️ Config'!$A$4:$B$13,2,0),"")</f>
        <v/>
      </c>
      <c r="AN15" s="14" t="str">
        <f aca="false">IFERROR(VLOOKUP(TRIM('📥 Respostas'!AQ15),'⚙️ Config'!$A$4:$B$13,2,0),"")</f>
        <v/>
      </c>
      <c r="AO15" s="14" t="str">
        <f aca="false">IFERROR(VLOOKUP(TRIM('📥 Respostas'!AR15),'⚙️ Config'!$A$4:$B$13,2,0),"")</f>
        <v/>
      </c>
      <c r="AP15" s="14" t="str">
        <f aca="false">IFERROR(VLOOKUP(TRIM('📥 Respostas'!AS15),'⚙️ Config'!$A$4:$B$13,2,0),"")</f>
        <v/>
      </c>
      <c r="AQ15" s="14" t="str">
        <f aca="false">IFERROR(VLOOKUP(TRIM('📥 Respostas'!AT15),'⚙️ Config'!$A$4:$B$13,2,0),"")</f>
        <v/>
      </c>
      <c r="AR15" s="14" t="str">
        <f aca="false">IFERROR(VLOOKUP(TRIM('📥 Respostas'!AU15),'⚙️ Config'!$A$4:$B$13,2,0),"")</f>
        <v/>
      </c>
    </row>
    <row r="16" customFormat="false" ht="15" hidden="false" customHeight="false" outlineLevel="0" collapsed="false">
      <c r="A16" s="12" t="str">
        <f aca="false">IF(ISBLANK('📥 Respostas'!D16),"",ROW()-3)</f>
        <v/>
      </c>
      <c r="B16" s="12" t="n">
        <f aca="false">'📥 Respostas'!D16</f>
        <v>0</v>
      </c>
      <c r="C16" s="13" t="n">
        <f aca="false">'📥 Respostas'!C16</f>
        <v>0</v>
      </c>
      <c r="D16" s="14" t="str">
        <f aca="false">IFERROR(VLOOKUP(TRIM('📥 Respostas'!G16),'⚙️ Config'!$A$4:$B$13,2,0),"")</f>
        <v/>
      </c>
      <c r="E16" s="14" t="str">
        <f aca="false">IFERROR(VLOOKUP(TRIM('📥 Respostas'!H16),'⚙️ Config'!$A$4:$B$13,2,0),"")</f>
        <v/>
      </c>
      <c r="F16" s="14" t="str">
        <f aca="false">IFERROR(VLOOKUP(TRIM('📥 Respostas'!I16),'⚙️ Config'!$A$4:$B$13,2,0),"")</f>
        <v/>
      </c>
      <c r="G16" s="14" t="str">
        <f aca="false">IFERROR(VLOOKUP(TRIM('📥 Respostas'!J16),'⚙️ Config'!$A$4:$B$13,2,0),"")</f>
        <v/>
      </c>
      <c r="H16" s="14" t="str">
        <f aca="false">IFERROR(VLOOKUP(TRIM('📥 Respostas'!K16),'⚙️ Config'!$A$4:$B$13,2,0),"")</f>
        <v/>
      </c>
      <c r="I16" s="14" t="str">
        <f aca="false">IFERROR(VLOOKUP(TRIM('📥 Respostas'!L16),'⚙️ Config'!$A$4:$B$13,2,0),"")</f>
        <v/>
      </c>
      <c r="J16" s="14" t="str">
        <f aca="false">IFERROR(VLOOKUP(TRIM('📥 Respostas'!M16),'⚙️ Config'!$A$4:$B$13,2,0),"")</f>
        <v/>
      </c>
      <c r="K16" s="14" t="str">
        <f aca="false">IFERROR(VLOOKUP(TRIM('📥 Respostas'!N16),'⚙️ Config'!$A$4:$B$13,2,0),"")</f>
        <v/>
      </c>
      <c r="L16" s="14" t="str">
        <f aca="false">IFERROR(VLOOKUP(TRIM('📥 Respostas'!O16),'⚙️ Config'!$A$4:$B$13,2,0),"")</f>
        <v/>
      </c>
      <c r="M16" s="14" t="str">
        <f aca="false">IFERROR(VLOOKUP(TRIM('📥 Respostas'!P16),'⚙️ Config'!$A$4:$B$13,2,0),"")</f>
        <v/>
      </c>
      <c r="N16" s="14" t="str">
        <f aca="false">IFERROR(VLOOKUP(TRIM('📥 Respostas'!Q16),'⚙️ Config'!$A$4:$B$13,2,0),"")</f>
        <v/>
      </c>
      <c r="O16" s="14" t="str">
        <f aca="false">IFERROR(VLOOKUP(TRIM('📥 Respostas'!R16),'⚙️ Config'!$A$4:$B$13,2,0),"")</f>
        <v/>
      </c>
      <c r="P16" s="14" t="str">
        <f aca="false">IFERROR(VLOOKUP(TRIM('📥 Respostas'!S16),'⚙️ Config'!$A$4:$B$13,2,0),"")</f>
        <v/>
      </c>
      <c r="Q16" s="14" t="str">
        <f aca="false">IFERROR(VLOOKUP(TRIM('📥 Respostas'!T16),'⚙️ Config'!$A$4:$B$13,2,0),"")</f>
        <v/>
      </c>
      <c r="R16" s="14" t="str">
        <f aca="false">IFERROR(VLOOKUP(TRIM('📥 Respostas'!U16),'⚙️ Config'!$A$4:$B$13,2,0),"")</f>
        <v/>
      </c>
      <c r="S16" s="14" t="str">
        <f aca="false">IFERROR(VLOOKUP(TRIM('📥 Respostas'!V16),'⚙️ Config'!$A$4:$B$13,2,0),"")</f>
        <v/>
      </c>
      <c r="T16" s="14" t="str">
        <f aca="false">IFERROR(VLOOKUP(TRIM('📥 Respostas'!W16),'⚙️ Config'!$A$4:$B$13,2,0),"")</f>
        <v/>
      </c>
      <c r="U16" s="14" t="str">
        <f aca="false">IFERROR(VLOOKUP(TRIM('📥 Respostas'!X16),'⚙️ Config'!$A$4:$B$13,2,0),"")</f>
        <v/>
      </c>
      <c r="V16" s="14" t="str">
        <f aca="false">IFERROR(VLOOKUP(TRIM('📥 Respostas'!Y16),'⚙️ Config'!$A$4:$B$13,2,0),"")</f>
        <v/>
      </c>
      <c r="W16" s="14" t="str">
        <f aca="false">IFERROR(VLOOKUP(TRIM('📥 Respostas'!Z16),'⚙️ Config'!$A$4:$B$13,2,0),"")</f>
        <v/>
      </c>
      <c r="X16" s="14" t="str">
        <f aca="false">IFERROR(VLOOKUP(TRIM('📥 Respostas'!AA16),'⚙️ Config'!$A$4:$B$13,2,0),"")</f>
        <v/>
      </c>
      <c r="Y16" s="14" t="str">
        <f aca="false">IFERROR(VLOOKUP(TRIM('📥 Respostas'!AB16),'⚙️ Config'!$A$4:$B$13,2,0),"")</f>
        <v/>
      </c>
      <c r="Z16" s="14" t="str">
        <f aca="false">IFERROR(VLOOKUP(TRIM('📥 Respostas'!AC16),'⚙️ Config'!$A$4:$B$13,2,0),"")</f>
        <v/>
      </c>
      <c r="AA16" s="14" t="str">
        <f aca="false">IFERROR(VLOOKUP(TRIM('📥 Respostas'!AD16),'⚙️ Config'!$A$4:$B$13,2,0),"")</f>
        <v/>
      </c>
      <c r="AB16" s="14" t="str">
        <f aca="false">IFERROR(VLOOKUP(TRIM('📥 Respostas'!AE16),'⚙️ Config'!$A$4:$B$13,2,0),"")</f>
        <v/>
      </c>
      <c r="AC16" s="14" t="str">
        <f aca="false">IFERROR(VLOOKUP(TRIM('📥 Respostas'!AF16),'⚙️ Config'!$A$4:$B$13,2,0),"")</f>
        <v/>
      </c>
      <c r="AD16" s="14" t="str">
        <f aca="false">IFERROR(VLOOKUP(TRIM('📥 Respostas'!AG16),'⚙️ Config'!$A$4:$B$13,2,0),"")</f>
        <v/>
      </c>
      <c r="AE16" s="14" t="str">
        <f aca="false">IFERROR(VLOOKUP(TRIM('📥 Respostas'!AH16),'⚙️ Config'!$A$4:$B$13,2,0),"")</f>
        <v/>
      </c>
      <c r="AF16" s="14" t="str">
        <f aca="false">IFERROR(VLOOKUP(TRIM('📥 Respostas'!AI16),'⚙️ Config'!$C$4:$D$11,2,0),"")</f>
        <v/>
      </c>
      <c r="AG16" s="14" t="str">
        <f aca="false">IFERROR(VLOOKUP(TRIM('📥 Respostas'!AJ16),'⚙️ Config'!$A$4:$B$13,2,0),"")</f>
        <v/>
      </c>
      <c r="AH16" s="14" t="str">
        <f aca="false">IFERROR(VLOOKUP(TRIM('📥 Respostas'!AK16),'⚙️ Config'!$A$4:$B$13,2,0),"")</f>
        <v/>
      </c>
      <c r="AI16" s="14" t="str">
        <f aca="false">IFERROR(VLOOKUP(TRIM('📥 Respostas'!AL16),'⚙️ Config'!$A$4:$B$13,2,0),"")</f>
        <v/>
      </c>
      <c r="AJ16" s="14" t="str">
        <f aca="false">IFERROR(VLOOKUP(TRIM('📥 Respostas'!AM16),'⚙️ Config'!$A$4:$B$13,2,0),"")</f>
        <v/>
      </c>
      <c r="AK16" s="14" t="str">
        <f aca="false">IFERROR(VLOOKUP(TRIM('📥 Respostas'!AN16),'⚙️ Config'!$A$4:$B$13,2,0),"")</f>
        <v/>
      </c>
      <c r="AL16" s="14" t="str">
        <f aca="false">IFERROR(VLOOKUP(TRIM('📥 Respostas'!AO16),'⚙️ Config'!$A$4:$B$13,2,0),"")</f>
        <v/>
      </c>
      <c r="AM16" s="14" t="str">
        <f aca="false">IFERROR(VLOOKUP(TRIM('📥 Respostas'!AP16),'⚙️ Config'!$A$4:$B$13,2,0),"")</f>
        <v/>
      </c>
      <c r="AN16" s="14" t="str">
        <f aca="false">IFERROR(VLOOKUP(TRIM('📥 Respostas'!AQ16),'⚙️ Config'!$A$4:$B$13,2,0),"")</f>
        <v/>
      </c>
      <c r="AO16" s="14" t="str">
        <f aca="false">IFERROR(VLOOKUP(TRIM('📥 Respostas'!AR16),'⚙️ Config'!$A$4:$B$13,2,0),"")</f>
        <v/>
      </c>
      <c r="AP16" s="14" t="str">
        <f aca="false">IFERROR(VLOOKUP(TRIM('📥 Respostas'!AS16),'⚙️ Config'!$A$4:$B$13,2,0),"")</f>
        <v/>
      </c>
      <c r="AQ16" s="14" t="str">
        <f aca="false">IFERROR(VLOOKUP(TRIM('📥 Respostas'!AT16),'⚙️ Config'!$A$4:$B$13,2,0),"")</f>
        <v/>
      </c>
      <c r="AR16" s="14" t="str">
        <f aca="false">IFERROR(VLOOKUP(TRIM('📥 Respostas'!AU16),'⚙️ Config'!$A$4:$B$13,2,0),"")</f>
        <v/>
      </c>
    </row>
    <row r="17" customFormat="false" ht="15" hidden="false" customHeight="false" outlineLevel="0" collapsed="false">
      <c r="A17" s="15" t="str">
        <f aca="false">IF(ISBLANK('📥 Respostas'!D17),"",ROW()-3)</f>
        <v/>
      </c>
      <c r="B17" s="15" t="n">
        <f aca="false">'📥 Respostas'!D17</f>
        <v>0</v>
      </c>
      <c r="C17" s="5" t="n">
        <f aca="false">'📥 Respostas'!C17</f>
        <v>0</v>
      </c>
      <c r="D17" s="14" t="str">
        <f aca="false">IFERROR(VLOOKUP(TRIM('📥 Respostas'!G17),'⚙️ Config'!$A$4:$B$13,2,0),"")</f>
        <v/>
      </c>
      <c r="E17" s="14" t="str">
        <f aca="false">IFERROR(VLOOKUP(TRIM('📥 Respostas'!H17),'⚙️ Config'!$A$4:$B$13,2,0),"")</f>
        <v/>
      </c>
      <c r="F17" s="14" t="str">
        <f aca="false">IFERROR(VLOOKUP(TRIM('📥 Respostas'!I17),'⚙️ Config'!$A$4:$B$13,2,0),"")</f>
        <v/>
      </c>
      <c r="G17" s="14" t="str">
        <f aca="false">IFERROR(VLOOKUP(TRIM('📥 Respostas'!J17),'⚙️ Config'!$A$4:$B$13,2,0),"")</f>
        <v/>
      </c>
      <c r="H17" s="14" t="str">
        <f aca="false">IFERROR(VLOOKUP(TRIM('📥 Respostas'!K17),'⚙️ Config'!$A$4:$B$13,2,0),"")</f>
        <v/>
      </c>
      <c r="I17" s="14" t="str">
        <f aca="false">IFERROR(VLOOKUP(TRIM('📥 Respostas'!L17),'⚙️ Config'!$A$4:$B$13,2,0),"")</f>
        <v/>
      </c>
      <c r="J17" s="14" t="str">
        <f aca="false">IFERROR(VLOOKUP(TRIM('📥 Respostas'!M17),'⚙️ Config'!$A$4:$B$13,2,0),"")</f>
        <v/>
      </c>
      <c r="K17" s="14" t="str">
        <f aca="false">IFERROR(VLOOKUP(TRIM('📥 Respostas'!N17),'⚙️ Config'!$A$4:$B$13,2,0),"")</f>
        <v/>
      </c>
      <c r="L17" s="14" t="str">
        <f aca="false">IFERROR(VLOOKUP(TRIM('📥 Respostas'!O17),'⚙️ Config'!$A$4:$B$13,2,0),"")</f>
        <v/>
      </c>
      <c r="M17" s="14" t="str">
        <f aca="false">IFERROR(VLOOKUP(TRIM('📥 Respostas'!P17),'⚙️ Config'!$A$4:$B$13,2,0),"")</f>
        <v/>
      </c>
      <c r="N17" s="14" t="str">
        <f aca="false">IFERROR(VLOOKUP(TRIM('📥 Respostas'!Q17),'⚙️ Config'!$A$4:$B$13,2,0),"")</f>
        <v/>
      </c>
      <c r="O17" s="14" t="str">
        <f aca="false">IFERROR(VLOOKUP(TRIM('📥 Respostas'!R17),'⚙️ Config'!$A$4:$B$13,2,0),"")</f>
        <v/>
      </c>
      <c r="P17" s="14" t="str">
        <f aca="false">IFERROR(VLOOKUP(TRIM('📥 Respostas'!S17),'⚙️ Config'!$A$4:$B$13,2,0),"")</f>
        <v/>
      </c>
      <c r="Q17" s="14" t="str">
        <f aca="false">IFERROR(VLOOKUP(TRIM('📥 Respostas'!T17),'⚙️ Config'!$A$4:$B$13,2,0),"")</f>
        <v/>
      </c>
      <c r="R17" s="14" t="str">
        <f aca="false">IFERROR(VLOOKUP(TRIM('📥 Respostas'!U17),'⚙️ Config'!$A$4:$B$13,2,0),"")</f>
        <v/>
      </c>
      <c r="S17" s="14" t="str">
        <f aca="false">IFERROR(VLOOKUP(TRIM('📥 Respostas'!V17),'⚙️ Config'!$A$4:$B$13,2,0),"")</f>
        <v/>
      </c>
      <c r="T17" s="14" t="str">
        <f aca="false">IFERROR(VLOOKUP(TRIM('📥 Respostas'!W17),'⚙️ Config'!$A$4:$B$13,2,0),"")</f>
        <v/>
      </c>
      <c r="U17" s="14" t="str">
        <f aca="false">IFERROR(VLOOKUP(TRIM('📥 Respostas'!X17),'⚙️ Config'!$A$4:$B$13,2,0),"")</f>
        <v/>
      </c>
      <c r="V17" s="14" t="str">
        <f aca="false">IFERROR(VLOOKUP(TRIM('📥 Respostas'!Y17),'⚙️ Config'!$A$4:$B$13,2,0),"")</f>
        <v/>
      </c>
      <c r="W17" s="14" t="str">
        <f aca="false">IFERROR(VLOOKUP(TRIM('📥 Respostas'!Z17),'⚙️ Config'!$A$4:$B$13,2,0),"")</f>
        <v/>
      </c>
      <c r="X17" s="14" t="str">
        <f aca="false">IFERROR(VLOOKUP(TRIM('📥 Respostas'!AA17),'⚙️ Config'!$A$4:$B$13,2,0),"")</f>
        <v/>
      </c>
      <c r="Y17" s="14" t="str">
        <f aca="false">IFERROR(VLOOKUP(TRIM('📥 Respostas'!AB17),'⚙️ Config'!$A$4:$B$13,2,0),"")</f>
        <v/>
      </c>
      <c r="Z17" s="14" t="str">
        <f aca="false">IFERROR(VLOOKUP(TRIM('📥 Respostas'!AC17),'⚙️ Config'!$A$4:$B$13,2,0),"")</f>
        <v/>
      </c>
      <c r="AA17" s="14" t="str">
        <f aca="false">IFERROR(VLOOKUP(TRIM('📥 Respostas'!AD17),'⚙️ Config'!$A$4:$B$13,2,0),"")</f>
        <v/>
      </c>
      <c r="AB17" s="14" t="str">
        <f aca="false">IFERROR(VLOOKUP(TRIM('📥 Respostas'!AE17),'⚙️ Config'!$A$4:$B$13,2,0),"")</f>
        <v/>
      </c>
      <c r="AC17" s="14" t="str">
        <f aca="false">IFERROR(VLOOKUP(TRIM('📥 Respostas'!AF17),'⚙️ Config'!$A$4:$B$13,2,0),"")</f>
        <v/>
      </c>
      <c r="AD17" s="14" t="str">
        <f aca="false">IFERROR(VLOOKUP(TRIM('📥 Respostas'!AG17),'⚙️ Config'!$A$4:$B$13,2,0),"")</f>
        <v/>
      </c>
      <c r="AE17" s="14" t="str">
        <f aca="false">IFERROR(VLOOKUP(TRIM('📥 Respostas'!AH17),'⚙️ Config'!$A$4:$B$13,2,0),"")</f>
        <v/>
      </c>
      <c r="AF17" s="14" t="str">
        <f aca="false">IFERROR(VLOOKUP(TRIM('📥 Respostas'!AI17),'⚙️ Config'!$C$4:$D$11,2,0),"")</f>
        <v/>
      </c>
      <c r="AG17" s="14" t="str">
        <f aca="false">IFERROR(VLOOKUP(TRIM('📥 Respostas'!AJ17),'⚙️ Config'!$A$4:$B$13,2,0),"")</f>
        <v/>
      </c>
      <c r="AH17" s="14" t="str">
        <f aca="false">IFERROR(VLOOKUP(TRIM('📥 Respostas'!AK17),'⚙️ Config'!$A$4:$B$13,2,0),"")</f>
        <v/>
      </c>
      <c r="AI17" s="14" t="str">
        <f aca="false">IFERROR(VLOOKUP(TRIM('📥 Respostas'!AL17),'⚙️ Config'!$A$4:$B$13,2,0),"")</f>
        <v/>
      </c>
      <c r="AJ17" s="14" t="str">
        <f aca="false">IFERROR(VLOOKUP(TRIM('📥 Respostas'!AM17),'⚙️ Config'!$A$4:$B$13,2,0),"")</f>
        <v/>
      </c>
      <c r="AK17" s="14" t="str">
        <f aca="false">IFERROR(VLOOKUP(TRIM('📥 Respostas'!AN17),'⚙️ Config'!$A$4:$B$13,2,0),"")</f>
        <v/>
      </c>
      <c r="AL17" s="14" t="str">
        <f aca="false">IFERROR(VLOOKUP(TRIM('📥 Respostas'!AO17),'⚙️ Config'!$A$4:$B$13,2,0),"")</f>
        <v/>
      </c>
      <c r="AM17" s="14" t="str">
        <f aca="false">IFERROR(VLOOKUP(TRIM('📥 Respostas'!AP17),'⚙️ Config'!$A$4:$B$13,2,0),"")</f>
        <v/>
      </c>
      <c r="AN17" s="14" t="str">
        <f aca="false">IFERROR(VLOOKUP(TRIM('📥 Respostas'!AQ17),'⚙️ Config'!$A$4:$B$13,2,0),"")</f>
        <v/>
      </c>
      <c r="AO17" s="14" t="str">
        <f aca="false">IFERROR(VLOOKUP(TRIM('📥 Respostas'!AR17),'⚙️ Config'!$A$4:$B$13,2,0),"")</f>
        <v/>
      </c>
      <c r="AP17" s="14" t="str">
        <f aca="false">IFERROR(VLOOKUP(TRIM('📥 Respostas'!AS17),'⚙️ Config'!$A$4:$B$13,2,0),"")</f>
        <v/>
      </c>
      <c r="AQ17" s="14" t="str">
        <f aca="false">IFERROR(VLOOKUP(TRIM('📥 Respostas'!AT17),'⚙️ Config'!$A$4:$B$13,2,0),"")</f>
        <v/>
      </c>
      <c r="AR17" s="14" t="str">
        <f aca="false">IFERROR(VLOOKUP(TRIM('📥 Respostas'!AU17),'⚙️ Config'!$A$4:$B$13,2,0),"")</f>
        <v/>
      </c>
    </row>
    <row r="18" customFormat="false" ht="15" hidden="false" customHeight="false" outlineLevel="0" collapsed="false">
      <c r="A18" s="12" t="str">
        <f aca="false">IF(ISBLANK('📥 Respostas'!D18),"",ROW()-3)</f>
        <v/>
      </c>
      <c r="B18" s="12" t="n">
        <f aca="false">'📥 Respostas'!D18</f>
        <v>0</v>
      </c>
      <c r="C18" s="13" t="n">
        <f aca="false">'📥 Respostas'!C18</f>
        <v>0</v>
      </c>
      <c r="D18" s="14" t="str">
        <f aca="false">IFERROR(VLOOKUP(TRIM('📥 Respostas'!G18),'⚙️ Config'!$A$4:$B$13,2,0),"")</f>
        <v/>
      </c>
      <c r="E18" s="14" t="str">
        <f aca="false">IFERROR(VLOOKUP(TRIM('📥 Respostas'!H18),'⚙️ Config'!$A$4:$B$13,2,0),"")</f>
        <v/>
      </c>
      <c r="F18" s="14" t="str">
        <f aca="false">IFERROR(VLOOKUP(TRIM('📥 Respostas'!I18),'⚙️ Config'!$A$4:$B$13,2,0),"")</f>
        <v/>
      </c>
      <c r="G18" s="14" t="str">
        <f aca="false">IFERROR(VLOOKUP(TRIM('📥 Respostas'!J18),'⚙️ Config'!$A$4:$B$13,2,0),"")</f>
        <v/>
      </c>
      <c r="H18" s="14" t="str">
        <f aca="false">IFERROR(VLOOKUP(TRIM('📥 Respostas'!K18),'⚙️ Config'!$A$4:$B$13,2,0),"")</f>
        <v/>
      </c>
      <c r="I18" s="14" t="str">
        <f aca="false">IFERROR(VLOOKUP(TRIM('📥 Respostas'!L18),'⚙️ Config'!$A$4:$B$13,2,0),"")</f>
        <v/>
      </c>
      <c r="J18" s="14" t="str">
        <f aca="false">IFERROR(VLOOKUP(TRIM('📥 Respostas'!M18),'⚙️ Config'!$A$4:$B$13,2,0),"")</f>
        <v/>
      </c>
      <c r="K18" s="14" t="str">
        <f aca="false">IFERROR(VLOOKUP(TRIM('📥 Respostas'!N18),'⚙️ Config'!$A$4:$B$13,2,0),"")</f>
        <v/>
      </c>
      <c r="L18" s="14" t="str">
        <f aca="false">IFERROR(VLOOKUP(TRIM('📥 Respostas'!O18),'⚙️ Config'!$A$4:$B$13,2,0),"")</f>
        <v/>
      </c>
      <c r="M18" s="14" t="str">
        <f aca="false">IFERROR(VLOOKUP(TRIM('📥 Respostas'!P18),'⚙️ Config'!$A$4:$B$13,2,0),"")</f>
        <v/>
      </c>
      <c r="N18" s="14" t="str">
        <f aca="false">IFERROR(VLOOKUP(TRIM('📥 Respostas'!Q18),'⚙️ Config'!$A$4:$B$13,2,0),"")</f>
        <v/>
      </c>
      <c r="O18" s="14" t="str">
        <f aca="false">IFERROR(VLOOKUP(TRIM('📥 Respostas'!R18),'⚙️ Config'!$A$4:$B$13,2,0),"")</f>
        <v/>
      </c>
      <c r="P18" s="14" t="str">
        <f aca="false">IFERROR(VLOOKUP(TRIM('📥 Respostas'!S18),'⚙️ Config'!$A$4:$B$13,2,0),"")</f>
        <v/>
      </c>
      <c r="Q18" s="14" t="str">
        <f aca="false">IFERROR(VLOOKUP(TRIM('📥 Respostas'!T18),'⚙️ Config'!$A$4:$B$13,2,0),"")</f>
        <v/>
      </c>
      <c r="R18" s="14" t="str">
        <f aca="false">IFERROR(VLOOKUP(TRIM('📥 Respostas'!U18),'⚙️ Config'!$A$4:$B$13,2,0),"")</f>
        <v/>
      </c>
      <c r="S18" s="14" t="str">
        <f aca="false">IFERROR(VLOOKUP(TRIM('📥 Respostas'!V18),'⚙️ Config'!$A$4:$B$13,2,0),"")</f>
        <v/>
      </c>
      <c r="T18" s="14" t="str">
        <f aca="false">IFERROR(VLOOKUP(TRIM('📥 Respostas'!W18),'⚙️ Config'!$A$4:$B$13,2,0),"")</f>
        <v/>
      </c>
      <c r="U18" s="14" t="str">
        <f aca="false">IFERROR(VLOOKUP(TRIM('📥 Respostas'!X18),'⚙️ Config'!$A$4:$B$13,2,0),"")</f>
        <v/>
      </c>
      <c r="V18" s="14" t="str">
        <f aca="false">IFERROR(VLOOKUP(TRIM('📥 Respostas'!Y18),'⚙️ Config'!$A$4:$B$13,2,0),"")</f>
        <v/>
      </c>
      <c r="W18" s="14" t="str">
        <f aca="false">IFERROR(VLOOKUP(TRIM('📥 Respostas'!Z18),'⚙️ Config'!$A$4:$B$13,2,0),"")</f>
        <v/>
      </c>
      <c r="X18" s="14" t="str">
        <f aca="false">IFERROR(VLOOKUP(TRIM('📥 Respostas'!AA18),'⚙️ Config'!$A$4:$B$13,2,0),"")</f>
        <v/>
      </c>
      <c r="Y18" s="14" t="str">
        <f aca="false">IFERROR(VLOOKUP(TRIM('📥 Respostas'!AB18),'⚙️ Config'!$A$4:$B$13,2,0),"")</f>
        <v/>
      </c>
      <c r="Z18" s="14" t="str">
        <f aca="false">IFERROR(VLOOKUP(TRIM('📥 Respostas'!AC18),'⚙️ Config'!$A$4:$B$13,2,0),"")</f>
        <v/>
      </c>
      <c r="AA18" s="14" t="str">
        <f aca="false">IFERROR(VLOOKUP(TRIM('📥 Respostas'!AD18),'⚙️ Config'!$A$4:$B$13,2,0),"")</f>
        <v/>
      </c>
      <c r="AB18" s="14" t="str">
        <f aca="false">IFERROR(VLOOKUP(TRIM('📥 Respostas'!AE18),'⚙️ Config'!$A$4:$B$13,2,0),"")</f>
        <v/>
      </c>
      <c r="AC18" s="14" t="str">
        <f aca="false">IFERROR(VLOOKUP(TRIM('📥 Respostas'!AF18),'⚙️ Config'!$A$4:$B$13,2,0),"")</f>
        <v/>
      </c>
      <c r="AD18" s="14" t="str">
        <f aca="false">IFERROR(VLOOKUP(TRIM('📥 Respostas'!AG18),'⚙️ Config'!$A$4:$B$13,2,0),"")</f>
        <v/>
      </c>
      <c r="AE18" s="14" t="str">
        <f aca="false">IFERROR(VLOOKUP(TRIM('📥 Respostas'!AH18),'⚙️ Config'!$A$4:$B$13,2,0),"")</f>
        <v/>
      </c>
      <c r="AF18" s="14" t="str">
        <f aca="false">IFERROR(VLOOKUP(TRIM('📥 Respostas'!AI18),'⚙️ Config'!$C$4:$D$11,2,0),"")</f>
        <v/>
      </c>
      <c r="AG18" s="14" t="str">
        <f aca="false">IFERROR(VLOOKUP(TRIM('📥 Respostas'!AJ18),'⚙️ Config'!$A$4:$B$13,2,0),"")</f>
        <v/>
      </c>
      <c r="AH18" s="14" t="str">
        <f aca="false">IFERROR(VLOOKUP(TRIM('📥 Respostas'!AK18),'⚙️ Config'!$A$4:$B$13,2,0),"")</f>
        <v/>
      </c>
      <c r="AI18" s="14" t="str">
        <f aca="false">IFERROR(VLOOKUP(TRIM('📥 Respostas'!AL18),'⚙️ Config'!$A$4:$B$13,2,0),"")</f>
        <v/>
      </c>
      <c r="AJ18" s="14" t="str">
        <f aca="false">IFERROR(VLOOKUP(TRIM('📥 Respostas'!AM18),'⚙️ Config'!$A$4:$B$13,2,0),"")</f>
        <v/>
      </c>
      <c r="AK18" s="14" t="str">
        <f aca="false">IFERROR(VLOOKUP(TRIM('📥 Respostas'!AN18),'⚙️ Config'!$A$4:$B$13,2,0),"")</f>
        <v/>
      </c>
      <c r="AL18" s="14" t="str">
        <f aca="false">IFERROR(VLOOKUP(TRIM('📥 Respostas'!AO18),'⚙️ Config'!$A$4:$B$13,2,0),"")</f>
        <v/>
      </c>
      <c r="AM18" s="14" t="str">
        <f aca="false">IFERROR(VLOOKUP(TRIM('📥 Respostas'!AP18),'⚙️ Config'!$A$4:$B$13,2,0),"")</f>
        <v/>
      </c>
      <c r="AN18" s="14" t="str">
        <f aca="false">IFERROR(VLOOKUP(TRIM('📥 Respostas'!AQ18),'⚙️ Config'!$A$4:$B$13,2,0),"")</f>
        <v/>
      </c>
      <c r="AO18" s="14" t="str">
        <f aca="false">IFERROR(VLOOKUP(TRIM('📥 Respostas'!AR18),'⚙️ Config'!$A$4:$B$13,2,0),"")</f>
        <v/>
      </c>
      <c r="AP18" s="14" t="str">
        <f aca="false">IFERROR(VLOOKUP(TRIM('📥 Respostas'!AS18),'⚙️ Config'!$A$4:$B$13,2,0),"")</f>
        <v/>
      </c>
      <c r="AQ18" s="14" t="str">
        <f aca="false">IFERROR(VLOOKUP(TRIM('📥 Respostas'!AT18),'⚙️ Config'!$A$4:$B$13,2,0),"")</f>
        <v/>
      </c>
      <c r="AR18" s="14" t="str">
        <f aca="false">IFERROR(VLOOKUP(TRIM('📥 Respostas'!AU18),'⚙️ Config'!$A$4:$B$13,2,0),"")</f>
        <v/>
      </c>
    </row>
    <row r="19" customFormat="false" ht="15" hidden="false" customHeight="false" outlineLevel="0" collapsed="false">
      <c r="A19" s="15" t="str">
        <f aca="false">IF(ISBLANK('📥 Respostas'!D19),"",ROW()-3)</f>
        <v/>
      </c>
      <c r="B19" s="15" t="n">
        <f aca="false">'📥 Respostas'!D19</f>
        <v>0</v>
      </c>
      <c r="C19" s="5" t="n">
        <f aca="false">'📥 Respostas'!C19</f>
        <v>0</v>
      </c>
      <c r="D19" s="14" t="str">
        <f aca="false">IFERROR(VLOOKUP(TRIM('📥 Respostas'!G19),'⚙️ Config'!$A$4:$B$13,2,0),"")</f>
        <v/>
      </c>
      <c r="E19" s="14" t="str">
        <f aca="false">IFERROR(VLOOKUP(TRIM('📥 Respostas'!H19),'⚙️ Config'!$A$4:$B$13,2,0),"")</f>
        <v/>
      </c>
      <c r="F19" s="14" t="str">
        <f aca="false">IFERROR(VLOOKUP(TRIM('📥 Respostas'!I19),'⚙️ Config'!$A$4:$B$13,2,0),"")</f>
        <v/>
      </c>
      <c r="G19" s="14" t="str">
        <f aca="false">IFERROR(VLOOKUP(TRIM('📥 Respostas'!J19),'⚙️ Config'!$A$4:$B$13,2,0),"")</f>
        <v/>
      </c>
      <c r="H19" s="14" t="str">
        <f aca="false">IFERROR(VLOOKUP(TRIM('📥 Respostas'!K19),'⚙️ Config'!$A$4:$B$13,2,0),"")</f>
        <v/>
      </c>
      <c r="I19" s="14" t="str">
        <f aca="false">IFERROR(VLOOKUP(TRIM('📥 Respostas'!L19),'⚙️ Config'!$A$4:$B$13,2,0),"")</f>
        <v/>
      </c>
      <c r="J19" s="14" t="str">
        <f aca="false">IFERROR(VLOOKUP(TRIM('📥 Respostas'!M19),'⚙️ Config'!$A$4:$B$13,2,0),"")</f>
        <v/>
      </c>
      <c r="K19" s="14" t="str">
        <f aca="false">IFERROR(VLOOKUP(TRIM('📥 Respostas'!N19),'⚙️ Config'!$A$4:$B$13,2,0),"")</f>
        <v/>
      </c>
      <c r="L19" s="14" t="str">
        <f aca="false">IFERROR(VLOOKUP(TRIM('📥 Respostas'!O19),'⚙️ Config'!$A$4:$B$13,2,0),"")</f>
        <v/>
      </c>
      <c r="M19" s="14" t="str">
        <f aca="false">IFERROR(VLOOKUP(TRIM('📥 Respostas'!P19),'⚙️ Config'!$A$4:$B$13,2,0),"")</f>
        <v/>
      </c>
      <c r="N19" s="14" t="str">
        <f aca="false">IFERROR(VLOOKUP(TRIM('📥 Respostas'!Q19),'⚙️ Config'!$A$4:$B$13,2,0),"")</f>
        <v/>
      </c>
      <c r="O19" s="14" t="str">
        <f aca="false">IFERROR(VLOOKUP(TRIM('📥 Respostas'!R19),'⚙️ Config'!$A$4:$B$13,2,0),"")</f>
        <v/>
      </c>
      <c r="P19" s="14" t="str">
        <f aca="false">IFERROR(VLOOKUP(TRIM('📥 Respostas'!S19),'⚙️ Config'!$A$4:$B$13,2,0),"")</f>
        <v/>
      </c>
      <c r="Q19" s="14" t="str">
        <f aca="false">IFERROR(VLOOKUP(TRIM('📥 Respostas'!T19),'⚙️ Config'!$A$4:$B$13,2,0),"")</f>
        <v/>
      </c>
      <c r="R19" s="14" t="str">
        <f aca="false">IFERROR(VLOOKUP(TRIM('📥 Respostas'!U19),'⚙️ Config'!$A$4:$B$13,2,0),"")</f>
        <v/>
      </c>
      <c r="S19" s="14" t="str">
        <f aca="false">IFERROR(VLOOKUP(TRIM('📥 Respostas'!V19),'⚙️ Config'!$A$4:$B$13,2,0),"")</f>
        <v/>
      </c>
      <c r="T19" s="14" t="str">
        <f aca="false">IFERROR(VLOOKUP(TRIM('📥 Respostas'!W19),'⚙️ Config'!$A$4:$B$13,2,0),"")</f>
        <v/>
      </c>
      <c r="U19" s="14" t="str">
        <f aca="false">IFERROR(VLOOKUP(TRIM('📥 Respostas'!X19),'⚙️ Config'!$A$4:$B$13,2,0),"")</f>
        <v/>
      </c>
      <c r="V19" s="14" t="str">
        <f aca="false">IFERROR(VLOOKUP(TRIM('📥 Respostas'!Y19),'⚙️ Config'!$A$4:$B$13,2,0),"")</f>
        <v/>
      </c>
      <c r="W19" s="14" t="str">
        <f aca="false">IFERROR(VLOOKUP(TRIM('📥 Respostas'!Z19),'⚙️ Config'!$A$4:$B$13,2,0),"")</f>
        <v/>
      </c>
      <c r="X19" s="14" t="str">
        <f aca="false">IFERROR(VLOOKUP(TRIM('📥 Respostas'!AA19),'⚙️ Config'!$A$4:$B$13,2,0),"")</f>
        <v/>
      </c>
      <c r="Y19" s="14" t="str">
        <f aca="false">IFERROR(VLOOKUP(TRIM('📥 Respostas'!AB19),'⚙️ Config'!$A$4:$B$13,2,0),"")</f>
        <v/>
      </c>
      <c r="Z19" s="14" t="str">
        <f aca="false">IFERROR(VLOOKUP(TRIM('📥 Respostas'!AC19),'⚙️ Config'!$A$4:$B$13,2,0),"")</f>
        <v/>
      </c>
      <c r="AA19" s="14" t="str">
        <f aca="false">IFERROR(VLOOKUP(TRIM('📥 Respostas'!AD19),'⚙️ Config'!$A$4:$B$13,2,0),"")</f>
        <v/>
      </c>
      <c r="AB19" s="14" t="str">
        <f aca="false">IFERROR(VLOOKUP(TRIM('📥 Respostas'!AE19),'⚙️ Config'!$A$4:$B$13,2,0),"")</f>
        <v/>
      </c>
      <c r="AC19" s="14" t="str">
        <f aca="false">IFERROR(VLOOKUP(TRIM('📥 Respostas'!AF19),'⚙️ Config'!$A$4:$B$13,2,0),"")</f>
        <v/>
      </c>
      <c r="AD19" s="14" t="str">
        <f aca="false">IFERROR(VLOOKUP(TRIM('📥 Respostas'!AG19),'⚙️ Config'!$A$4:$B$13,2,0),"")</f>
        <v/>
      </c>
      <c r="AE19" s="14" t="str">
        <f aca="false">IFERROR(VLOOKUP(TRIM('📥 Respostas'!AH19),'⚙️ Config'!$A$4:$B$13,2,0),"")</f>
        <v/>
      </c>
      <c r="AF19" s="14" t="str">
        <f aca="false">IFERROR(VLOOKUP(TRIM('📥 Respostas'!AI19),'⚙️ Config'!$C$4:$D$11,2,0),"")</f>
        <v/>
      </c>
      <c r="AG19" s="14" t="str">
        <f aca="false">IFERROR(VLOOKUP(TRIM('📥 Respostas'!AJ19),'⚙️ Config'!$A$4:$B$13,2,0),"")</f>
        <v/>
      </c>
      <c r="AH19" s="14" t="str">
        <f aca="false">IFERROR(VLOOKUP(TRIM('📥 Respostas'!AK19),'⚙️ Config'!$A$4:$B$13,2,0),"")</f>
        <v/>
      </c>
      <c r="AI19" s="14" t="str">
        <f aca="false">IFERROR(VLOOKUP(TRIM('📥 Respostas'!AL19),'⚙️ Config'!$A$4:$B$13,2,0),"")</f>
        <v/>
      </c>
      <c r="AJ19" s="14" t="str">
        <f aca="false">IFERROR(VLOOKUP(TRIM('📥 Respostas'!AM19),'⚙️ Config'!$A$4:$B$13,2,0),"")</f>
        <v/>
      </c>
      <c r="AK19" s="14" t="str">
        <f aca="false">IFERROR(VLOOKUP(TRIM('📥 Respostas'!AN19),'⚙️ Config'!$A$4:$B$13,2,0),"")</f>
        <v/>
      </c>
      <c r="AL19" s="14" t="str">
        <f aca="false">IFERROR(VLOOKUP(TRIM('📥 Respostas'!AO19),'⚙️ Config'!$A$4:$B$13,2,0),"")</f>
        <v/>
      </c>
      <c r="AM19" s="14" t="str">
        <f aca="false">IFERROR(VLOOKUP(TRIM('📥 Respostas'!AP19),'⚙️ Config'!$A$4:$B$13,2,0),"")</f>
        <v/>
      </c>
      <c r="AN19" s="14" t="str">
        <f aca="false">IFERROR(VLOOKUP(TRIM('📥 Respostas'!AQ19),'⚙️ Config'!$A$4:$B$13,2,0),"")</f>
        <v/>
      </c>
      <c r="AO19" s="14" t="str">
        <f aca="false">IFERROR(VLOOKUP(TRIM('📥 Respostas'!AR19),'⚙️ Config'!$A$4:$B$13,2,0),"")</f>
        <v/>
      </c>
      <c r="AP19" s="14" t="str">
        <f aca="false">IFERROR(VLOOKUP(TRIM('📥 Respostas'!AS19),'⚙️ Config'!$A$4:$B$13,2,0),"")</f>
        <v/>
      </c>
      <c r="AQ19" s="14" t="str">
        <f aca="false">IFERROR(VLOOKUP(TRIM('📥 Respostas'!AT19),'⚙️ Config'!$A$4:$B$13,2,0),"")</f>
        <v/>
      </c>
      <c r="AR19" s="14" t="str">
        <f aca="false">IFERROR(VLOOKUP(TRIM('📥 Respostas'!AU19),'⚙️ Config'!$A$4:$B$13,2,0),"")</f>
        <v/>
      </c>
    </row>
    <row r="20" customFormat="false" ht="15" hidden="false" customHeight="false" outlineLevel="0" collapsed="false">
      <c r="A20" s="12" t="str">
        <f aca="false">IF(ISBLANK('📥 Respostas'!D20),"",ROW()-3)</f>
        <v/>
      </c>
      <c r="B20" s="12" t="n">
        <f aca="false">'📥 Respostas'!D20</f>
        <v>0</v>
      </c>
      <c r="C20" s="13" t="n">
        <f aca="false">'📥 Respostas'!C20</f>
        <v>0</v>
      </c>
      <c r="D20" s="14" t="str">
        <f aca="false">IFERROR(VLOOKUP(TRIM('📥 Respostas'!G20),'⚙️ Config'!$A$4:$B$13,2,0),"")</f>
        <v/>
      </c>
      <c r="E20" s="14" t="str">
        <f aca="false">IFERROR(VLOOKUP(TRIM('📥 Respostas'!H20),'⚙️ Config'!$A$4:$B$13,2,0),"")</f>
        <v/>
      </c>
      <c r="F20" s="14" t="str">
        <f aca="false">IFERROR(VLOOKUP(TRIM('📥 Respostas'!I20),'⚙️ Config'!$A$4:$B$13,2,0),"")</f>
        <v/>
      </c>
      <c r="G20" s="14" t="str">
        <f aca="false">IFERROR(VLOOKUP(TRIM('📥 Respostas'!J20),'⚙️ Config'!$A$4:$B$13,2,0),"")</f>
        <v/>
      </c>
      <c r="H20" s="14" t="str">
        <f aca="false">IFERROR(VLOOKUP(TRIM('📥 Respostas'!K20),'⚙️ Config'!$A$4:$B$13,2,0),"")</f>
        <v/>
      </c>
      <c r="I20" s="14" t="str">
        <f aca="false">IFERROR(VLOOKUP(TRIM('📥 Respostas'!L20),'⚙️ Config'!$A$4:$B$13,2,0),"")</f>
        <v/>
      </c>
      <c r="J20" s="14" t="str">
        <f aca="false">IFERROR(VLOOKUP(TRIM('📥 Respostas'!M20),'⚙️ Config'!$A$4:$B$13,2,0),"")</f>
        <v/>
      </c>
      <c r="K20" s="14" t="str">
        <f aca="false">IFERROR(VLOOKUP(TRIM('📥 Respostas'!N20),'⚙️ Config'!$A$4:$B$13,2,0),"")</f>
        <v/>
      </c>
      <c r="L20" s="14" t="str">
        <f aca="false">IFERROR(VLOOKUP(TRIM('📥 Respostas'!O20),'⚙️ Config'!$A$4:$B$13,2,0),"")</f>
        <v/>
      </c>
      <c r="M20" s="14" t="str">
        <f aca="false">IFERROR(VLOOKUP(TRIM('📥 Respostas'!P20),'⚙️ Config'!$A$4:$B$13,2,0),"")</f>
        <v/>
      </c>
      <c r="N20" s="14" t="str">
        <f aca="false">IFERROR(VLOOKUP(TRIM('📥 Respostas'!Q20),'⚙️ Config'!$A$4:$B$13,2,0),"")</f>
        <v/>
      </c>
      <c r="O20" s="14" t="str">
        <f aca="false">IFERROR(VLOOKUP(TRIM('📥 Respostas'!R20),'⚙️ Config'!$A$4:$B$13,2,0),"")</f>
        <v/>
      </c>
      <c r="P20" s="14" t="str">
        <f aca="false">IFERROR(VLOOKUP(TRIM('📥 Respostas'!S20),'⚙️ Config'!$A$4:$B$13,2,0),"")</f>
        <v/>
      </c>
      <c r="Q20" s="14" t="str">
        <f aca="false">IFERROR(VLOOKUP(TRIM('📥 Respostas'!T20),'⚙️ Config'!$A$4:$B$13,2,0),"")</f>
        <v/>
      </c>
      <c r="R20" s="14" t="str">
        <f aca="false">IFERROR(VLOOKUP(TRIM('📥 Respostas'!U20),'⚙️ Config'!$A$4:$B$13,2,0),"")</f>
        <v/>
      </c>
      <c r="S20" s="14" t="str">
        <f aca="false">IFERROR(VLOOKUP(TRIM('📥 Respostas'!V20),'⚙️ Config'!$A$4:$B$13,2,0),"")</f>
        <v/>
      </c>
      <c r="T20" s="14" t="str">
        <f aca="false">IFERROR(VLOOKUP(TRIM('📥 Respostas'!W20),'⚙️ Config'!$A$4:$B$13,2,0),"")</f>
        <v/>
      </c>
      <c r="U20" s="14" t="str">
        <f aca="false">IFERROR(VLOOKUP(TRIM('📥 Respostas'!X20),'⚙️ Config'!$A$4:$B$13,2,0),"")</f>
        <v/>
      </c>
      <c r="V20" s="14" t="str">
        <f aca="false">IFERROR(VLOOKUP(TRIM('📥 Respostas'!Y20),'⚙️ Config'!$A$4:$B$13,2,0),"")</f>
        <v/>
      </c>
      <c r="W20" s="14" t="str">
        <f aca="false">IFERROR(VLOOKUP(TRIM('📥 Respostas'!Z20),'⚙️ Config'!$A$4:$B$13,2,0),"")</f>
        <v/>
      </c>
      <c r="X20" s="14" t="str">
        <f aca="false">IFERROR(VLOOKUP(TRIM('📥 Respostas'!AA20),'⚙️ Config'!$A$4:$B$13,2,0),"")</f>
        <v/>
      </c>
      <c r="Y20" s="14" t="str">
        <f aca="false">IFERROR(VLOOKUP(TRIM('📥 Respostas'!AB20),'⚙️ Config'!$A$4:$B$13,2,0),"")</f>
        <v/>
      </c>
      <c r="Z20" s="14" t="str">
        <f aca="false">IFERROR(VLOOKUP(TRIM('📥 Respostas'!AC20),'⚙️ Config'!$A$4:$B$13,2,0),"")</f>
        <v/>
      </c>
      <c r="AA20" s="14" t="str">
        <f aca="false">IFERROR(VLOOKUP(TRIM('📥 Respostas'!AD20),'⚙️ Config'!$A$4:$B$13,2,0),"")</f>
        <v/>
      </c>
      <c r="AB20" s="14" t="str">
        <f aca="false">IFERROR(VLOOKUP(TRIM('📥 Respostas'!AE20),'⚙️ Config'!$A$4:$B$13,2,0),"")</f>
        <v/>
      </c>
      <c r="AC20" s="14" t="str">
        <f aca="false">IFERROR(VLOOKUP(TRIM('📥 Respostas'!AF20),'⚙️ Config'!$A$4:$B$13,2,0),"")</f>
        <v/>
      </c>
      <c r="AD20" s="14" t="str">
        <f aca="false">IFERROR(VLOOKUP(TRIM('📥 Respostas'!AG20),'⚙️ Config'!$A$4:$B$13,2,0),"")</f>
        <v/>
      </c>
      <c r="AE20" s="14" t="str">
        <f aca="false">IFERROR(VLOOKUP(TRIM('📥 Respostas'!AH20),'⚙️ Config'!$A$4:$B$13,2,0),"")</f>
        <v/>
      </c>
      <c r="AF20" s="14" t="str">
        <f aca="false">IFERROR(VLOOKUP(TRIM('📥 Respostas'!AI20),'⚙️ Config'!$C$4:$D$11,2,0),"")</f>
        <v/>
      </c>
      <c r="AG20" s="14" t="str">
        <f aca="false">IFERROR(VLOOKUP(TRIM('📥 Respostas'!AJ20),'⚙️ Config'!$A$4:$B$13,2,0),"")</f>
        <v/>
      </c>
      <c r="AH20" s="14" t="str">
        <f aca="false">IFERROR(VLOOKUP(TRIM('📥 Respostas'!AK20),'⚙️ Config'!$A$4:$B$13,2,0),"")</f>
        <v/>
      </c>
      <c r="AI20" s="14" t="str">
        <f aca="false">IFERROR(VLOOKUP(TRIM('📥 Respostas'!AL20),'⚙️ Config'!$A$4:$B$13,2,0),"")</f>
        <v/>
      </c>
      <c r="AJ20" s="14" t="str">
        <f aca="false">IFERROR(VLOOKUP(TRIM('📥 Respostas'!AM20),'⚙️ Config'!$A$4:$B$13,2,0),"")</f>
        <v/>
      </c>
      <c r="AK20" s="14" t="str">
        <f aca="false">IFERROR(VLOOKUP(TRIM('📥 Respostas'!AN20),'⚙️ Config'!$A$4:$B$13,2,0),"")</f>
        <v/>
      </c>
      <c r="AL20" s="14" t="str">
        <f aca="false">IFERROR(VLOOKUP(TRIM('📥 Respostas'!AO20),'⚙️ Config'!$A$4:$B$13,2,0),"")</f>
        <v/>
      </c>
      <c r="AM20" s="14" t="str">
        <f aca="false">IFERROR(VLOOKUP(TRIM('📥 Respostas'!AP20),'⚙️ Config'!$A$4:$B$13,2,0),"")</f>
        <v/>
      </c>
      <c r="AN20" s="14" t="str">
        <f aca="false">IFERROR(VLOOKUP(TRIM('📥 Respostas'!AQ20),'⚙️ Config'!$A$4:$B$13,2,0),"")</f>
        <v/>
      </c>
      <c r="AO20" s="14" t="str">
        <f aca="false">IFERROR(VLOOKUP(TRIM('📥 Respostas'!AR20),'⚙️ Config'!$A$4:$B$13,2,0),"")</f>
        <v/>
      </c>
      <c r="AP20" s="14" t="str">
        <f aca="false">IFERROR(VLOOKUP(TRIM('📥 Respostas'!AS20),'⚙️ Config'!$A$4:$B$13,2,0),"")</f>
        <v/>
      </c>
      <c r="AQ20" s="14" t="str">
        <f aca="false">IFERROR(VLOOKUP(TRIM('📥 Respostas'!AT20),'⚙️ Config'!$A$4:$B$13,2,0),"")</f>
        <v/>
      </c>
      <c r="AR20" s="14" t="str">
        <f aca="false">IFERROR(VLOOKUP(TRIM('📥 Respostas'!AU20),'⚙️ Config'!$A$4:$B$13,2,0),"")</f>
        <v/>
      </c>
    </row>
    <row r="21" customFormat="false" ht="15" hidden="false" customHeight="false" outlineLevel="0" collapsed="false">
      <c r="A21" s="15" t="str">
        <f aca="false">IF(ISBLANK('📥 Respostas'!D21),"",ROW()-3)</f>
        <v/>
      </c>
      <c r="B21" s="15" t="n">
        <f aca="false">'📥 Respostas'!D21</f>
        <v>0</v>
      </c>
      <c r="C21" s="5" t="n">
        <f aca="false">'📥 Respostas'!C21</f>
        <v>0</v>
      </c>
      <c r="D21" s="14" t="str">
        <f aca="false">IFERROR(VLOOKUP(TRIM('📥 Respostas'!G21),'⚙️ Config'!$A$4:$B$13,2,0),"")</f>
        <v/>
      </c>
      <c r="E21" s="14" t="str">
        <f aca="false">IFERROR(VLOOKUP(TRIM('📥 Respostas'!H21),'⚙️ Config'!$A$4:$B$13,2,0),"")</f>
        <v/>
      </c>
      <c r="F21" s="14" t="str">
        <f aca="false">IFERROR(VLOOKUP(TRIM('📥 Respostas'!I21),'⚙️ Config'!$A$4:$B$13,2,0),"")</f>
        <v/>
      </c>
      <c r="G21" s="14" t="str">
        <f aca="false">IFERROR(VLOOKUP(TRIM('📥 Respostas'!J21),'⚙️ Config'!$A$4:$B$13,2,0),"")</f>
        <v/>
      </c>
      <c r="H21" s="14" t="str">
        <f aca="false">IFERROR(VLOOKUP(TRIM('📥 Respostas'!K21),'⚙️ Config'!$A$4:$B$13,2,0),"")</f>
        <v/>
      </c>
      <c r="I21" s="14" t="str">
        <f aca="false">IFERROR(VLOOKUP(TRIM('📥 Respostas'!L21),'⚙️ Config'!$A$4:$B$13,2,0),"")</f>
        <v/>
      </c>
      <c r="J21" s="14" t="str">
        <f aca="false">IFERROR(VLOOKUP(TRIM('📥 Respostas'!M21),'⚙️ Config'!$A$4:$B$13,2,0),"")</f>
        <v/>
      </c>
      <c r="K21" s="14" t="str">
        <f aca="false">IFERROR(VLOOKUP(TRIM('📥 Respostas'!N21),'⚙️ Config'!$A$4:$B$13,2,0),"")</f>
        <v/>
      </c>
      <c r="L21" s="14" t="str">
        <f aca="false">IFERROR(VLOOKUP(TRIM('📥 Respostas'!O21),'⚙️ Config'!$A$4:$B$13,2,0),"")</f>
        <v/>
      </c>
      <c r="M21" s="14" t="str">
        <f aca="false">IFERROR(VLOOKUP(TRIM('📥 Respostas'!P21),'⚙️ Config'!$A$4:$B$13,2,0),"")</f>
        <v/>
      </c>
      <c r="N21" s="14" t="str">
        <f aca="false">IFERROR(VLOOKUP(TRIM('📥 Respostas'!Q21),'⚙️ Config'!$A$4:$B$13,2,0),"")</f>
        <v/>
      </c>
      <c r="O21" s="14" t="str">
        <f aca="false">IFERROR(VLOOKUP(TRIM('📥 Respostas'!R21),'⚙️ Config'!$A$4:$B$13,2,0),"")</f>
        <v/>
      </c>
      <c r="P21" s="14" t="str">
        <f aca="false">IFERROR(VLOOKUP(TRIM('📥 Respostas'!S21),'⚙️ Config'!$A$4:$B$13,2,0),"")</f>
        <v/>
      </c>
      <c r="Q21" s="14" t="str">
        <f aca="false">IFERROR(VLOOKUP(TRIM('📥 Respostas'!T21),'⚙️ Config'!$A$4:$B$13,2,0),"")</f>
        <v/>
      </c>
      <c r="R21" s="14" t="str">
        <f aca="false">IFERROR(VLOOKUP(TRIM('📥 Respostas'!U21),'⚙️ Config'!$A$4:$B$13,2,0),"")</f>
        <v/>
      </c>
      <c r="S21" s="14" t="str">
        <f aca="false">IFERROR(VLOOKUP(TRIM('📥 Respostas'!V21),'⚙️ Config'!$A$4:$B$13,2,0),"")</f>
        <v/>
      </c>
      <c r="T21" s="14" t="str">
        <f aca="false">IFERROR(VLOOKUP(TRIM('📥 Respostas'!W21),'⚙️ Config'!$A$4:$B$13,2,0),"")</f>
        <v/>
      </c>
      <c r="U21" s="14" t="str">
        <f aca="false">IFERROR(VLOOKUP(TRIM('📥 Respostas'!X21),'⚙️ Config'!$A$4:$B$13,2,0),"")</f>
        <v/>
      </c>
      <c r="V21" s="14" t="str">
        <f aca="false">IFERROR(VLOOKUP(TRIM('📥 Respostas'!Y21),'⚙️ Config'!$A$4:$B$13,2,0),"")</f>
        <v/>
      </c>
      <c r="W21" s="14" t="str">
        <f aca="false">IFERROR(VLOOKUP(TRIM('📥 Respostas'!Z21),'⚙️ Config'!$A$4:$B$13,2,0),"")</f>
        <v/>
      </c>
      <c r="X21" s="14" t="str">
        <f aca="false">IFERROR(VLOOKUP(TRIM('📥 Respostas'!AA21),'⚙️ Config'!$A$4:$B$13,2,0),"")</f>
        <v/>
      </c>
      <c r="Y21" s="14" t="str">
        <f aca="false">IFERROR(VLOOKUP(TRIM('📥 Respostas'!AB21),'⚙️ Config'!$A$4:$B$13,2,0),"")</f>
        <v/>
      </c>
      <c r="Z21" s="14" t="str">
        <f aca="false">IFERROR(VLOOKUP(TRIM('📥 Respostas'!AC21),'⚙️ Config'!$A$4:$B$13,2,0),"")</f>
        <v/>
      </c>
      <c r="AA21" s="14" t="str">
        <f aca="false">IFERROR(VLOOKUP(TRIM('📥 Respostas'!AD21),'⚙️ Config'!$A$4:$B$13,2,0),"")</f>
        <v/>
      </c>
      <c r="AB21" s="14" t="str">
        <f aca="false">IFERROR(VLOOKUP(TRIM('📥 Respostas'!AE21),'⚙️ Config'!$A$4:$B$13,2,0),"")</f>
        <v/>
      </c>
      <c r="AC21" s="14" t="str">
        <f aca="false">IFERROR(VLOOKUP(TRIM('📥 Respostas'!AF21),'⚙️ Config'!$A$4:$B$13,2,0),"")</f>
        <v/>
      </c>
      <c r="AD21" s="14" t="str">
        <f aca="false">IFERROR(VLOOKUP(TRIM('📥 Respostas'!AG21),'⚙️ Config'!$A$4:$B$13,2,0),"")</f>
        <v/>
      </c>
      <c r="AE21" s="14" t="str">
        <f aca="false">IFERROR(VLOOKUP(TRIM('📥 Respostas'!AH21),'⚙️ Config'!$A$4:$B$13,2,0),"")</f>
        <v/>
      </c>
      <c r="AF21" s="14" t="str">
        <f aca="false">IFERROR(VLOOKUP(TRIM('📥 Respostas'!AI21),'⚙️ Config'!$C$4:$D$11,2,0),"")</f>
        <v/>
      </c>
      <c r="AG21" s="14" t="str">
        <f aca="false">IFERROR(VLOOKUP(TRIM('📥 Respostas'!AJ21),'⚙️ Config'!$A$4:$B$13,2,0),"")</f>
        <v/>
      </c>
      <c r="AH21" s="14" t="str">
        <f aca="false">IFERROR(VLOOKUP(TRIM('📥 Respostas'!AK21),'⚙️ Config'!$A$4:$B$13,2,0),"")</f>
        <v/>
      </c>
      <c r="AI21" s="14" t="str">
        <f aca="false">IFERROR(VLOOKUP(TRIM('📥 Respostas'!AL21),'⚙️ Config'!$A$4:$B$13,2,0),"")</f>
        <v/>
      </c>
      <c r="AJ21" s="14" t="str">
        <f aca="false">IFERROR(VLOOKUP(TRIM('📥 Respostas'!AM21),'⚙️ Config'!$A$4:$B$13,2,0),"")</f>
        <v/>
      </c>
      <c r="AK21" s="14" t="str">
        <f aca="false">IFERROR(VLOOKUP(TRIM('📥 Respostas'!AN21),'⚙️ Config'!$A$4:$B$13,2,0),"")</f>
        <v/>
      </c>
      <c r="AL21" s="14" t="str">
        <f aca="false">IFERROR(VLOOKUP(TRIM('📥 Respostas'!AO21),'⚙️ Config'!$A$4:$B$13,2,0),"")</f>
        <v/>
      </c>
      <c r="AM21" s="14" t="str">
        <f aca="false">IFERROR(VLOOKUP(TRIM('📥 Respostas'!AP21),'⚙️ Config'!$A$4:$B$13,2,0),"")</f>
        <v/>
      </c>
      <c r="AN21" s="14" t="str">
        <f aca="false">IFERROR(VLOOKUP(TRIM('📥 Respostas'!AQ21),'⚙️ Config'!$A$4:$B$13,2,0),"")</f>
        <v/>
      </c>
      <c r="AO21" s="14" t="str">
        <f aca="false">IFERROR(VLOOKUP(TRIM('📥 Respostas'!AR21),'⚙️ Config'!$A$4:$B$13,2,0),"")</f>
        <v/>
      </c>
      <c r="AP21" s="14" t="str">
        <f aca="false">IFERROR(VLOOKUP(TRIM('📥 Respostas'!AS21),'⚙️ Config'!$A$4:$B$13,2,0),"")</f>
        <v/>
      </c>
      <c r="AQ21" s="14" t="str">
        <f aca="false">IFERROR(VLOOKUP(TRIM('📥 Respostas'!AT21),'⚙️ Config'!$A$4:$B$13,2,0),"")</f>
        <v/>
      </c>
      <c r="AR21" s="14" t="str">
        <f aca="false">IFERROR(VLOOKUP(TRIM('📥 Respostas'!AU21),'⚙️ Config'!$A$4:$B$13,2,0),"")</f>
        <v/>
      </c>
    </row>
    <row r="22" customFormat="false" ht="15" hidden="false" customHeight="false" outlineLevel="0" collapsed="false">
      <c r="A22" s="12" t="str">
        <f aca="false">IF(ISBLANK('📥 Respostas'!D22),"",ROW()-3)</f>
        <v/>
      </c>
      <c r="B22" s="12" t="n">
        <f aca="false">'📥 Respostas'!D22</f>
        <v>0</v>
      </c>
      <c r="C22" s="13" t="n">
        <f aca="false">'📥 Respostas'!C22</f>
        <v>0</v>
      </c>
      <c r="D22" s="14" t="str">
        <f aca="false">IFERROR(VLOOKUP(TRIM('📥 Respostas'!G22),'⚙️ Config'!$A$4:$B$13,2,0),"")</f>
        <v/>
      </c>
      <c r="E22" s="14" t="str">
        <f aca="false">IFERROR(VLOOKUP(TRIM('📥 Respostas'!H22),'⚙️ Config'!$A$4:$B$13,2,0),"")</f>
        <v/>
      </c>
      <c r="F22" s="14" t="str">
        <f aca="false">IFERROR(VLOOKUP(TRIM('📥 Respostas'!I22),'⚙️ Config'!$A$4:$B$13,2,0),"")</f>
        <v/>
      </c>
      <c r="G22" s="14" t="str">
        <f aca="false">IFERROR(VLOOKUP(TRIM('📥 Respostas'!J22),'⚙️ Config'!$A$4:$B$13,2,0),"")</f>
        <v/>
      </c>
      <c r="H22" s="14" t="str">
        <f aca="false">IFERROR(VLOOKUP(TRIM('📥 Respostas'!K22),'⚙️ Config'!$A$4:$B$13,2,0),"")</f>
        <v/>
      </c>
      <c r="I22" s="14" t="str">
        <f aca="false">IFERROR(VLOOKUP(TRIM('📥 Respostas'!L22),'⚙️ Config'!$A$4:$B$13,2,0),"")</f>
        <v/>
      </c>
      <c r="J22" s="14" t="str">
        <f aca="false">IFERROR(VLOOKUP(TRIM('📥 Respostas'!M22),'⚙️ Config'!$A$4:$B$13,2,0),"")</f>
        <v/>
      </c>
      <c r="K22" s="14" t="str">
        <f aca="false">IFERROR(VLOOKUP(TRIM('📥 Respostas'!N22),'⚙️ Config'!$A$4:$B$13,2,0),"")</f>
        <v/>
      </c>
      <c r="L22" s="14" t="str">
        <f aca="false">IFERROR(VLOOKUP(TRIM('📥 Respostas'!O22),'⚙️ Config'!$A$4:$B$13,2,0),"")</f>
        <v/>
      </c>
      <c r="M22" s="14" t="str">
        <f aca="false">IFERROR(VLOOKUP(TRIM('📥 Respostas'!P22),'⚙️ Config'!$A$4:$B$13,2,0),"")</f>
        <v/>
      </c>
      <c r="N22" s="14" t="str">
        <f aca="false">IFERROR(VLOOKUP(TRIM('📥 Respostas'!Q22),'⚙️ Config'!$A$4:$B$13,2,0),"")</f>
        <v/>
      </c>
      <c r="O22" s="14" t="str">
        <f aca="false">IFERROR(VLOOKUP(TRIM('📥 Respostas'!R22),'⚙️ Config'!$A$4:$B$13,2,0),"")</f>
        <v/>
      </c>
      <c r="P22" s="14" t="str">
        <f aca="false">IFERROR(VLOOKUP(TRIM('📥 Respostas'!S22),'⚙️ Config'!$A$4:$B$13,2,0),"")</f>
        <v/>
      </c>
      <c r="Q22" s="14" t="str">
        <f aca="false">IFERROR(VLOOKUP(TRIM('📥 Respostas'!T22),'⚙️ Config'!$A$4:$B$13,2,0),"")</f>
        <v/>
      </c>
      <c r="R22" s="14" t="str">
        <f aca="false">IFERROR(VLOOKUP(TRIM('📥 Respostas'!U22),'⚙️ Config'!$A$4:$B$13,2,0),"")</f>
        <v/>
      </c>
      <c r="S22" s="14" t="str">
        <f aca="false">IFERROR(VLOOKUP(TRIM('📥 Respostas'!V22),'⚙️ Config'!$A$4:$B$13,2,0),"")</f>
        <v/>
      </c>
      <c r="T22" s="14" t="str">
        <f aca="false">IFERROR(VLOOKUP(TRIM('📥 Respostas'!W22),'⚙️ Config'!$A$4:$B$13,2,0),"")</f>
        <v/>
      </c>
      <c r="U22" s="14" t="str">
        <f aca="false">IFERROR(VLOOKUP(TRIM('📥 Respostas'!X22),'⚙️ Config'!$A$4:$B$13,2,0),"")</f>
        <v/>
      </c>
      <c r="V22" s="14" t="str">
        <f aca="false">IFERROR(VLOOKUP(TRIM('📥 Respostas'!Y22),'⚙️ Config'!$A$4:$B$13,2,0),"")</f>
        <v/>
      </c>
      <c r="W22" s="14" t="str">
        <f aca="false">IFERROR(VLOOKUP(TRIM('📥 Respostas'!Z22),'⚙️ Config'!$A$4:$B$13,2,0),"")</f>
        <v/>
      </c>
      <c r="X22" s="14" t="str">
        <f aca="false">IFERROR(VLOOKUP(TRIM('📥 Respostas'!AA22),'⚙️ Config'!$A$4:$B$13,2,0),"")</f>
        <v/>
      </c>
      <c r="Y22" s="14" t="str">
        <f aca="false">IFERROR(VLOOKUP(TRIM('📥 Respostas'!AB22),'⚙️ Config'!$A$4:$B$13,2,0),"")</f>
        <v/>
      </c>
      <c r="Z22" s="14" t="str">
        <f aca="false">IFERROR(VLOOKUP(TRIM('📥 Respostas'!AC22),'⚙️ Config'!$A$4:$B$13,2,0),"")</f>
        <v/>
      </c>
      <c r="AA22" s="14" t="str">
        <f aca="false">IFERROR(VLOOKUP(TRIM('📥 Respostas'!AD22),'⚙️ Config'!$A$4:$B$13,2,0),"")</f>
        <v/>
      </c>
      <c r="AB22" s="14" t="str">
        <f aca="false">IFERROR(VLOOKUP(TRIM('📥 Respostas'!AE22),'⚙️ Config'!$A$4:$B$13,2,0),"")</f>
        <v/>
      </c>
      <c r="AC22" s="14" t="str">
        <f aca="false">IFERROR(VLOOKUP(TRIM('📥 Respostas'!AF22),'⚙️ Config'!$A$4:$B$13,2,0),"")</f>
        <v/>
      </c>
      <c r="AD22" s="14" t="str">
        <f aca="false">IFERROR(VLOOKUP(TRIM('📥 Respostas'!AG22),'⚙️ Config'!$A$4:$B$13,2,0),"")</f>
        <v/>
      </c>
      <c r="AE22" s="14" t="str">
        <f aca="false">IFERROR(VLOOKUP(TRIM('📥 Respostas'!AH22),'⚙️ Config'!$A$4:$B$13,2,0),"")</f>
        <v/>
      </c>
      <c r="AF22" s="14" t="str">
        <f aca="false">IFERROR(VLOOKUP(TRIM('📥 Respostas'!AI22),'⚙️ Config'!$C$4:$D$11,2,0),"")</f>
        <v/>
      </c>
      <c r="AG22" s="14" t="str">
        <f aca="false">IFERROR(VLOOKUP(TRIM('📥 Respostas'!AJ22),'⚙️ Config'!$A$4:$B$13,2,0),"")</f>
        <v/>
      </c>
      <c r="AH22" s="14" t="str">
        <f aca="false">IFERROR(VLOOKUP(TRIM('📥 Respostas'!AK22),'⚙️ Config'!$A$4:$B$13,2,0),"")</f>
        <v/>
      </c>
      <c r="AI22" s="14" t="str">
        <f aca="false">IFERROR(VLOOKUP(TRIM('📥 Respostas'!AL22),'⚙️ Config'!$A$4:$B$13,2,0),"")</f>
        <v/>
      </c>
      <c r="AJ22" s="14" t="str">
        <f aca="false">IFERROR(VLOOKUP(TRIM('📥 Respostas'!AM22),'⚙️ Config'!$A$4:$B$13,2,0),"")</f>
        <v/>
      </c>
      <c r="AK22" s="14" t="str">
        <f aca="false">IFERROR(VLOOKUP(TRIM('📥 Respostas'!AN22),'⚙️ Config'!$A$4:$B$13,2,0),"")</f>
        <v/>
      </c>
      <c r="AL22" s="14" t="str">
        <f aca="false">IFERROR(VLOOKUP(TRIM('📥 Respostas'!AO22),'⚙️ Config'!$A$4:$B$13,2,0),"")</f>
        <v/>
      </c>
      <c r="AM22" s="14" t="str">
        <f aca="false">IFERROR(VLOOKUP(TRIM('📥 Respostas'!AP22),'⚙️ Config'!$A$4:$B$13,2,0),"")</f>
        <v/>
      </c>
      <c r="AN22" s="14" t="str">
        <f aca="false">IFERROR(VLOOKUP(TRIM('📥 Respostas'!AQ22),'⚙️ Config'!$A$4:$B$13,2,0),"")</f>
        <v/>
      </c>
      <c r="AO22" s="14" t="str">
        <f aca="false">IFERROR(VLOOKUP(TRIM('📥 Respostas'!AR22),'⚙️ Config'!$A$4:$B$13,2,0),"")</f>
        <v/>
      </c>
      <c r="AP22" s="14" t="str">
        <f aca="false">IFERROR(VLOOKUP(TRIM('📥 Respostas'!AS22),'⚙️ Config'!$A$4:$B$13,2,0),"")</f>
        <v/>
      </c>
      <c r="AQ22" s="14" t="str">
        <f aca="false">IFERROR(VLOOKUP(TRIM('📥 Respostas'!AT22),'⚙️ Config'!$A$4:$B$13,2,0),"")</f>
        <v/>
      </c>
      <c r="AR22" s="14" t="str">
        <f aca="false">IFERROR(VLOOKUP(TRIM('📥 Respostas'!AU22),'⚙️ Config'!$A$4:$B$13,2,0),"")</f>
        <v/>
      </c>
    </row>
    <row r="23" customFormat="false" ht="15" hidden="false" customHeight="false" outlineLevel="0" collapsed="false">
      <c r="A23" s="15" t="str">
        <f aca="false">IF(ISBLANK('📥 Respostas'!D23),"",ROW()-3)</f>
        <v/>
      </c>
      <c r="B23" s="15" t="n">
        <f aca="false">'📥 Respostas'!D23</f>
        <v>0</v>
      </c>
      <c r="C23" s="5" t="n">
        <f aca="false">'📥 Respostas'!C23</f>
        <v>0</v>
      </c>
      <c r="D23" s="14" t="str">
        <f aca="false">IFERROR(VLOOKUP(TRIM('📥 Respostas'!G23),'⚙️ Config'!$A$4:$B$13,2,0),"")</f>
        <v/>
      </c>
      <c r="E23" s="14" t="str">
        <f aca="false">IFERROR(VLOOKUP(TRIM('📥 Respostas'!H23),'⚙️ Config'!$A$4:$B$13,2,0),"")</f>
        <v/>
      </c>
      <c r="F23" s="14" t="str">
        <f aca="false">IFERROR(VLOOKUP(TRIM('📥 Respostas'!I23),'⚙️ Config'!$A$4:$B$13,2,0),"")</f>
        <v/>
      </c>
      <c r="G23" s="14" t="str">
        <f aca="false">IFERROR(VLOOKUP(TRIM('📥 Respostas'!J23),'⚙️ Config'!$A$4:$B$13,2,0),"")</f>
        <v/>
      </c>
      <c r="H23" s="14" t="str">
        <f aca="false">IFERROR(VLOOKUP(TRIM('📥 Respostas'!K23),'⚙️ Config'!$A$4:$B$13,2,0),"")</f>
        <v/>
      </c>
      <c r="I23" s="14" t="str">
        <f aca="false">IFERROR(VLOOKUP(TRIM('📥 Respostas'!L23),'⚙️ Config'!$A$4:$B$13,2,0),"")</f>
        <v/>
      </c>
      <c r="J23" s="14" t="str">
        <f aca="false">IFERROR(VLOOKUP(TRIM('📥 Respostas'!M23),'⚙️ Config'!$A$4:$B$13,2,0),"")</f>
        <v/>
      </c>
      <c r="K23" s="14" t="str">
        <f aca="false">IFERROR(VLOOKUP(TRIM('📥 Respostas'!N23),'⚙️ Config'!$A$4:$B$13,2,0),"")</f>
        <v/>
      </c>
      <c r="L23" s="14" t="str">
        <f aca="false">IFERROR(VLOOKUP(TRIM('📥 Respostas'!O23),'⚙️ Config'!$A$4:$B$13,2,0),"")</f>
        <v/>
      </c>
      <c r="M23" s="14" t="str">
        <f aca="false">IFERROR(VLOOKUP(TRIM('📥 Respostas'!P23),'⚙️ Config'!$A$4:$B$13,2,0),"")</f>
        <v/>
      </c>
      <c r="N23" s="14" t="str">
        <f aca="false">IFERROR(VLOOKUP(TRIM('📥 Respostas'!Q23),'⚙️ Config'!$A$4:$B$13,2,0),"")</f>
        <v/>
      </c>
      <c r="O23" s="14" t="str">
        <f aca="false">IFERROR(VLOOKUP(TRIM('📥 Respostas'!R23),'⚙️ Config'!$A$4:$B$13,2,0),"")</f>
        <v/>
      </c>
      <c r="P23" s="14" t="str">
        <f aca="false">IFERROR(VLOOKUP(TRIM('📥 Respostas'!S23),'⚙️ Config'!$A$4:$B$13,2,0),"")</f>
        <v/>
      </c>
      <c r="Q23" s="14" t="str">
        <f aca="false">IFERROR(VLOOKUP(TRIM('📥 Respostas'!T23),'⚙️ Config'!$A$4:$B$13,2,0),"")</f>
        <v/>
      </c>
      <c r="R23" s="14" t="str">
        <f aca="false">IFERROR(VLOOKUP(TRIM('📥 Respostas'!U23),'⚙️ Config'!$A$4:$B$13,2,0),"")</f>
        <v/>
      </c>
      <c r="S23" s="14" t="str">
        <f aca="false">IFERROR(VLOOKUP(TRIM('📥 Respostas'!V23),'⚙️ Config'!$A$4:$B$13,2,0),"")</f>
        <v/>
      </c>
      <c r="T23" s="14" t="str">
        <f aca="false">IFERROR(VLOOKUP(TRIM('📥 Respostas'!W23),'⚙️ Config'!$A$4:$B$13,2,0),"")</f>
        <v/>
      </c>
      <c r="U23" s="14" t="str">
        <f aca="false">IFERROR(VLOOKUP(TRIM('📥 Respostas'!X23),'⚙️ Config'!$A$4:$B$13,2,0),"")</f>
        <v/>
      </c>
      <c r="V23" s="14" t="str">
        <f aca="false">IFERROR(VLOOKUP(TRIM('📥 Respostas'!Y23),'⚙️ Config'!$A$4:$B$13,2,0),"")</f>
        <v/>
      </c>
      <c r="W23" s="14" t="str">
        <f aca="false">IFERROR(VLOOKUP(TRIM('📥 Respostas'!Z23),'⚙️ Config'!$A$4:$B$13,2,0),"")</f>
        <v/>
      </c>
      <c r="X23" s="14" t="str">
        <f aca="false">IFERROR(VLOOKUP(TRIM('📥 Respostas'!AA23),'⚙️ Config'!$A$4:$B$13,2,0),"")</f>
        <v/>
      </c>
      <c r="Y23" s="14" t="str">
        <f aca="false">IFERROR(VLOOKUP(TRIM('📥 Respostas'!AB23),'⚙️ Config'!$A$4:$B$13,2,0),"")</f>
        <v/>
      </c>
      <c r="Z23" s="14" t="str">
        <f aca="false">IFERROR(VLOOKUP(TRIM('📥 Respostas'!AC23),'⚙️ Config'!$A$4:$B$13,2,0),"")</f>
        <v/>
      </c>
      <c r="AA23" s="14" t="str">
        <f aca="false">IFERROR(VLOOKUP(TRIM('📥 Respostas'!AD23),'⚙️ Config'!$A$4:$B$13,2,0),"")</f>
        <v/>
      </c>
      <c r="AB23" s="14" t="str">
        <f aca="false">IFERROR(VLOOKUP(TRIM('📥 Respostas'!AE23),'⚙️ Config'!$A$4:$B$13,2,0),"")</f>
        <v/>
      </c>
      <c r="AC23" s="14" t="str">
        <f aca="false">IFERROR(VLOOKUP(TRIM('📥 Respostas'!AF23),'⚙️ Config'!$A$4:$B$13,2,0),"")</f>
        <v/>
      </c>
      <c r="AD23" s="14" t="str">
        <f aca="false">IFERROR(VLOOKUP(TRIM('📥 Respostas'!AG23),'⚙️ Config'!$A$4:$B$13,2,0),"")</f>
        <v/>
      </c>
      <c r="AE23" s="14" t="str">
        <f aca="false">IFERROR(VLOOKUP(TRIM('📥 Respostas'!AH23),'⚙️ Config'!$A$4:$B$13,2,0),"")</f>
        <v/>
      </c>
      <c r="AF23" s="14" t="str">
        <f aca="false">IFERROR(VLOOKUP(TRIM('📥 Respostas'!AI23),'⚙️ Config'!$C$4:$D$11,2,0),"")</f>
        <v/>
      </c>
      <c r="AG23" s="14" t="str">
        <f aca="false">IFERROR(VLOOKUP(TRIM('📥 Respostas'!AJ23),'⚙️ Config'!$A$4:$B$13,2,0),"")</f>
        <v/>
      </c>
      <c r="AH23" s="14" t="str">
        <f aca="false">IFERROR(VLOOKUP(TRIM('📥 Respostas'!AK23),'⚙️ Config'!$A$4:$B$13,2,0),"")</f>
        <v/>
      </c>
      <c r="AI23" s="14" t="str">
        <f aca="false">IFERROR(VLOOKUP(TRIM('📥 Respostas'!AL23),'⚙️ Config'!$A$4:$B$13,2,0),"")</f>
        <v/>
      </c>
      <c r="AJ23" s="14" t="str">
        <f aca="false">IFERROR(VLOOKUP(TRIM('📥 Respostas'!AM23),'⚙️ Config'!$A$4:$B$13,2,0),"")</f>
        <v/>
      </c>
      <c r="AK23" s="14" t="str">
        <f aca="false">IFERROR(VLOOKUP(TRIM('📥 Respostas'!AN23),'⚙️ Config'!$A$4:$B$13,2,0),"")</f>
        <v/>
      </c>
      <c r="AL23" s="14" t="str">
        <f aca="false">IFERROR(VLOOKUP(TRIM('📥 Respostas'!AO23),'⚙️ Config'!$A$4:$B$13,2,0),"")</f>
        <v/>
      </c>
      <c r="AM23" s="14" t="str">
        <f aca="false">IFERROR(VLOOKUP(TRIM('📥 Respostas'!AP23),'⚙️ Config'!$A$4:$B$13,2,0),"")</f>
        <v/>
      </c>
      <c r="AN23" s="14" t="str">
        <f aca="false">IFERROR(VLOOKUP(TRIM('📥 Respostas'!AQ23),'⚙️ Config'!$A$4:$B$13,2,0),"")</f>
        <v/>
      </c>
      <c r="AO23" s="14" t="str">
        <f aca="false">IFERROR(VLOOKUP(TRIM('📥 Respostas'!AR23),'⚙️ Config'!$A$4:$B$13,2,0),"")</f>
        <v/>
      </c>
      <c r="AP23" s="14" t="str">
        <f aca="false">IFERROR(VLOOKUP(TRIM('📥 Respostas'!AS23),'⚙️ Config'!$A$4:$B$13,2,0),"")</f>
        <v/>
      </c>
      <c r="AQ23" s="14" t="str">
        <f aca="false">IFERROR(VLOOKUP(TRIM('📥 Respostas'!AT23),'⚙️ Config'!$A$4:$B$13,2,0),"")</f>
        <v/>
      </c>
      <c r="AR23" s="14" t="str">
        <f aca="false">IFERROR(VLOOKUP(TRIM('📥 Respostas'!AU23),'⚙️ Config'!$A$4:$B$13,2,0),"")</f>
        <v/>
      </c>
    </row>
    <row r="24" customFormat="false" ht="15" hidden="false" customHeight="false" outlineLevel="0" collapsed="false">
      <c r="A24" s="12" t="str">
        <f aca="false">IF(ISBLANK('📥 Respostas'!D24),"",ROW()-3)</f>
        <v/>
      </c>
      <c r="B24" s="12" t="n">
        <f aca="false">'📥 Respostas'!D24</f>
        <v>0</v>
      </c>
      <c r="C24" s="13" t="n">
        <f aca="false">'📥 Respostas'!C24</f>
        <v>0</v>
      </c>
      <c r="D24" s="14" t="str">
        <f aca="false">IFERROR(VLOOKUP(TRIM('📥 Respostas'!G24),'⚙️ Config'!$A$4:$B$13,2,0),"")</f>
        <v/>
      </c>
      <c r="E24" s="14" t="str">
        <f aca="false">IFERROR(VLOOKUP(TRIM('📥 Respostas'!H24),'⚙️ Config'!$A$4:$B$13,2,0),"")</f>
        <v/>
      </c>
      <c r="F24" s="14" t="str">
        <f aca="false">IFERROR(VLOOKUP(TRIM('📥 Respostas'!I24),'⚙️ Config'!$A$4:$B$13,2,0),"")</f>
        <v/>
      </c>
      <c r="G24" s="14" t="str">
        <f aca="false">IFERROR(VLOOKUP(TRIM('📥 Respostas'!J24),'⚙️ Config'!$A$4:$B$13,2,0),"")</f>
        <v/>
      </c>
      <c r="H24" s="14" t="str">
        <f aca="false">IFERROR(VLOOKUP(TRIM('📥 Respostas'!K24),'⚙️ Config'!$A$4:$B$13,2,0),"")</f>
        <v/>
      </c>
      <c r="I24" s="14" t="str">
        <f aca="false">IFERROR(VLOOKUP(TRIM('📥 Respostas'!L24),'⚙️ Config'!$A$4:$B$13,2,0),"")</f>
        <v/>
      </c>
      <c r="J24" s="14" t="str">
        <f aca="false">IFERROR(VLOOKUP(TRIM('📥 Respostas'!M24),'⚙️ Config'!$A$4:$B$13,2,0),"")</f>
        <v/>
      </c>
      <c r="K24" s="14" t="str">
        <f aca="false">IFERROR(VLOOKUP(TRIM('📥 Respostas'!N24),'⚙️ Config'!$A$4:$B$13,2,0),"")</f>
        <v/>
      </c>
      <c r="L24" s="14" t="str">
        <f aca="false">IFERROR(VLOOKUP(TRIM('📥 Respostas'!O24),'⚙️ Config'!$A$4:$B$13,2,0),"")</f>
        <v/>
      </c>
      <c r="M24" s="14" t="str">
        <f aca="false">IFERROR(VLOOKUP(TRIM('📥 Respostas'!P24),'⚙️ Config'!$A$4:$B$13,2,0),"")</f>
        <v/>
      </c>
      <c r="N24" s="14" t="str">
        <f aca="false">IFERROR(VLOOKUP(TRIM('📥 Respostas'!Q24),'⚙️ Config'!$A$4:$B$13,2,0),"")</f>
        <v/>
      </c>
      <c r="O24" s="14" t="str">
        <f aca="false">IFERROR(VLOOKUP(TRIM('📥 Respostas'!R24),'⚙️ Config'!$A$4:$B$13,2,0),"")</f>
        <v/>
      </c>
      <c r="P24" s="14" t="str">
        <f aca="false">IFERROR(VLOOKUP(TRIM('📥 Respostas'!S24),'⚙️ Config'!$A$4:$B$13,2,0),"")</f>
        <v/>
      </c>
      <c r="Q24" s="14" t="str">
        <f aca="false">IFERROR(VLOOKUP(TRIM('📥 Respostas'!T24),'⚙️ Config'!$A$4:$B$13,2,0),"")</f>
        <v/>
      </c>
      <c r="R24" s="14" t="str">
        <f aca="false">IFERROR(VLOOKUP(TRIM('📥 Respostas'!U24),'⚙️ Config'!$A$4:$B$13,2,0),"")</f>
        <v/>
      </c>
      <c r="S24" s="14" t="str">
        <f aca="false">IFERROR(VLOOKUP(TRIM('📥 Respostas'!V24),'⚙️ Config'!$A$4:$B$13,2,0),"")</f>
        <v/>
      </c>
      <c r="T24" s="14" t="str">
        <f aca="false">IFERROR(VLOOKUP(TRIM('📥 Respostas'!W24),'⚙️ Config'!$A$4:$B$13,2,0),"")</f>
        <v/>
      </c>
      <c r="U24" s="14" t="str">
        <f aca="false">IFERROR(VLOOKUP(TRIM('📥 Respostas'!X24),'⚙️ Config'!$A$4:$B$13,2,0),"")</f>
        <v/>
      </c>
      <c r="V24" s="14" t="str">
        <f aca="false">IFERROR(VLOOKUP(TRIM('📥 Respostas'!Y24),'⚙️ Config'!$A$4:$B$13,2,0),"")</f>
        <v/>
      </c>
      <c r="W24" s="14" t="str">
        <f aca="false">IFERROR(VLOOKUP(TRIM('📥 Respostas'!Z24),'⚙️ Config'!$A$4:$B$13,2,0),"")</f>
        <v/>
      </c>
      <c r="X24" s="14" t="str">
        <f aca="false">IFERROR(VLOOKUP(TRIM('📥 Respostas'!AA24),'⚙️ Config'!$A$4:$B$13,2,0),"")</f>
        <v/>
      </c>
      <c r="Y24" s="14" t="str">
        <f aca="false">IFERROR(VLOOKUP(TRIM('📥 Respostas'!AB24),'⚙️ Config'!$A$4:$B$13,2,0),"")</f>
        <v/>
      </c>
      <c r="Z24" s="14" t="str">
        <f aca="false">IFERROR(VLOOKUP(TRIM('📥 Respostas'!AC24),'⚙️ Config'!$A$4:$B$13,2,0),"")</f>
        <v/>
      </c>
      <c r="AA24" s="14" t="str">
        <f aca="false">IFERROR(VLOOKUP(TRIM('📥 Respostas'!AD24),'⚙️ Config'!$A$4:$B$13,2,0),"")</f>
        <v/>
      </c>
      <c r="AB24" s="14" t="str">
        <f aca="false">IFERROR(VLOOKUP(TRIM('📥 Respostas'!AE24),'⚙️ Config'!$A$4:$B$13,2,0),"")</f>
        <v/>
      </c>
      <c r="AC24" s="14" t="str">
        <f aca="false">IFERROR(VLOOKUP(TRIM('📥 Respostas'!AF24),'⚙️ Config'!$A$4:$B$13,2,0),"")</f>
        <v/>
      </c>
      <c r="AD24" s="14" t="str">
        <f aca="false">IFERROR(VLOOKUP(TRIM('📥 Respostas'!AG24),'⚙️ Config'!$A$4:$B$13,2,0),"")</f>
        <v/>
      </c>
      <c r="AE24" s="14" t="str">
        <f aca="false">IFERROR(VLOOKUP(TRIM('📥 Respostas'!AH24),'⚙️ Config'!$A$4:$B$13,2,0),"")</f>
        <v/>
      </c>
      <c r="AF24" s="14" t="str">
        <f aca="false">IFERROR(VLOOKUP(TRIM('📥 Respostas'!AI24),'⚙️ Config'!$C$4:$D$11,2,0),"")</f>
        <v/>
      </c>
      <c r="AG24" s="14" t="str">
        <f aca="false">IFERROR(VLOOKUP(TRIM('📥 Respostas'!AJ24),'⚙️ Config'!$A$4:$B$13,2,0),"")</f>
        <v/>
      </c>
      <c r="AH24" s="14" t="str">
        <f aca="false">IFERROR(VLOOKUP(TRIM('📥 Respostas'!AK24),'⚙️ Config'!$A$4:$B$13,2,0),"")</f>
        <v/>
      </c>
      <c r="AI24" s="14" t="str">
        <f aca="false">IFERROR(VLOOKUP(TRIM('📥 Respostas'!AL24),'⚙️ Config'!$A$4:$B$13,2,0),"")</f>
        <v/>
      </c>
      <c r="AJ24" s="14" t="str">
        <f aca="false">IFERROR(VLOOKUP(TRIM('📥 Respostas'!AM24),'⚙️ Config'!$A$4:$B$13,2,0),"")</f>
        <v/>
      </c>
      <c r="AK24" s="14" t="str">
        <f aca="false">IFERROR(VLOOKUP(TRIM('📥 Respostas'!AN24),'⚙️ Config'!$A$4:$B$13,2,0),"")</f>
        <v/>
      </c>
      <c r="AL24" s="14" t="str">
        <f aca="false">IFERROR(VLOOKUP(TRIM('📥 Respostas'!AO24),'⚙️ Config'!$A$4:$B$13,2,0),"")</f>
        <v/>
      </c>
      <c r="AM24" s="14" t="str">
        <f aca="false">IFERROR(VLOOKUP(TRIM('📥 Respostas'!AP24),'⚙️ Config'!$A$4:$B$13,2,0),"")</f>
        <v/>
      </c>
      <c r="AN24" s="14" t="str">
        <f aca="false">IFERROR(VLOOKUP(TRIM('📥 Respostas'!AQ24),'⚙️ Config'!$A$4:$B$13,2,0),"")</f>
        <v/>
      </c>
      <c r="AO24" s="14" t="str">
        <f aca="false">IFERROR(VLOOKUP(TRIM('📥 Respostas'!AR24),'⚙️ Config'!$A$4:$B$13,2,0),"")</f>
        <v/>
      </c>
      <c r="AP24" s="14" t="str">
        <f aca="false">IFERROR(VLOOKUP(TRIM('📥 Respostas'!AS24),'⚙️ Config'!$A$4:$B$13,2,0),"")</f>
        <v/>
      </c>
      <c r="AQ24" s="14" t="str">
        <f aca="false">IFERROR(VLOOKUP(TRIM('📥 Respostas'!AT24),'⚙️ Config'!$A$4:$B$13,2,0),"")</f>
        <v/>
      </c>
      <c r="AR24" s="14" t="str">
        <f aca="false">IFERROR(VLOOKUP(TRIM('📥 Respostas'!AU24),'⚙️ Config'!$A$4:$B$13,2,0),"")</f>
        <v/>
      </c>
    </row>
    <row r="25" customFormat="false" ht="15" hidden="false" customHeight="false" outlineLevel="0" collapsed="false">
      <c r="A25" s="15" t="str">
        <f aca="false">IF(ISBLANK('📥 Respostas'!D25),"",ROW()-3)</f>
        <v/>
      </c>
      <c r="B25" s="15" t="n">
        <f aca="false">'📥 Respostas'!D25</f>
        <v>0</v>
      </c>
      <c r="C25" s="5" t="n">
        <f aca="false">'📥 Respostas'!C25</f>
        <v>0</v>
      </c>
      <c r="D25" s="14" t="str">
        <f aca="false">IFERROR(VLOOKUP(TRIM('📥 Respostas'!G25),'⚙️ Config'!$A$4:$B$13,2,0),"")</f>
        <v/>
      </c>
      <c r="E25" s="14" t="str">
        <f aca="false">IFERROR(VLOOKUP(TRIM('📥 Respostas'!H25),'⚙️ Config'!$A$4:$B$13,2,0),"")</f>
        <v/>
      </c>
      <c r="F25" s="14" t="str">
        <f aca="false">IFERROR(VLOOKUP(TRIM('📥 Respostas'!I25),'⚙️ Config'!$A$4:$B$13,2,0),"")</f>
        <v/>
      </c>
      <c r="G25" s="14" t="str">
        <f aca="false">IFERROR(VLOOKUP(TRIM('📥 Respostas'!J25),'⚙️ Config'!$A$4:$B$13,2,0),"")</f>
        <v/>
      </c>
      <c r="H25" s="14" t="str">
        <f aca="false">IFERROR(VLOOKUP(TRIM('📥 Respostas'!K25),'⚙️ Config'!$A$4:$B$13,2,0),"")</f>
        <v/>
      </c>
      <c r="I25" s="14" t="str">
        <f aca="false">IFERROR(VLOOKUP(TRIM('📥 Respostas'!L25),'⚙️ Config'!$A$4:$B$13,2,0),"")</f>
        <v/>
      </c>
      <c r="J25" s="14" t="str">
        <f aca="false">IFERROR(VLOOKUP(TRIM('📥 Respostas'!M25),'⚙️ Config'!$A$4:$B$13,2,0),"")</f>
        <v/>
      </c>
      <c r="K25" s="14" t="str">
        <f aca="false">IFERROR(VLOOKUP(TRIM('📥 Respostas'!N25),'⚙️ Config'!$A$4:$B$13,2,0),"")</f>
        <v/>
      </c>
      <c r="L25" s="14" t="str">
        <f aca="false">IFERROR(VLOOKUP(TRIM('📥 Respostas'!O25),'⚙️ Config'!$A$4:$B$13,2,0),"")</f>
        <v/>
      </c>
      <c r="M25" s="14" t="str">
        <f aca="false">IFERROR(VLOOKUP(TRIM('📥 Respostas'!P25),'⚙️ Config'!$A$4:$B$13,2,0),"")</f>
        <v/>
      </c>
      <c r="N25" s="14" t="str">
        <f aca="false">IFERROR(VLOOKUP(TRIM('📥 Respostas'!Q25),'⚙️ Config'!$A$4:$B$13,2,0),"")</f>
        <v/>
      </c>
      <c r="O25" s="14" t="str">
        <f aca="false">IFERROR(VLOOKUP(TRIM('📥 Respostas'!R25),'⚙️ Config'!$A$4:$B$13,2,0),"")</f>
        <v/>
      </c>
      <c r="P25" s="14" t="str">
        <f aca="false">IFERROR(VLOOKUP(TRIM('📥 Respostas'!S25),'⚙️ Config'!$A$4:$B$13,2,0),"")</f>
        <v/>
      </c>
      <c r="Q25" s="14" t="str">
        <f aca="false">IFERROR(VLOOKUP(TRIM('📥 Respostas'!T25),'⚙️ Config'!$A$4:$B$13,2,0),"")</f>
        <v/>
      </c>
      <c r="R25" s="14" t="str">
        <f aca="false">IFERROR(VLOOKUP(TRIM('📥 Respostas'!U25),'⚙️ Config'!$A$4:$B$13,2,0),"")</f>
        <v/>
      </c>
      <c r="S25" s="14" t="str">
        <f aca="false">IFERROR(VLOOKUP(TRIM('📥 Respostas'!V25),'⚙️ Config'!$A$4:$B$13,2,0),"")</f>
        <v/>
      </c>
      <c r="T25" s="14" t="str">
        <f aca="false">IFERROR(VLOOKUP(TRIM('📥 Respostas'!W25),'⚙️ Config'!$A$4:$B$13,2,0),"")</f>
        <v/>
      </c>
      <c r="U25" s="14" t="str">
        <f aca="false">IFERROR(VLOOKUP(TRIM('📥 Respostas'!X25),'⚙️ Config'!$A$4:$B$13,2,0),"")</f>
        <v/>
      </c>
      <c r="V25" s="14" t="str">
        <f aca="false">IFERROR(VLOOKUP(TRIM('📥 Respostas'!Y25),'⚙️ Config'!$A$4:$B$13,2,0),"")</f>
        <v/>
      </c>
      <c r="W25" s="14" t="str">
        <f aca="false">IFERROR(VLOOKUP(TRIM('📥 Respostas'!Z25),'⚙️ Config'!$A$4:$B$13,2,0),"")</f>
        <v/>
      </c>
      <c r="X25" s="14" t="str">
        <f aca="false">IFERROR(VLOOKUP(TRIM('📥 Respostas'!AA25),'⚙️ Config'!$A$4:$B$13,2,0),"")</f>
        <v/>
      </c>
      <c r="Y25" s="14" t="str">
        <f aca="false">IFERROR(VLOOKUP(TRIM('📥 Respostas'!AB25),'⚙️ Config'!$A$4:$B$13,2,0),"")</f>
        <v/>
      </c>
      <c r="Z25" s="14" t="str">
        <f aca="false">IFERROR(VLOOKUP(TRIM('📥 Respostas'!AC25),'⚙️ Config'!$A$4:$B$13,2,0),"")</f>
        <v/>
      </c>
      <c r="AA25" s="14" t="str">
        <f aca="false">IFERROR(VLOOKUP(TRIM('📥 Respostas'!AD25),'⚙️ Config'!$A$4:$B$13,2,0),"")</f>
        <v/>
      </c>
      <c r="AB25" s="14" t="str">
        <f aca="false">IFERROR(VLOOKUP(TRIM('📥 Respostas'!AE25),'⚙️ Config'!$A$4:$B$13,2,0),"")</f>
        <v/>
      </c>
      <c r="AC25" s="14" t="str">
        <f aca="false">IFERROR(VLOOKUP(TRIM('📥 Respostas'!AF25),'⚙️ Config'!$A$4:$B$13,2,0),"")</f>
        <v/>
      </c>
      <c r="AD25" s="14" t="str">
        <f aca="false">IFERROR(VLOOKUP(TRIM('📥 Respostas'!AG25),'⚙️ Config'!$A$4:$B$13,2,0),"")</f>
        <v/>
      </c>
      <c r="AE25" s="14" t="str">
        <f aca="false">IFERROR(VLOOKUP(TRIM('📥 Respostas'!AH25),'⚙️ Config'!$A$4:$B$13,2,0),"")</f>
        <v/>
      </c>
      <c r="AF25" s="14" t="str">
        <f aca="false">IFERROR(VLOOKUP(TRIM('📥 Respostas'!AI25),'⚙️ Config'!$C$4:$D$11,2,0),"")</f>
        <v/>
      </c>
      <c r="AG25" s="14" t="str">
        <f aca="false">IFERROR(VLOOKUP(TRIM('📥 Respostas'!AJ25),'⚙️ Config'!$A$4:$B$13,2,0),"")</f>
        <v/>
      </c>
      <c r="AH25" s="14" t="str">
        <f aca="false">IFERROR(VLOOKUP(TRIM('📥 Respostas'!AK25),'⚙️ Config'!$A$4:$B$13,2,0),"")</f>
        <v/>
      </c>
      <c r="AI25" s="14" t="str">
        <f aca="false">IFERROR(VLOOKUP(TRIM('📥 Respostas'!AL25),'⚙️ Config'!$A$4:$B$13,2,0),"")</f>
        <v/>
      </c>
      <c r="AJ25" s="14" t="str">
        <f aca="false">IFERROR(VLOOKUP(TRIM('📥 Respostas'!AM25),'⚙️ Config'!$A$4:$B$13,2,0),"")</f>
        <v/>
      </c>
      <c r="AK25" s="14" t="str">
        <f aca="false">IFERROR(VLOOKUP(TRIM('📥 Respostas'!AN25),'⚙️ Config'!$A$4:$B$13,2,0),"")</f>
        <v/>
      </c>
      <c r="AL25" s="14" t="str">
        <f aca="false">IFERROR(VLOOKUP(TRIM('📥 Respostas'!AO25),'⚙️ Config'!$A$4:$B$13,2,0),"")</f>
        <v/>
      </c>
      <c r="AM25" s="14" t="str">
        <f aca="false">IFERROR(VLOOKUP(TRIM('📥 Respostas'!AP25),'⚙️ Config'!$A$4:$B$13,2,0),"")</f>
        <v/>
      </c>
      <c r="AN25" s="14" t="str">
        <f aca="false">IFERROR(VLOOKUP(TRIM('📥 Respostas'!AQ25),'⚙️ Config'!$A$4:$B$13,2,0),"")</f>
        <v/>
      </c>
      <c r="AO25" s="14" t="str">
        <f aca="false">IFERROR(VLOOKUP(TRIM('📥 Respostas'!AR25),'⚙️ Config'!$A$4:$B$13,2,0),"")</f>
        <v/>
      </c>
      <c r="AP25" s="14" t="str">
        <f aca="false">IFERROR(VLOOKUP(TRIM('📥 Respostas'!AS25),'⚙️ Config'!$A$4:$B$13,2,0),"")</f>
        <v/>
      </c>
      <c r="AQ25" s="14" t="str">
        <f aca="false">IFERROR(VLOOKUP(TRIM('📥 Respostas'!AT25),'⚙️ Config'!$A$4:$B$13,2,0),"")</f>
        <v/>
      </c>
      <c r="AR25" s="14" t="str">
        <f aca="false">IFERROR(VLOOKUP(TRIM('📥 Respostas'!AU25),'⚙️ Config'!$A$4:$B$13,2,0),"")</f>
        <v/>
      </c>
    </row>
    <row r="26" customFormat="false" ht="15" hidden="false" customHeight="false" outlineLevel="0" collapsed="false">
      <c r="A26" s="12" t="str">
        <f aca="false">IF(ISBLANK('📥 Respostas'!D26),"",ROW()-3)</f>
        <v/>
      </c>
      <c r="B26" s="12" t="n">
        <f aca="false">'📥 Respostas'!D26</f>
        <v>0</v>
      </c>
      <c r="C26" s="13" t="n">
        <f aca="false">'📥 Respostas'!C26</f>
        <v>0</v>
      </c>
      <c r="D26" s="14" t="str">
        <f aca="false">IFERROR(VLOOKUP(TRIM('📥 Respostas'!G26),'⚙️ Config'!$A$4:$B$13,2,0),"")</f>
        <v/>
      </c>
      <c r="E26" s="14" t="str">
        <f aca="false">IFERROR(VLOOKUP(TRIM('📥 Respostas'!H26),'⚙️ Config'!$A$4:$B$13,2,0),"")</f>
        <v/>
      </c>
      <c r="F26" s="14" t="str">
        <f aca="false">IFERROR(VLOOKUP(TRIM('📥 Respostas'!I26),'⚙️ Config'!$A$4:$B$13,2,0),"")</f>
        <v/>
      </c>
      <c r="G26" s="14" t="str">
        <f aca="false">IFERROR(VLOOKUP(TRIM('📥 Respostas'!J26),'⚙️ Config'!$A$4:$B$13,2,0),"")</f>
        <v/>
      </c>
      <c r="H26" s="14" t="str">
        <f aca="false">IFERROR(VLOOKUP(TRIM('📥 Respostas'!K26),'⚙️ Config'!$A$4:$B$13,2,0),"")</f>
        <v/>
      </c>
      <c r="I26" s="14" t="str">
        <f aca="false">IFERROR(VLOOKUP(TRIM('📥 Respostas'!L26),'⚙️ Config'!$A$4:$B$13,2,0),"")</f>
        <v/>
      </c>
      <c r="J26" s="14" t="str">
        <f aca="false">IFERROR(VLOOKUP(TRIM('📥 Respostas'!M26),'⚙️ Config'!$A$4:$B$13,2,0),"")</f>
        <v/>
      </c>
      <c r="K26" s="14" t="str">
        <f aca="false">IFERROR(VLOOKUP(TRIM('📥 Respostas'!N26),'⚙️ Config'!$A$4:$B$13,2,0),"")</f>
        <v/>
      </c>
      <c r="L26" s="14" t="str">
        <f aca="false">IFERROR(VLOOKUP(TRIM('📥 Respostas'!O26),'⚙️ Config'!$A$4:$B$13,2,0),"")</f>
        <v/>
      </c>
      <c r="M26" s="14" t="str">
        <f aca="false">IFERROR(VLOOKUP(TRIM('📥 Respostas'!P26),'⚙️ Config'!$A$4:$B$13,2,0),"")</f>
        <v/>
      </c>
      <c r="N26" s="14" t="str">
        <f aca="false">IFERROR(VLOOKUP(TRIM('📥 Respostas'!Q26),'⚙️ Config'!$A$4:$B$13,2,0),"")</f>
        <v/>
      </c>
      <c r="O26" s="14" t="str">
        <f aca="false">IFERROR(VLOOKUP(TRIM('📥 Respostas'!R26),'⚙️ Config'!$A$4:$B$13,2,0),"")</f>
        <v/>
      </c>
      <c r="P26" s="14" t="str">
        <f aca="false">IFERROR(VLOOKUP(TRIM('📥 Respostas'!S26),'⚙️ Config'!$A$4:$B$13,2,0),"")</f>
        <v/>
      </c>
      <c r="Q26" s="14" t="str">
        <f aca="false">IFERROR(VLOOKUP(TRIM('📥 Respostas'!T26),'⚙️ Config'!$A$4:$B$13,2,0),"")</f>
        <v/>
      </c>
      <c r="R26" s="14" t="str">
        <f aca="false">IFERROR(VLOOKUP(TRIM('📥 Respostas'!U26),'⚙️ Config'!$A$4:$B$13,2,0),"")</f>
        <v/>
      </c>
      <c r="S26" s="14" t="str">
        <f aca="false">IFERROR(VLOOKUP(TRIM('📥 Respostas'!V26),'⚙️ Config'!$A$4:$B$13,2,0),"")</f>
        <v/>
      </c>
      <c r="T26" s="14" t="str">
        <f aca="false">IFERROR(VLOOKUP(TRIM('📥 Respostas'!W26),'⚙️ Config'!$A$4:$B$13,2,0),"")</f>
        <v/>
      </c>
      <c r="U26" s="14" t="str">
        <f aca="false">IFERROR(VLOOKUP(TRIM('📥 Respostas'!X26),'⚙️ Config'!$A$4:$B$13,2,0),"")</f>
        <v/>
      </c>
      <c r="V26" s="14" t="str">
        <f aca="false">IFERROR(VLOOKUP(TRIM('📥 Respostas'!Y26),'⚙️ Config'!$A$4:$B$13,2,0),"")</f>
        <v/>
      </c>
      <c r="W26" s="14" t="str">
        <f aca="false">IFERROR(VLOOKUP(TRIM('📥 Respostas'!Z26),'⚙️ Config'!$A$4:$B$13,2,0),"")</f>
        <v/>
      </c>
      <c r="X26" s="14" t="str">
        <f aca="false">IFERROR(VLOOKUP(TRIM('📥 Respostas'!AA26),'⚙️ Config'!$A$4:$B$13,2,0),"")</f>
        <v/>
      </c>
      <c r="Y26" s="14" t="str">
        <f aca="false">IFERROR(VLOOKUP(TRIM('📥 Respostas'!AB26),'⚙️ Config'!$A$4:$B$13,2,0),"")</f>
        <v/>
      </c>
      <c r="Z26" s="14" t="str">
        <f aca="false">IFERROR(VLOOKUP(TRIM('📥 Respostas'!AC26),'⚙️ Config'!$A$4:$B$13,2,0),"")</f>
        <v/>
      </c>
      <c r="AA26" s="14" t="str">
        <f aca="false">IFERROR(VLOOKUP(TRIM('📥 Respostas'!AD26),'⚙️ Config'!$A$4:$B$13,2,0),"")</f>
        <v/>
      </c>
      <c r="AB26" s="14" t="str">
        <f aca="false">IFERROR(VLOOKUP(TRIM('📥 Respostas'!AE26),'⚙️ Config'!$A$4:$B$13,2,0),"")</f>
        <v/>
      </c>
      <c r="AC26" s="14" t="str">
        <f aca="false">IFERROR(VLOOKUP(TRIM('📥 Respostas'!AF26),'⚙️ Config'!$A$4:$B$13,2,0),"")</f>
        <v/>
      </c>
      <c r="AD26" s="14" t="str">
        <f aca="false">IFERROR(VLOOKUP(TRIM('📥 Respostas'!AG26),'⚙️ Config'!$A$4:$B$13,2,0),"")</f>
        <v/>
      </c>
      <c r="AE26" s="14" t="str">
        <f aca="false">IFERROR(VLOOKUP(TRIM('📥 Respostas'!AH26),'⚙️ Config'!$A$4:$B$13,2,0),"")</f>
        <v/>
      </c>
      <c r="AF26" s="14" t="str">
        <f aca="false">IFERROR(VLOOKUP(TRIM('📥 Respostas'!AI26),'⚙️ Config'!$C$4:$D$11,2,0),"")</f>
        <v/>
      </c>
      <c r="AG26" s="14" t="str">
        <f aca="false">IFERROR(VLOOKUP(TRIM('📥 Respostas'!AJ26),'⚙️ Config'!$A$4:$B$13,2,0),"")</f>
        <v/>
      </c>
      <c r="AH26" s="14" t="str">
        <f aca="false">IFERROR(VLOOKUP(TRIM('📥 Respostas'!AK26),'⚙️ Config'!$A$4:$B$13,2,0),"")</f>
        <v/>
      </c>
      <c r="AI26" s="14" t="str">
        <f aca="false">IFERROR(VLOOKUP(TRIM('📥 Respostas'!AL26),'⚙️ Config'!$A$4:$B$13,2,0),"")</f>
        <v/>
      </c>
      <c r="AJ26" s="14" t="str">
        <f aca="false">IFERROR(VLOOKUP(TRIM('📥 Respostas'!AM26),'⚙️ Config'!$A$4:$B$13,2,0),"")</f>
        <v/>
      </c>
      <c r="AK26" s="14" t="str">
        <f aca="false">IFERROR(VLOOKUP(TRIM('📥 Respostas'!AN26),'⚙️ Config'!$A$4:$B$13,2,0),"")</f>
        <v/>
      </c>
      <c r="AL26" s="14" t="str">
        <f aca="false">IFERROR(VLOOKUP(TRIM('📥 Respostas'!AO26),'⚙️ Config'!$A$4:$B$13,2,0),"")</f>
        <v/>
      </c>
      <c r="AM26" s="14" t="str">
        <f aca="false">IFERROR(VLOOKUP(TRIM('📥 Respostas'!AP26),'⚙️ Config'!$A$4:$B$13,2,0),"")</f>
        <v/>
      </c>
      <c r="AN26" s="14" t="str">
        <f aca="false">IFERROR(VLOOKUP(TRIM('📥 Respostas'!AQ26),'⚙️ Config'!$A$4:$B$13,2,0),"")</f>
        <v/>
      </c>
      <c r="AO26" s="14" t="str">
        <f aca="false">IFERROR(VLOOKUP(TRIM('📥 Respostas'!AR26),'⚙️ Config'!$A$4:$B$13,2,0),"")</f>
        <v/>
      </c>
      <c r="AP26" s="14" t="str">
        <f aca="false">IFERROR(VLOOKUP(TRIM('📥 Respostas'!AS26),'⚙️ Config'!$A$4:$B$13,2,0),"")</f>
        <v/>
      </c>
      <c r="AQ26" s="14" t="str">
        <f aca="false">IFERROR(VLOOKUP(TRIM('📥 Respostas'!AT26),'⚙️ Config'!$A$4:$B$13,2,0),"")</f>
        <v/>
      </c>
      <c r="AR26" s="14" t="str">
        <f aca="false">IFERROR(VLOOKUP(TRIM('📥 Respostas'!AU26),'⚙️ Config'!$A$4:$B$13,2,0),"")</f>
        <v/>
      </c>
    </row>
    <row r="27" customFormat="false" ht="15" hidden="false" customHeight="false" outlineLevel="0" collapsed="false">
      <c r="A27" s="15" t="str">
        <f aca="false">IF(ISBLANK('📥 Respostas'!D27),"",ROW()-3)</f>
        <v/>
      </c>
      <c r="B27" s="15" t="n">
        <f aca="false">'📥 Respostas'!D27</f>
        <v>0</v>
      </c>
      <c r="C27" s="5" t="n">
        <f aca="false">'📥 Respostas'!C27</f>
        <v>0</v>
      </c>
      <c r="D27" s="14" t="str">
        <f aca="false">IFERROR(VLOOKUP(TRIM('📥 Respostas'!G27),'⚙️ Config'!$A$4:$B$13,2,0),"")</f>
        <v/>
      </c>
      <c r="E27" s="14" t="str">
        <f aca="false">IFERROR(VLOOKUP(TRIM('📥 Respostas'!H27),'⚙️ Config'!$A$4:$B$13,2,0),"")</f>
        <v/>
      </c>
      <c r="F27" s="14" t="str">
        <f aca="false">IFERROR(VLOOKUP(TRIM('📥 Respostas'!I27),'⚙️ Config'!$A$4:$B$13,2,0),"")</f>
        <v/>
      </c>
      <c r="G27" s="14" t="str">
        <f aca="false">IFERROR(VLOOKUP(TRIM('📥 Respostas'!J27),'⚙️ Config'!$A$4:$B$13,2,0),"")</f>
        <v/>
      </c>
      <c r="H27" s="14" t="str">
        <f aca="false">IFERROR(VLOOKUP(TRIM('📥 Respostas'!K27),'⚙️ Config'!$A$4:$B$13,2,0),"")</f>
        <v/>
      </c>
      <c r="I27" s="14" t="str">
        <f aca="false">IFERROR(VLOOKUP(TRIM('📥 Respostas'!L27),'⚙️ Config'!$A$4:$B$13,2,0),"")</f>
        <v/>
      </c>
      <c r="J27" s="14" t="str">
        <f aca="false">IFERROR(VLOOKUP(TRIM('📥 Respostas'!M27),'⚙️ Config'!$A$4:$B$13,2,0),"")</f>
        <v/>
      </c>
      <c r="K27" s="14" t="str">
        <f aca="false">IFERROR(VLOOKUP(TRIM('📥 Respostas'!N27),'⚙️ Config'!$A$4:$B$13,2,0),"")</f>
        <v/>
      </c>
      <c r="L27" s="14" t="str">
        <f aca="false">IFERROR(VLOOKUP(TRIM('📥 Respostas'!O27),'⚙️ Config'!$A$4:$B$13,2,0),"")</f>
        <v/>
      </c>
      <c r="M27" s="14" t="str">
        <f aca="false">IFERROR(VLOOKUP(TRIM('📥 Respostas'!P27),'⚙️ Config'!$A$4:$B$13,2,0),"")</f>
        <v/>
      </c>
      <c r="N27" s="14" t="str">
        <f aca="false">IFERROR(VLOOKUP(TRIM('📥 Respostas'!Q27),'⚙️ Config'!$A$4:$B$13,2,0),"")</f>
        <v/>
      </c>
      <c r="O27" s="14" t="str">
        <f aca="false">IFERROR(VLOOKUP(TRIM('📥 Respostas'!R27),'⚙️ Config'!$A$4:$B$13,2,0),"")</f>
        <v/>
      </c>
      <c r="P27" s="14" t="str">
        <f aca="false">IFERROR(VLOOKUP(TRIM('📥 Respostas'!S27),'⚙️ Config'!$A$4:$B$13,2,0),"")</f>
        <v/>
      </c>
      <c r="Q27" s="14" t="str">
        <f aca="false">IFERROR(VLOOKUP(TRIM('📥 Respostas'!T27),'⚙️ Config'!$A$4:$B$13,2,0),"")</f>
        <v/>
      </c>
      <c r="R27" s="14" t="str">
        <f aca="false">IFERROR(VLOOKUP(TRIM('📥 Respostas'!U27),'⚙️ Config'!$A$4:$B$13,2,0),"")</f>
        <v/>
      </c>
      <c r="S27" s="14" t="str">
        <f aca="false">IFERROR(VLOOKUP(TRIM('📥 Respostas'!V27),'⚙️ Config'!$A$4:$B$13,2,0),"")</f>
        <v/>
      </c>
      <c r="T27" s="14" t="str">
        <f aca="false">IFERROR(VLOOKUP(TRIM('📥 Respostas'!W27),'⚙️ Config'!$A$4:$B$13,2,0),"")</f>
        <v/>
      </c>
      <c r="U27" s="14" t="str">
        <f aca="false">IFERROR(VLOOKUP(TRIM('📥 Respostas'!X27),'⚙️ Config'!$A$4:$B$13,2,0),"")</f>
        <v/>
      </c>
      <c r="V27" s="14" t="str">
        <f aca="false">IFERROR(VLOOKUP(TRIM('📥 Respostas'!Y27),'⚙️ Config'!$A$4:$B$13,2,0),"")</f>
        <v/>
      </c>
      <c r="W27" s="14" t="str">
        <f aca="false">IFERROR(VLOOKUP(TRIM('📥 Respostas'!Z27),'⚙️ Config'!$A$4:$B$13,2,0),"")</f>
        <v/>
      </c>
      <c r="X27" s="14" t="str">
        <f aca="false">IFERROR(VLOOKUP(TRIM('📥 Respostas'!AA27),'⚙️ Config'!$A$4:$B$13,2,0),"")</f>
        <v/>
      </c>
      <c r="Y27" s="14" t="str">
        <f aca="false">IFERROR(VLOOKUP(TRIM('📥 Respostas'!AB27),'⚙️ Config'!$A$4:$B$13,2,0),"")</f>
        <v/>
      </c>
      <c r="Z27" s="14" t="str">
        <f aca="false">IFERROR(VLOOKUP(TRIM('📥 Respostas'!AC27),'⚙️ Config'!$A$4:$B$13,2,0),"")</f>
        <v/>
      </c>
      <c r="AA27" s="14" t="str">
        <f aca="false">IFERROR(VLOOKUP(TRIM('📥 Respostas'!AD27),'⚙️ Config'!$A$4:$B$13,2,0),"")</f>
        <v/>
      </c>
      <c r="AB27" s="14" t="str">
        <f aca="false">IFERROR(VLOOKUP(TRIM('📥 Respostas'!AE27),'⚙️ Config'!$A$4:$B$13,2,0),"")</f>
        <v/>
      </c>
      <c r="AC27" s="14" t="str">
        <f aca="false">IFERROR(VLOOKUP(TRIM('📥 Respostas'!AF27),'⚙️ Config'!$A$4:$B$13,2,0),"")</f>
        <v/>
      </c>
      <c r="AD27" s="14" t="str">
        <f aca="false">IFERROR(VLOOKUP(TRIM('📥 Respostas'!AG27),'⚙️ Config'!$A$4:$B$13,2,0),"")</f>
        <v/>
      </c>
      <c r="AE27" s="14" t="str">
        <f aca="false">IFERROR(VLOOKUP(TRIM('📥 Respostas'!AH27),'⚙️ Config'!$A$4:$B$13,2,0),"")</f>
        <v/>
      </c>
      <c r="AF27" s="14" t="str">
        <f aca="false">IFERROR(VLOOKUP(TRIM('📥 Respostas'!AI27),'⚙️ Config'!$C$4:$D$11,2,0),"")</f>
        <v/>
      </c>
      <c r="AG27" s="14" t="str">
        <f aca="false">IFERROR(VLOOKUP(TRIM('📥 Respostas'!AJ27),'⚙️ Config'!$A$4:$B$13,2,0),"")</f>
        <v/>
      </c>
      <c r="AH27" s="14" t="str">
        <f aca="false">IFERROR(VLOOKUP(TRIM('📥 Respostas'!AK27),'⚙️ Config'!$A$4:$B$13,2,0),"")</f>
        <v/>
      </c>
      <c r="AI27" s="14" t="str">
        <f aca="false">IFERROR(VLOOKUP(TRIM('📥 Respostas'!AL27),'⚙️ Config'!$A$4:$B$13,2,0),"")</f>
        <v/>
      </c>
      <c r="AJ27" s="14" t="str">
        <f aca="false">IFERROR(VLOOKUP(TRIM('📥 Respostas'!AM27),'⚙️ Config'!$A$4:$B$13,2,0),"")</f>
        <v/>
      </c>
      <c r="AK27" s="14" t="str">
        <f aca="false">IFERROR(VLOOKUP(TRIM('📥 Respostas'!AN27),'⚙️ Config'!$A$4:$B$13,2,0),"")</f>
        <v/>
      </c>
      <c r="AL27" s="14" t="str">
        <f aca="false">IFERROR(VLOOKUP(TRIM('📥 Respostas'!AO27),'⚙️ Config'!$A$4:$B$13,2,0),"")</f>
        <v/>
      </c>
      <c r="AM27" s="14" t="str">
        <f aca="false">IFERROR(VLOOKUP(TRIM('📥 Respostas'!AP27),'⚙️ Config'!$A$4:$B$13,2,0),"")</f>
        <v/>
      </c>
      <c r="AN27" s="14" t="str">
        <f aca="false">IFERROR(VLOOKUP(TRIM('📥 Respostas'!AQ27),'⚙️ Config'!$A$4:$B$13,2,0),"")</f>
        <v/>
      </c>
      <c r="AO27" s="14" t="str">
        <f aca="false">IFERROR(VLOOKUP(TRIM('📥 Respostas'!AR27),'⚙️ Config'!$A$4:$B$13,2,0),"")</f>
        <v/>
      </c>
      <c r="AP27" s="14" t="str">
        <f aca="false">IFERROR(VLOOKUP(TRIM('📥 Respostas'!AS27),'⚙️ Config'!$A$4:$B$13,2,0),"")</f>
        <v/>
      </c>
      <c r="AQ27" s="14" t="str">
        <f aca="false">IFERROR(VLOOKUP(TRIM('📥 Respostas'!AT27),'⚙️ Config'!$A$4:$B$13,2,0),"")</f>
        <v/>
      </c>
      <c r="AR27" s="14" t="str">
        <f aca="false">IFERROR(VLOOKUP(TRIM('📥 Respostas'!AU27),'⚙️ Config'!$A$4:$B$13,2,0),"")</f>
        <v/>
      </c>
    </row>
    <row r="28" customFormat="false" ht="15" hidden="false" customHeight="false" outlineLevel="0" collapsed="false">
      <c r="A28" s="12" t="str">
        <f aca="false">IF(ISBLANK('📥 Respostas'!D28),"",ROW()-3)</f>
        <v/>
      </c>
      <c r="B28" s="12" t="n">
        <f aca="false">'📥 Respostas'!D28</f>
        <v>0</v>
      </c>
      <c r="C28" s="13" t="n">
        <f aca="false">'📥 Respostas'!C28</f>
        <v>0</v>
      </c>
      <c r="D28" s="14" t="str">
        <f aca="false">IFERROR(VLOOKUP(TRIM('📥 Respostas'!G28),'⚙️ Config'!$A$4:$B$13,2,0),"")</f>
        <v/>
      </c>
      <c r="E28" s="14" t="str">
        <f aca="false">IFERROR(VLOOKUP(TRIM('📥 Respostas'!H28),'⚙️ Config'!$A$4:$B$13,2,0),"")</f>
        <v/>
      </c>
      <c r="F28" s="14" t="str">
        <f aca="false">IFERROR(VLOOKUP(TRIM('📥 Respostas'!I28),'⚙️ Config'!$A$4:$B$13,2,0),"")</f>
        <v/>
      </c>
      <c r="G28" s="14" t="str">
        <f aca="false">IFERROR(VLOOKUP(TRIM('📥 Respostas'!J28),'⚙️ Config'!$A$4:$B$13,2,0),"")</f>
        <v/>
      </c>
      <c r="H28" s="14" t="str">
        <f aca="false">IFERROR(VLOOKUP(TRIM('📥 Respostas'!K28),'⚙️ Config'!$A$4:$B$13,2,0),"")</f>
        <v/>
      </c>
      <c r="I28" s="14" t="str">
        <f aca="false">IFERROR(VLOOKUP(TRIM('📥 Respostas'!L28),'⚙️ Config'!$A$4:$B$13,2,0),"")</f>
        <v/>
      </c>
      <c r="J28" s="14" t="str">
        <f aca="false">IFERROR(VLOOKUP(TRIM('📥 Respostas'!M28),'⚙️ Config'!$A$4:$B$13,2,0),"")</f>
        <v/>
      </c>
      <c r="K28" s="14" t="str">
        <f aca="false">IFERROR(VLOOKUP(TRIM('📥 Respostas'!N28),'⚙️ Config'!$A$4:$B$13,2,0),"")</f>
        <v/>
      </c>
      <c r="L28" s="14" t="str">
        <f aca="false">IFERROR(VLOOKUP(TRIM('📥 Respostas'!O28),'⚙️ Config'!$A$4:$B$13,2,0),"")</f>
        <v/>
      </c>
      <c r="M28" s="14" t="str">
        <f aca="false">IFERROR(VLOOKUP(TRIM('📥 Respostas'!P28),'⚙️ Config'!$A$4:$B$13,2,0),"")</f>
        <v/>
      </c>
      <c r="N28" s="14" t="str">
        <f aca="false">IFERROR(VLOOKUP(TRIM('📥 Respostas'!Q28),'⚙️ Config'!$A$4:$B$13,2,0),"")</f>
        <v/>
      </c>
      <c r="O28" s="14" t="str">
        <f aca="false">IFERROR(VLOOKUP(TRIM('📥 Respostas'!R28),'⚙️ Config'!$A$4:$B$13,2,0),"")</f>
        <v/>
      </c>
      <c r="P28" s="14" t="str">
        <f aca="false">IFERROR(VLOOKUP(TRIM('📥 Respostas'!S28),'⚙️ Config'!$A$4:$B$13,2,0),"")</f>
        <v/>
      </c>
      <c r="Q28" s="14" t="str">
        <f aca="false">IFERROR(VLOOKUP(TRIM('📥 Respostas'!T28),'⚙️ Config'!$A$4:$B$13,2,0),"")</f>
        <v/>
      </c>
      <c r="R28" s="14" t="str">
        <f aca="false">IFERROR(VLOOKUP(TRIM('📥 Respostas'!U28),'⚙️ Config'!$A$4:$B$13,2,0),"")</f>
        <v/>
      </c>
      <c r="S28" s="14" t="str">
        <f aca="false">IFERROR(VLOOKUP(TRIM('📥 Respostas'!V28),'⚙️ Config'!$A$4:$B$13,2,0),"")</f>
        <v/>
      </c>
      <c r="T28" s="14" t="str">
        <f aca="false">IFERROR(VLOOKUP(TRIM('📥 Respostas'!W28),'⚙️ Config'!$A$4:$B$13,2,0),"")</f>
        <v/>
      </c>
      <c r="U28" s="14" t="str">
        <f aca="false">IFERROR(VLOOKUP(TRIM('📥 Respostas'!X28),'⚙️ Config'!$A$4:$B$13,2,0),"")</f>
        <v/>
      </c>
      <c r="V28" s="14" t="str">
        <f aca="false">IFERROR(VLOOKUP(TRIM('📥 Respostas'!Y28),'⚙️ Config'!$A$4:$B$13,2,0),"")</f>
        <v/>
      </c>
      <c r="W28" s="14" t="str">
        <f aca="false">IFERROR(VLOOKUP(TRIM('📥 Respostas'!Z28),'⚙️ Config'!$A$4:$B$13,2,0),"")</f>
        <v/>
      </c>
      <c r="X28" s="14" t="str">
        <f aca="false">IFERROR(VLOOKUP(TRIM('📥 Respostas'!AA28),'⚙️ Config'!$A$4:$B$13,2,0),"")</f>
        <v/>
      </c>
      <c r="Y28" s="14" t="str">
        <f aca="false">IFERROR(VLOOKUP(TRIM('📥 Respostas'!AB28),'⚙️ Config'!$A$4:$B$13,2,0),"")</f>
        <v/>
      </c>
      <c r="Z28" s="14" t="str">
        <f aca="false">IFERROR(VLOOKUP(TRIM('📥 Respostas'!AC28),'⚙️ Config'!$A$4:$B$13,2,0),"")</f>
        <v/>
      </c>
      <c r="AA28" s="14" t="str">
        <f aca="false">IFERROR(VLOOKUP(TRIM('📥 Respostas'!AD28),'⚙️ Config'!$A$4:$B$13,2,0),"")</f>
        <v/>
      </c>
      <c r="AB28" s="14" t="str">
        <f aca="false">IFERROR(VLOOKUP(TRIM('📥 Respostas'!AE28),'⚙️ Config'!$A$4:$B$13,2,0),"")</f>
        <v/>
      </c>
      <c r="AC28" s="14" t="str">
        <f aca="false">IFERROR(VLOOKUP(TRIM('📥 Respostas'!AF28),'⚙️ Config'!$A$4:$B$13,2,0),"")</f>
        <v/>
      </c>
      <c r="AD28" s="14" t="str">
        <f aca="false">IFERROR(VLOOKUP(TRIM('📥 Respostas'!AG28),'⚙️ Config'!$A$4:$B$13,2,0),"")</f>
        <v/>
      </c>
      <c r="AE28" s="14" t="str">
        <f aca="false">IFERROR(VLOOKUP(TRIM('📥 Respostas'!AH28),'⚙️ Config'!$A$4:$B$13,2,0),"")</f>
        <v/>
      </c>
      <c r="AF28" s="14" t="str">
        <f aca="false">IFERROR(VLOOKUP(TRIM('📥 Respostas'!AI28),'⚙️ Config'!$C$4:$D$11,2,0),"")</f>
        <v/>
      </c>
      <c r="AG28" s="14" t="str">
        <f aca="false">IFERROR(VLOOKUP(TRIM('📥 Respostas'!AJ28),'⚙️ Config'!$A$4:$B$13,2,0),"")</f>
        <v/>
      </c>
      <c r="AH28" s="14" t="str">
        <f aca="false">IFERROR(VLOOKUP(TRIM('📥 Respostas'!AK28),'⚙️ Config'!$A$4:$B$13,2,0),"")</f>
        <v/>
      </c>
      <c r="AI28" s="14" t="str">
        <f aca="false">IFERROR(VLOOKUP(TRIM('📥 Respostas'!AL28),'⚙️ Config'!$A$4:$B$13,2,0),"")</f>
        <v/>
      </c>
      <c r="AJ28" s="14" t="str">
        <f aca="false">IFERROR(VLOOKUP(TRIM('📥 Respostas'!AM28),'⚙️ Config'!$A$4:$B$13,2,0),"")</f>
        <v/>
      </c>
      <c r="AK28" s="14" t="str">
        <f aca="false">IFERROR(VLOOKUP(TRIM('📥 Respostas'!AN28),'⚙️ Config'!$A$4:$B$13,2,0),"")</f>
        <v/>
      </c>
      <c r="AL28" s="14" t="str">
        <f aca="false">IFERROR(VLOOKUP(TRIM('📥 Respostas'!AO28),'⚙️ Config'!$A$4:$B$13,2,0),"")</f>
        <v/>
      </c>
      <c r="AM28" s="14" t="str">
        <f aca="false">IFERROR(VLOOKUP(TRIM('📥 Respostas'!AP28),'⚙️ Config'!$A$4:$B$13,2,0),"")</f>
        <v/>
      </c>
      <c r="AN28" s="14" t="str">
        <f aca="false">IFERROR(VLOOKUP(TRIM('📥 Respostas'!AQ28),'⚙️ Config'!$A$4:$B$13,2,0),"")</f>
        <v/>
      </c>
      <c r="AO28" s="14" t="str">
        <f aca="false">IFERROR(VLOOKUP(TRIM('📥 Respostas'!AR28),'⚙️ Config'!$A$4:$B$13,2,0),"")</f>
        <v/>
      </c>
      <c r="AP28" s="14" t="str">
        <f aca="false">IFERROR(VLOOKUP(TRIM('📥 Respostas'!AS28),'⚙️ Config'!$A$4:$B$13,2,0),"")</f>
        <v/>
      </c>
      <c r="AQ28" s="14" t="str">
        <f aca="false">IFERROR(VLOOKUP(TRIM('📥 Respostas'!AT28),'⚙️ Config'!$A$4:$B$13,2,0),"")</f>
        <v/>
      </c>
      <c r="AR28" s="14" t="str">
        <f aca="false">IFERROR(VLOOKUP(TRIM('📥 Respostas'!AU28),'⚙️ Config'!$A$4:$B$13,2,0),"")</f>
        <v/>
      </c>
    </row>
    <row r="29" customFormat="false" ht="15" hidden="false" customHeight="false" outlineLevel="0" collapsed="false">
      <c r="A29" s="15" t="str">
        <f aca="false">IF(ISBLANK('📥 Respostas'!D29),"",ROW()-3)</f>
        <v/>
      </c>
      <c r="B29" s="15" t="n">
        <f aca="false">'📥 Respostas'!D29</f>
        <v>0</v>
      </c>
      <c r="C29" s="5" t="n">
        <f aca="false">'📥 Respostas'!C29</f>
        <v>0</v>
      </c>
      <c r="D29" s="14" t="str">
        <f aca="false">IFERROR(VLOOKUP(TRIM('📥 Respostas'!G29),'⚙️ Config'!$A$4:$B$13,2,0),"")</f>
        <v/>
      </c>
      <c r="E29" s="14" t="str">
        <f aca="false">IFERROR(VLOOKUP(TRIM('📥 Respostas'!H29),'⚙️ Config'!$A$4:$B$13,2,0),"")</f>
        <v/>
      </c>
      <c r="F29" s="14" t="str">
        <f aca="false">IFERROR(VLOOKUP(TRIM('📥 Respostas'!I29),'⚙️ Config'!$A$4:$B$13,2,0),"")</f>
        <v/>
      </c>
      <c r="G29" s="14" t="str">
        <f aca="false">IFERROR(VLOOKUP(TRIM('📥 Respostas'!J29),'⚙️ Config'!$A$4:$B$13,2,0),"")</f>
        <v/>
      </c>
      <c r="H29" s="14" t="str">
        <f aca="false">IFERROR(VLOOKUP(TRIM('📥 Respostas'!K29),'⚙️ Config'!$A$4:$B$13,2,0),"")</f>
        <v/>
      </c>
      <c r="I29" s="14" t="str">
        <f aca="false">IFERROR(VLOOKUP(TRIM('📥 Respostas'!L29),'⚙️ Config'!$A$4:$B$13,2,0),"")</f>
        <v/>
      </c>
      <c r="J29" s="14" t="str">
        <f aca="false">IFERROR(VLOOKUP(TRIM('📥 Respostas'!M29),'⚙️ Config'!$A$4:$B$13,2,0),"")</f>
        <v/>
      </c>
      <c r="K29" s="14" t="str">
        <f aca="false">IFERROR(VLOOKUP(TRIM('📥 Respostas'!N29),'⚙️ Config'!$A$4:$B$13,2,0),"")</f>
        <v/>
      </c>
      <c r="L29" s="14" t="str">
        <f aca="false">IFERROR(VLOOKUP(TRIM('📥 Respostas'!O29),'⚙️ Config'!$A$4:$B$13,2,0),"")</f>
        <v/>
      </c>
      <c r="M29" s="14" t="str">
        <f aca="false">IFERROR(VLOOKUP(TRIM('📥 Respostas'!P29),'⚙️ Config'!$A$4:$B$13,2,0),"")</f>
        <v/>
      </c>
      <c r="N29" s="14" t="str">
        <f aca="false">IFERROR(VLOOKUP(TRIM('📥 Respostas'!Q29),'⚙️ Config'!$A$4:$B$13,2,0),"")</f>
        <v/>
      </c>
      <c r="O29" s="14" t="str">
        <f aca="false">IFERROR(VLOOKUP(TRIM('📥 Respostas'!R29),'⚙️ Config'!$A$4:$B$13,2,0),"")</f>
        <v/>
      </c>
      <c r="P29" s="14" t="str">
        <f aca="false">IFERROR(VLOOKUP(TRIM('📥 Respostas'!S29),'⚙️ Config'!$A$4:$B$13,2,0),"")</f>
        <v/>
      </c>
      <c r="Q29" s="14" t="str">
        <f aca="false">IFERROR(VLOOKUP(TRIM('📥 Respostas'!T29),'⚙️ Config'!$A$4:$B$13,2,0),"")</f>
        <v/>
      </c>
      <c r="R29" s="14" t="str">
        <f aca="false">IFERROR(VLOOKUP(TRIM('📥 Respostas'!U29),'⚙️ Config'!$A$4:$B$13,2,0),"")</f>
        <v/>
      </c>
      <c r="S29" s="14" t="str">
        <f aca="false">IFERROR(VLOOKUP(TRIM('📥 Respostas'!V29),'⚙️ Config'!$A$4:$B$13,2,0),"")</f>
        <v/>
      </c>
      <c r="T29" s="14" t="str">
        <f aca="false">IFERROR(VLOOKUP(TRIM('📥 Respostas'!W29),'⚙️ Config'!$A$4:$B$13,2,0),"")</f>
        <v/>
      </c>
      <c r="U29" s="14" t="str">
        <f aca="false">IFERROR(VLOOKUP(TRIM('📥 Respostas'!X29),'⚙️ Config'!$A$4:$B$13,2,0),"")</f>
        <v/>
      </c>
      <c r="V29" s="14" t="str">
        <f aca="false">IFERROR(VLOOKUP(TRIM('📥 Respostas'!Y29),'⚙️ Config'!$A$4:$B$13,2,0),"")</f>
        <v/>
      </c>
      <c r="W29" s="14" t="str">
        <f aca="false">IFERROR(VLOOKUP(TRIM('📥 Respostas'!Z29),'⚙️ Config'!$A$4:$B$13,2,0),"")</f>
        <v/>
      </c>
      <c r="X29" s="14" t="str">
        <f aca="false">IFERROR(VLOOKUP(TRIM('📥 Respostas'!AA29),'⚙️ Config'!$A$4:$B$13,2,0),"")</f>
        <v/>
      </c>
      <c r="Y29" s="14" t="str">
        <f aca="false">IFERROR(VLOOKUP(TRIM('📥 Respostas'!AB29),'⚙️ Config'!$A$4:$B$13,2,0),"")</f>
        <v/>
      </c>
      <c r="Z29" s="14" t="str">
        <f aca="false">IFERROR(VLOOKUP(TRIM('📥 Respostas'!AC29),'⚙️ Config'!$A$4:$B$13,2,0),"")</f>
        <v/>
      </c>
      <c r="AA29" s="14" t="str">
        <f aca="false">IFERROR(VLOOKUP(TRIM('📥 Respostas'!AD29),'⚙️ Config'!$A$4:$B$13,2,0),"")</f>
        <v/>
      </c>
      <c r="AB29" s="14" t="str">
        <f aca="false">IFERROR(VLOOKUP(TRIM('📥 Respostas'!AE29),'⚙️ Config'!$A$4:$B$13,2,0),"")</f>
        <v/>
      </c>
      <c r="AC29" s="14" t="str">
        <f aca="false">IFERROR(VLOOKUP(TRIM('📥 Respostas'!AF29),'⚙️ Config'!$A$4:$B$13,2,0),"")</f>
        <v/>
      </c>
      <c r="AD29" s="14" t="str">
        <f aca="false">IFERROR(VLOOKUP(TRIM('📥 Respostas'!AG29),'⚙️ Config'!$A$4:$B$13,2,0),"")</f>
        <v/>
      </c>
      <c r="AE29" s="14" t="str">
        <f aca="false">IFERROR(VLOOKUP(TRIM('📥 Respostas'!AH29),'⚙️ Config'!$A$4:$B$13,2,0),"")</f>
        <v/>
      </c>
      <c r="AF29" s="14" t="str">
        <f aca="false">IFERROR(VLOOKUP(TRIM('📥 Respostas'!AI29),'⚙️ Config'!$C$4:$D$11,2,0),"")</f>
        <v/>
      </c>
      <c r="AG29" s="14" t="str">
        <f aca="false">IFERROR(VLOOKUP(TRIM('📥 Respostas'!AJ29),'⚙️ Config'!$A$4:$B$13,2,0),"")</f>
        <v/>
      </c>
      <c r="AH29" s="14" t="str">
        <f aca="false">IFERROR(VLOOKUP(TRIM('📥 Respostas'!AK29),'⚙️ Config'!$A$4:$B$13,2,0),"")</f>
        <v/>
      </c>
      <c r="AI29" s="14" t="str">
        <f aca="false">IFERROR(VLOOKUP(TRIM('📥 Respostas'!AL29),'⚙️ Config'!$A$4:$B$13,2,0),"")</f>
        <v/>
      </c>
      <c r="AJ29" s="14" t="str">
        <f aca="false">IFERROR(VLOOKUP(TRIM('📥 Respostas'!AM29),'⚙️ Config'!$A$4:$B$13,2,0),"")</f>
        <v/>
      </c>
      <c r="AK29" s="14" t="str">
        <f aca="false">IFERROR(VLOOKUP(TRIM('📥 Respostas'!AN29),'⚙️ Config'!$A$4:$B$13,2,0),"")</f>
        <v/>
      </c>
      <c r="AL29" s="14" t="str">
        <f aca="false">IFERROR(VLOOKUP(TRIM('📥 Respostas'!AO29),'⚙️ Config'!$A$4:$B$13,2,0),"")</f>
        <v/>
      </c>
      <c r="AM29" s="14" t="str">
        <f aca="false">IFERROR(VLOOKUP(TRIM('📥 Respostas'!AP29),'⚙️ Config'!$A$4:$B$13,2,0),"")</f>
        <v/>
      </c>
      <c r="AN29" s="14" t="str">
        <f aca="false">IFERROR(VLOOKUP(TRIM('📥 Respostas'!AQ29),'⚙️ Config'!$A$4:$B$13,2,0),"")</f>
        <v/>
      </c>
      <c r="AO29" s="14" t="str">
        <f aca="false">IFERROR(VLOOKUP(TRIM('📥 Respostas'!AR29),'⚙️ Config'!$A$4:$B$13,2,0),"")</f>
        <v/>
      </c>
      <c r="AP29" s="14" t="str">
        <f aca="false">IFERROR(VLOOKUP(TRIM('📥 Respostas'!AS29),'⚙️ Config'!$A$4:$B$13,2,0),"")</f>
        <v/>
      </c>
      <c r="AQ29" s="14" t="str">
        <f aca="false">IFERROR(VLOOKUP(TRIM('📥 Respostas'!AT29),'⚙️ Config'!$A$4:$B$13,2,0),"")</f>
        <v/>
      </c>
      <c r="AR29" s="14" t="str">
        <f aca="false">IFERROR(VLOOKUP(TRIM('📥 Respostas'!AU29),'⚙️ Config'!$A$4:$B$13,2,0),"")</f>
        <v/>
      </c>
    </row>
    <row r="30" customFormat="false" ht="15" hidden="false" customHeight="false" outlineLevel="0" collapsed="false">
      <c r="A30" s="12" t="str">
        <f aca="false">IF(ISBLANK('📥 Respostas'!D30),"",ROW()-3)</f>
        <v/>
      </c>
      <c r="B30" s="12" t="n">
        <f aca="false">'📥 Respostas'!D30</f>
        <v>0</v>
      </c>
      <c r="C30" s="13" t="n">
        <f aca="false">'📥 Respostas'!C30</f>
        <v>0</v>
      </c>
      <c r="D30" s="14" t="str">
        <f aca="false">IFERROR(VLOOKUP(TRIM('📥 Respostas'!G30),'⚙️ Config'!$A$4:$B$13,2,0),"")</f>
        <v/>
      </c>
      <c r="E30" s="14" t="str">
        <f aca="false">IFERROR(VLOOKUP(TRIM('📥 Respostas'!H30),'⚙️ Config'!$A$4:$B$13,2,0),"")</f>
        <v/>
      </c>
      <c r="F30" s="14" t="str">
        <f aca="false">IFERROR(VLOOKUP(TRIM('📥 Respostas'!I30),'⚙️ Config'!$A$4:$B$13,2,0),"")</f>
        <v/>
      </c>
      <c r="G30" s="14" t="str">
        <f aca="false">IFERROR(VLOOKUP(TRIM('📥 Respostas'!J30),'⚙️ Config'!$A$4:$B$13,2,0),"")</f>
        <v/>
      </c>
      <c r="H30" s="14" t="str">
        <f aca="false">IFERROR(VLOOKUP(TRIM('📥 Respostas'!K30),'⚙️ Config'!$A$4:$B$13,2,0),"")</f>
        <v/>
      </c>
      <c r="I30" s="14" t="str">
        <f aca="false">IFERROR(VLOOKUP(TRIM('📥 Respostas'!L30),'⚙️ Config'!$A$4:$B$13,2,0),"")</f>
        <v/>
      </c>
      <c r="J30" s="14" t="str">
        <f aca="false">IFERROR(VLOOKUP(TRIM('📥 Respostas'!M30),'⚙️ Config'!$A$4:$B$13,2,0),"")</f>
        <v/>
      </c>
      <c r="K30" s="14" t="str">
        <f aca="false">IFERROR(VLOOKUP(TRIM('📥 Respostas'!N30),'⚙️ Config'!$A$4:$B$13,2,0),"")</f>
        <v/>
      </c>
      <c r="L30" s="14" t="str">
        <f aca="false">IFERROR(VLOOKUP(TRIM('📥 Respostas'!O30),'⚙️ Config'!$A$4:$B$13,2,0),"")</f>
        <v/>
      </c>
      <c r="M30" s="14" t="str">
        <f aca="false">IFERROR(VLOOKUP(TRIM('📥 Respostas'!P30),'⚙️ Config'!$A$4:$B$13,2,0),"")</f>
        <v/>
      </c>
      <c r="N30" s="14" t="str">
        <f aca="false">IFERROR(VLOOKUP(TRIM('📥 Respostas'!Q30),'⚙️ Config'!$A$4:$B$13,2,0),"")</f>
        <v/>
      </c>
      <c r="O30" s="14" t="str">
        <f aca="false">IFERROR(VLOOKUP(TRIM('📥 Respostas'!R30),'⚙️ Config'!$A$4:$B$13,2,0),"")</f>
        <v/>
      </c>
      <c r="P30" s="14" t="str">
        <f aca="false">IFERROR(VLOOKUP(TRIM('📥 Respostas'!S30),'⚙️ Config'!$A$4:$B$13,2,0),"")</f>
        <v/>
      </c>
      <c r="Q30" s="14" t="str">
        <f aca="false">IFERROR(VLOOKUP(TRIM('📥 Respostas'!T30),'⚙️ Config'!$A$4:$B$13,2,0),"")</f>
        <v/>
      </c>
      <c r="R30" s="14" t="str">
        <f aca="false">IFERROR(VLOOKUP(TRIM('📥 Respostas'!U30),'⚙️ Config'!$A$4:$B$13,2,0),"")</f>
        <v/>
      </c>
      <c r="S30" s="14" t="str">
        <f aca="false">IFERROR(VLOOKUP(TRIM('📥 Respostas'!V30),'⚙️ Config'!$A$4:$B$13,2,0),"")</f>
        <v/>
      </c>
      <c r="T30" s="14" t="str">
        <f aca="false">IFERROR(VLOOKUP(TRIM('📥 Respostas'!W30),'⚙️ Config'!$A$4:$B$13,2,0),"")</f>
        <v/>
      </c>
      <c r="U30" s="14" t="str">
        <f aca="false">IFERROR(VLOOKUP(TRIM('📥 Respostas'!X30),'⚙️ Config'!$A$4:$B$13,2,0),"")</f>
        <v/>
      </c>
      <c r="V30" s="14" t="str">
        <f aca="false">IFERROR(VLOOKUP(TRIM('📥 Respostas'!Y30),'⚙️ Config'!$A$4:$B$13,2,0),"")</f>
        <v/>
      </c>
      <c r="W30" s="14" t="str">
        <f aca="false">IFERROR(VLOOKUP(TRIM('📥 Respostas'!Z30),'⚙️ Config'!$A$4:$B$13,2,0),"")</f>
        <v/>
      </c>
      <c r="X30" s="14" t="str">
        <f aca="false">IFERROR(VLOOKUP(TRIM('📥 Respostas'!AA30),'⚙️ Config'!$A$4:$B$13,2,0),"")</f>
        <v/>
      </c>
      <c r="Y30" s="14" t="str">
        <f aca="false">IFERROR(VLOOKUP(TRIM('📥 Respostas'!AB30),'⚙️ Config'!$A$4:$B$13,2,0),"")</f>
        <v/>
      </c>
      <c r="Z30" s="14" t="str">
        <f aca="false">IFERROR(VLOOKUP(TRIM('📥 Respostas'!AC30),'⚙️ Config'!$A$4:$B$13,2,0),"")</f>
        <v/>
      </c>
      <c r="AA30" s="14" t="str">
        <f aca="false">IFERROR(VLOOKUP(TRIM('📥 Respostas'!AD30),'⚙️ Config'!$A$4:$B$13,2,0),"")</f>
        <v/>
      </c>
      <c r="AB30" s="14" t="str">
        <f aca="false">IFERROR(VLOOKUP(TRIM('📥 Respostas'!AE30),'⚙️ Config'!$A$4:$B$13,2,0),"")</f>
        <v/>
      </c>
      <c r="AC30" s="14" t="str">
        <f aca="false">IFERROR(VLOOKUP(TRIM('📥 Respostas'!AF30),'⚙️ Config'!$A$4:$B$13,2,0),"")</f>
        <v/>
      </c>
      <c r="AD30" s="14" t="str">
        <f aca="false">IFERROR(VLOOKUP(TRIM('📥 Respostas'!AG30),'⚙️ Config'!$A$4:$B$13,2,0),"")</f>
        <v/>
      </c>
      <c r="AE30" s="14" t="str">
        <f aca="false">IFERROR(VLOOKUP(TRIM('📥 Respostas'!AH30),'⚙️ Config'!$A$4:$B$13,2,0),"")</f>
        <v/>
      </c>
      <c r="AF30" s="14" t="str">
        <f aca="false">IFERROR(VLOOKUP(TRIM('📥 Respostas'!AI30),'⚙️ Config'!$C$4:$D$11,2,0),"")</f>
        <v/>
      </c>
      <c r="AG30" s="14" t="str">
        <f aca="false">IFERROR(VLOOKUP(TRIM('📥 Respostas'!AJ30),'⚙️ Config'!$A$4:$B$13,2,0),"")</f>
        <v/>
      </c>
      <c r="AH30" s="14" t="str">
        <f aca="false">IFERROR(VLOOKUP(TRIM('📥 Respostas'!AK30),'⚙️ Config'!$A$4:$B$13,2,0),"")</f>
        <v/>
      </c>
      <c r="AI30" s="14" t="str">
        <f aca="false">IFERROR(VLOOKUP(TRIM('📥 Respostas'!AL30),'⚙️ Config'!$A$4:$B$13,2,0),"")</f>
        <v/>
      </c>
      <c r="AJ30" s="14" t="str">
        <f aca="false">IFERROR(VLOOKUP(TRIM('📥 Respostas'!AM30),'⚙️ Config'!$A$4:$B$13,2,0),"")</f>
        <v/>
      </c>
      <c r="AK30" s="14" t="str">
        <f aca="false">IFERROR(VLOOKUP(TRIM('📥 Respostas'!AN30),'⚙️ Config'!$A$4:$B$13,2,0),"")</f>
        <v/>
      </c>
      <c r="AL30" s="14" t="str">
        <f aca="false">IFERROR(VLOOKUP(TRIM('📥 Respostas'!AO30),'⚙️ Config'!$A$4:$B$13,2,0),"")</f>
        <v/>
      </c>
      <c r="AM30" s="14" t="str">
        <f aca="false">IFERROR(VLOOKUP(TRIM('📥 Respostas'!AP30),'⚙️ Config'!$A$4:$B$13,2,0),"")</f>
        <v/>
      </c>
      <c r="AN30" s="14" t="str">
        <f aca="false">IFERROR(VLOOKUP(TRIM('📥 Respostas'!AQ30),'⚙️ Config'!$A$4:$B$13,2,0),"")</f>
        <v/>
      </c>
      <c r="AO30" s="14" t="str">
        <f aca="false">IFERROR(VLOOKUP(TRIM('📥 Respostas'!AR30),'⚙️ Config'!$A$4:$B$13,2,0),"")</f>
        <v/>
      </c>
      <c r="AP30" s="14" t="str">
        <f aca="false">IFERROR(VLOOKUP(TRIM('📥 Respostas'!AS30),'⚙️ Config'!$A$4:$B$13,2,0),"")</f>
        <v/>
      </c>
      <c r="AQ30" s="14" t="str">
        <f aca="false">IFERROR(VLOOKUP(TRIM('📥 Respostas'!AT30),'⚙️ Config'!$A$4:$B$13,2,0),"")</f>
        <v/>
      </c>
      <c r="AR30" s="14" t="str">
        <f aca="false">IFERROR(VLOOKUP(TRIM('📥 Respostas'!AU30),'⚙️ Config'!$A$4:$B$13,2,0),"")</f>
        <v/>
      </c>
    </row>
    <row r="31" customFormat="false" ht="15" hidden="false" customHeight="false" outlineLevel="0" collapsed="false">
      <c r="A31" s="15" t="str">
        <f aca="false">IF(ISBLANK('📥 Respostas'!D31),"",ROW()-3)</f>
        <v/>
      </c>
      <c r="B31" s="15" t="n">
        <f aca="false">'📥 Respostas'!D31</f>
        <v>0</v>
      </c>
      <c r="C31" s="5" t="n">
        <f aca="false">'📥 Respostas'!C31</f>
        <v>0</v>
      </c>
      <c r="D31" s="14" t="str">
        <f aca="false">IFERROR(VLOOKUP(TRIM('📥 Respostas'!G31),'⚙️ Config'!$A$4:$B$13,2,0),"")</f>
        <v/>
      </c>
      <c r="E31" s="14" t="str">
        <f aca="false">IFERROR(VLOOKUP(TRIM('📥 Respostas'!H31),'⚙️ Config'!$A$4:$B$13,2,0),"")</f>
        <v/>
      </c>
      <c r="F31" s="14" t="str">
        <f aca="false">IFERROR(VLOOKUP(TRIM('📥 Respostas'!I31),'⚙️ Config'!$A$4:$B$13,2,0),"")</f>
        <v/>
      </c>
      <c r="G31" s="14" t="str">
        <f aca="false">IFERROR(VLOOKUP(TRIM('📥 Respostas'!J31),'⚙️ Config'!$A$4:$B$13,2,0),"")</f>
        <v/>
      </c>
      <c r="H31" s="14" t="str">
        <f aca="false">IFERROR(VLOOKUP(TRIM('📥 Respostas'!K31),'⚙️ Config'!$A$4:$B$13,2,0),"")</f>
        <v/>
      </c>
      <c r="I31" s="14" t="str">
        <f aca="false">IFERROR(VLOOKUP(TRIM('📥 Respostas'!L31),'⚙️ Config'!$A$4:$B$13,2,0),"")</f>
        <v/>
      </c>
      <c r="J31" s="14" t="str">
        <f aca="false">IFERROR(VLOOKUP(TRIM('📥 Respostas'!M31),'⚙️ Config'!$A$4:$B$13,2,0),"")</f>
        <v/>
      </c>
      <c r="K31" s="14" t="str">
        <f aca="false">IFERROR(VLOOKUP(TRIM('📥 Respostas'!N31),'⚙️ Config'!$A$4:$B$13,2,0),"")</f>
        <v/>
      </c>
      <c r="L31" s="14" t="str">
        <f aca="false">IFERROR(VLOOKUP(TRIM('📥 Respostas'!O31),'⚙️ Config'!$A$4:$B$13,2,0),"")</f>
        <v/>
      </c>
      <c r="M31" s="14" t="str">
        <f aca="false">IFERROR(VLOOKUP(TRIM('📥 Respostas'!P31),'⚙️ Config'!$A$4:$B$13,2,0),"")</f>
        <v/>
      </c>
      <c r="N31" s="14" t="str">
        <f aca="false">IFERROR(VLOOKUP(TRIM('📥 Respostas'!Q31),'⚙️ Config'!$A$4:$B$13,2,0),"")</f>
        <v/>
      </c>
      <c r="O31" s="14" t="str">
        <f aca="false">IFERROR(VLOOKUP(TRIM('📥 Respostas'!R31),'⚙️ Config'!$A$4:$B$13,2,0),"")</f>
        <v/>
      </c>
      <c r="P31" s="14" t="str">
        <f aca="false">IFERROR(VLOOKUP(TRIM('📥 Respostas'!S31),'⚙️ Config'!$A$4:$B$13,2,0),"")</f>
        <v/>
      </c>
      <c r="Q31" s="14" t="str">
        <f aca="false">IFERROR(VLOOKUP(TRIM('📥 Respostas'!T31),'⚙️ Config'!$A$4:$B$13,2,0),"")</f>
        <v/>
      </c>
      <c r="R31" s="14" t="str">
        <f aca="false">IFERROR(VLOOKUP(TRIM('📥 Respostas'!U31),'⚙️ Config'!$A$4:$B$13,2,0),"")</f>
        <v/>
      </c>
      <c r="S31" s="14" t="str">
        <f aca="false">IFERROR(VLOOKUP(TRIM('📥 Respostas'!V31),'⚙️ Config'!$A$4:$B$13,2,0),"")</f>
        <v/>
      </c>
      <c r="T31" s="14" t="str">
        <f aca="false">IFERROR(VLOOKUP(TRIM('📥 Respostas'!W31),'⚙️ Config'!$A$4:$B$13,2,0),"")</f>
        <v/>
      </c>
      <c r="U31" s="14" t="str">
        <f aca="false">IFERROR(VLOOKUP(TRIM('📥 Respostas'!X31),'⚙️ Config'!$A$4:$B$13,2,0),"")</f>
        <v/>
      </c>
      <c r="V31" s="14" t="str">
        <f aca="false">IFERROR(VLOOKUP(TRIM('📥 Respostas'!Y31),'⚙️ Config'!$A$4:$B$13,2,0),"")</f>
        <v/>
      </c>
      <c r="W31" s="14" t="str">
        <f aca="false">IFERROR(VLOOKUP(TRIM('📥 Respostas'!Z31),'⚙️ Config'!$A$4:$B$13,2,0),"")</f>
        <v/>
      </c>
      <c r="X31" s="14" t="str">
        <f aca="false">IFERROR(VLOOKUP(TRIM('📥 Respostas'!AA31),'⚙️ Config'!$A$4:$B$13,2,0),"")</f>
        <v/>
      </c>
      <c r="Y31" s="14" t="str">
        <f aca="false">IFERROR(VLOOKUP(TRIM('📥 Respostas'!AB31),'⚙️ Config'!$A$4:$B$13,2,0),"")</f>
        <v/>
      </c>
      <c r="Z31" s="14" t="str">
        <f aca="false">IFERROR(VLOOKUP(TRIM('📥 Respostas'!AC31),'⚙️ Config'!$A$4:$B$13,2,0),"")</f>
        <v/>
      </c>
      <c r="AA31" s="14" t="str">
        <f aca="false">IFERROR(VLOOKUP(TRIM('📥 Respostas'!AD31),'⚙️ Config'!$A$4:$B$13,2,0),"")</f>
        <v/>
      </c>
      <c r="AB31" s="14" t="str">
        <f aca="false">IFERROR(VLOOKUP(TRIM('📥 Respostas'!AE31),'⚙️ Config'!$A$4:$B$13,2,0),"")</f>
        <v/>
      </c>
      <c r="AC31" s="14" t="str">
        <f aca="false">IFERROR(VLOOKUP(TRIM('📥 Respostas'!AF31),'⚙️ Config'!$A$4:$B$13,2,0),"")</f>
        <v/>
      </c>
      <c r="AD31" s="14" t="str">
        <f aca="false">IFERROR(VLOOKUP(TRIM('📥 Respostas'!AG31),'⚙️ Config'!$A$4:$B$13,2,0),"")</f>
        <v/>
      </c>
      <c r="AE31" s="14" t="str">
        <f aca="false">IFERROR(VLOOKUP(TRIM('📥 Respostas'!AH31),'⚙️ Config'!$A$4:$B$13,2,0),"")</f>
        <v/>
      </c>
      <c r="AF31" s="14" t="str">
        <f aca="false">IFERROR(VLOOKUP(TRIM('📥 Respostas'!AI31),'⚙️ Config'!$C$4:$D$11,2,0),"")</f>
        <v/>
      </c>
      <c r="AG31" s="14" t="str">
        <f aca="false">IFERROR(VLOOKUP(TRIM('📥 Respostas'!AJ31),'⚙️ Config'!$A$4:$B$13,2,0),"")</f>
        <v/>
      </c>
      <c r="AH31" s="14" t="str">
        <f aca="false">IFERROR(VLOOKUP(TRIM('📥 Respostas'!AK31),'⚙️ Config'!$A$4:$B$13,2,0),"")</f>
        <v/>
      </c>
      <c r="AI31" s="14" t="str">
        <f aca="false">IFERROR(VLOOKUP(TRIM('📥 Respostas'!AL31),'⚙️ Config'!$A$4:$B$13,2,0),"")</f>
        <v/>
      </c>
      <c r="AJ31" s="14" t="str">
        <f aca="false">IFERROR(VLOOKUP(TRIM('📥 Respostas'!AM31),'⚙️ Config'!$A$4:$B$13,2,0),"")</f>
        <v/>
      </c>
      <c r="AK31" s="14" t="str">
        <f aca="false">IFERROR(VLOOKUP(TRIM('📥 Respostas'!AN31),'⚙️ Config'!$A$4:$B$13,2,0),"")</f>
        <v/>
      </c>
      <c r="AL31" s="14" t="str">
        <f aca="false">IFERROR(VLOOKUP(TRIM('📥 Respostas'!AO31),'⚙️ Config'!$A$4:$B$13,2,0),"")</f>
        <v/>
      </c>
      <c r="AM31" s="14" t="str">
        <f aca="false">IFERROR(VLOOKUP(TRIM('📥 Respostas'!AP31),'⚙️ Config'!$A$4:$B$13,2,0),"")</f>
        <v/>
      </c>
      <c r="AN31" s="14" t="str">
        <f aca="false">IFERROR(VLOOKUP(TRIM('📥 Respostas'!AQ31),'⚙️ Config'!$A$4:$B$13,2,0),"")</f>
        <v/>
      </c>
      <c r="AO31" s="14" t="str">
        <f aca="false">IFERROR(VLOOKUP(TRIM('📥 Respostas'!AR31),'⚙️ Config'!$A$4:$B$13,2,0),"")</f>
        <v/>
      </c>
      <c r="AP31" s="14" t="str">
        <f aca="false">IFERROR(VLOOKUP(TRIM('📥 Respostas'!AS31),'⚙️ Config'!$A$4:$B$13,2,0),"")</f>
        <v/>
      </c>
      <c r="AQ31" s="14" t="str">
        <f aca="false">IFERROR(VLOOKUP(TRIM('📥 Respostas'!AT31),'⚙️ Config'!$A$4:$B$13,2,0),"")</f>
        <v/>
      </c>
      <c r="AR31" s="14" t="str">
        <f aca="false">IFERROR(VLOOKUP(TRIM('📥 Respostas'!AU31),'⚙️ Config'!$A$4:$B$13,2,0),"")</f>
        <v/>
      </c>
    </row>
    <row r="32" customFormat="false" ht="15" hidden="false" customHeight="false" outlineLevel="0" collapsed="false">
      <c r="A32" s="12" t="str">
        <f aca="false">IF(ISBLANK('📥 Respostas'!D32),"",ROW()-3)</f>
        <v/>
      </c>
      <c r="B32" s="12" t="n">
        <f aca="false">'📥 Respostas'!D32</f>
        <v>0</v>
      </c>
      <c r="C32" s="13" t="n">
        <f aca="false">'📥 Respostas'!C32</f>
        <v>0</v>
      </c>
      <c r="D32" s="14" t="str">
        <f aca="false">IFERROR(VLOOKUP(TRIM('📥 Respostas'!G32),'⚙️ Config'!$A$4:$B$13,2,0),"")</f>
        <v/>
      </c>
      <c r="E32" s="14" t="str">
        <f aca="false">IFERROR(VLOOKUP(TRIM('📥 Respostas'!H32),'⚙️ Config'!$A$4:$B$13,2,0),"")</f>
        <v/>
      </c>
      <c r="F32" s="14" t="str">
        <f aca="false">IFERROR(VLOOKUP(TRIM('📥 Respostas'!I32),'⚙️ Config'!$A$4:$B$13,2,0),"")</f>
        <v/>
      </c>
      <c r="G32" s="14" t="str">
        <f aca="false">IFERROR(VLOOKUP(TRIM('📥 Respostas'!J32),'⚙️ Config'!$A$4:$B$13,2,0),"")</f>
        <v/>
      </c>
      <c r="H32" s="14" t="str">
        <f aca="false">IFERROR(VLOOKUP(TRIM('📥 Respostas'!K32),'⚙️ Config'!$A$4:$B$13,2,0),"")</f>
        <v/>
      </c>
      <c r="I32" s="14" t="str">
        <f aca="false">IFERROR(VLOOKUP(TRIM('📥 Respostas'!L32),'⚙️ Config'!$A$4:$B$13,2,0),"")</f>
        <v/>
      </c>
      <c r="J32" s="14" t="str">
        <f aca="false">IFERROR(VLOOKUP(TRIM('📥 Respostas'!M32),'⚙️ Config'!$A$4:$B$13,2,0),"")</f>
        <v/>
      </c>
      <c r="K32" s="14" t="str">
        <f aca="false">IFERROR(VLOOKUP(TRIM('📥 Respostas'!N32),'⚙️ Config'!$A$4:$B$13,2,0),"")</f>
        <v/>
      </c>
      <c r="L32" s="14" t="str">
        <f aca="false">IFERROR(VLOOKUP(TRIM('📥 Respostas'!O32),'⚙️ Config'!$A$4:$B$13,2,0),"")</f>
        <v/>
      </c>
      <c r="M32" s="14" t="str">
        <f aca="false">IFERROR(VLOOKUP(TRIM('📥 Respostas'!P32),'⚙️ Config'!$A$4:$B$13,2,0),"")</f>
        <v/>
      </c>
      <c r="N32" s="14" t="str">
        <f aca="false">IFERROR(VLOOKUP(TRIM('📥 Respostas'!Q32),'⚙️ Config'!$A$4:$B$13,2,0),"")</f>
        <v/>
      </c>
      <c r="O32" s="14" t="str">
        <f aca="false">IFERROR(VLOOKUP(TRIM('📥 Respostas'!R32),'⚙️ Config'!$A$4:$B$13,2,0),"")</f>
        <v/>
      </c>
      <c r="P32" s="14" t="str">
        <f aca="false">IFERROR(VLOOKUP(TRIM('📥 Respostas'!S32),'⚙️ Config'!$A$4:$B$13,2,0),"")</f>
        <v/>
      </c>
      <c r="Q32" s="14" t="str">
        <f aca="false">IFERROR(VLOOKUP(TRIM('📥 Respostas'!T32),'⚙️ Config'!$A$4:$B$13,2,0),"")</f>
        <v/>
      </c>
      <c r="R32" s="14" t="str">
        <f aca="false">IFERROR(VLOOKUP(TRIM('📥 Respostas'!U32),'⚙️ Config'!$A$4:$B$13,2,0),"")</f>
        <v/>
      </c>
      <c r="S32" s="14" t="str">
        <f aca="false">IFERROR(VLOOKUP(TRIM('📥 Respostas'!V32),'⚙️ Config'!$A$4:$B$13,2,0),"")</f>
        <v/>
      </c>
      <c r="T32" s="14" t="str">
        <f aca="false">IFERROR(VLOOKUP(TRIM('📥 Respostas'!W32),'⚙️ Config'!$A$4:$B$13,2,0),"")</f>
        <v/>
      </c>
      <c r="U32" s="14" t="str">
        <f aca="false">IFERROR(VLOOKUP(TRIM('📥 Respostas'!X32),'⚙️ Config'!$A$4:$B$13,2,0),"")</f>
        <v/>
      </c>
      <c r="V32" s="14" t="str">
        <f aca="false">IFERROR(VLOOKUP(TRIM('📥 Respostas'!Y32),'⚙️ Config'!$A$4:$B$13,2,0),"")</f>
        <v/>
      </c>
      <c r="W32" s="14" t="str">
        <f aca="false">IFERROR(VLOOKUP(TRIM('📥 Respostas'!Z32),'⚙️ Config'!$A$4:$B$13,2,0),"")</f>
        <v/>
      </c>
      <c r="X32" s="14" t="str">
        <f aca="false">IFERROR(VLOOKUP(TRIM('📥 Respostas'!AA32),'⚙️ Config'!$A$4:$B$13,2,0),"")</f>
        <v/>
      </c>
      <c r="Y32" s="14" t="str">
        <f aca="false">IFERROR(VLOOKUP(TRIM('📥 Respostas'!AB32),'⚙️ Config'!$A$4:$B$13,2,0),"")</f>
        <v/>
      </c>
      <c r="Z32" s="14" t="str">
        <f aca="false">IFERROR(VLOOKUP(TRIM('📥 Respostas'!AC32),'⚙️ Config'!$A$4:$B$13,2,0),"")</f>
        <v/>
      </c>
      <c r="AA32" s="14" t="str">
        <f aca="false">IFERROR(VLOOKUP(TRIM('📥 Respostas'!AD32),'⚙️ Config'!$A$4:$B$13,2,0),"")</f>
        <v/>
      </c>
      <c r="AB32" s="14" t="str">
        <f aca="false">IFERROR(VLOOKUP(TRIM('📥 Respostas'!AE32),'⚙️ Config'!$A$4:$B$13,2,0),"")</f>
        <v/>
      </c>
      <c r="AC32" s="14" t="str">
        <f aca="false">IFERROR(VLOOKUP(TRIM('📥 Respostas'!AF32),'⚙️ Config'!$A$4:$B$13,2,0),"")</f>
        <v/>
      </c>
      <c r="AD32" s="14" t="str">
        <f aca="false">IFERROR(VLOOKUP(TRIM('📥 Respostas'!AG32),'⚙️ Config'!$A$4:$B$13,2,0),"")</f>
        <v/>
      </c>
      <c r="AE32" s="14" t="str">
        <f aca="false">IFERROR(VLOOKUP(TRIM('📥 Respostas'!AH32),'⚙️ Config'!$A$4:$B$13,2,0),"")</f>
        <v/>
      </c>
      <c r="AF32" s="14" t="str">
        <f aca="false">IFERROR(VLOOKUP(TRIM('📥 Respostas'!AI32),'⚙️ Config'!$C$4:$D$11,2,0),"")</f>
        <v/>
      </c>
      <c r="AG32" s="14" t="str">
        <f aca="false">IFERROR(VLOOKUP(TRIM('📥 Respostas'!AJ32),'⚙️ Config'!$A$4:$B$13,2,0),"")</f>
        <v/>
      </c>
      <c r="AH32" s="14" t="str">
        <f aca="false">IFERROR(VLOOKUP(TRIM('📥 Respostas'!AK32),'⚙️ Config'!$A$4:$B$13,2,0),"")</f>
        <v/>
      </c>
      <c r="AI32" s="14" t="str">
        <f aca="false">IFERROR(VLOOKUP(TRIM('📥 Respostas'!AL32),'⚙️ Config'!$A$4:$B$13,2,0),"")</f>
        <v/>
      </c>
      <c r="AJ32" s="14" t="str">
        <f aca="false">IFERROR(VLOOKUP(TRIM('📥 Respostas'!AM32),'⚙️ Config'!$A$4:$B$13,2,0),"")</f>
        <v/>
      </c>
      <c r="AK32" s="14" t="str">
        <f aca="false">IFERROR(VLOOKUP(TRIM('📥 Respostas'!AN32),'⚙️ Config'!$A$4:$B$13,2,0),"")</f>
        <v/>
      </c>
      <c r="AL32" s="14" t="str">
        <f aca="false">IFERROR(VLOOKUP(TRIM('📥 Respostas'!AO32),'⚙️ Config'!$A$4:$B$13,2,0),"")</f>
        <v/>
      </c>
      <c r="AM32" s="14" t="str">
        <f aca="false">IFERROR(VLOOKUP(TRIM('📥 Respostas'!AP32),'⚙️ Config'!$A$4:$B$13,2,0),"")</f>
        <v/>
      </c>
      <c r="AN32" s="14" t="str">
        <f aca="false">IFERROR(VLOOKUP(TRIM('📥 Respostas'!AQ32),'⚙️ Config'!$A$4:$B$13,2,0),"")</f>
        <v/>
      </c>
      <c r="AO32" s="14" t="str">
        <f aca="false">IFERROR(VLOOKUP(TRIM('📥 Respostas'!AR32),'⚙️ Config'!$A$4:$B$13,2,0),"")</f>
        <v/>
      </c>
      <c r="AP32" s="14" t="str">
        <f aca="false">IFERROR(VLOOKUP(TRIM('📥 Respostas'!AS32),'⚙️ Config'!$A$4:$B$13,2,0),"")</f>
        <v/>
      </c>
      <c r="AQ32" s="14" t="str">
        <f aca="false">IFERROR(VLOOKUP(TRIM('📥 Respostas'!AT32),'⚙️ Config'!$A$4:$B$13,2,0),"")</f>
        <v/>
      </c>
      <c r="AR32" s="14" t="str">
        <f aca="false">IFERROR(VLOOKUP(TRIM('📥 Respostas'!AU32),'⚙️ Config'!$A$4:$B$13,2,0),"")</f>
        <v/>
      </c>
    </row>
    <row r="33" customFormat="false" ht="15" hidden="false" customHeight="false" outlineLevel="0" collapsed="false">
      <c r="A33" s="15" t="str">
        <f aca="false">IF(ISBLANK('📥 Respostas'!D33),"",ROW()-3)</f>
        <v/>
      </c>
      <c r="B33" s="15" t="n">
        <f aca="false">'📥 Respostas'!D33</f>
        <v>0</v>
      </c>
      <c r="C33" s="5" t="n">
        <f aca="false">'📥 Respostas'!C33</f>
        <v>0</v>
      </c>
      <c r="D33" s="14" t="str">
        <f aca="false">IFERROR(VLOOKUP(TRIM('📥 Respostas'!G33),'⚙️ Config'!$A$4:$B$13,2,0),"")</f>
        <v/>
      </c>
      <c r="E33" s="14" t="str">
        <f aca="false">IFERROR(VLOOKUP(TRIM('📥 Respostas'!H33),'⚙️ Config'!$A$4:$B$13,2,0),"")</f>
        <v/>
      </c>
      <c r="F33" s="14" t="str">
        <f aca="false">IFERROR(VLOOKUP(TRIM('📥 Respostas'!I33),'⚙️ Config'!$A$4:$B$13,2,0),"")</f>
        <v/>
      </c>
      <c r="G33" s="14" t="str">
        <f aca="false">IFERROR(VLOOKUP(TRIM('📥 Respostas'!J33),'⚙️ Config'!$A$4:$B$13,2,0),"")</f>
        <v/>
      </c>
      <c r="H33" s="14" t="str">
        <f aca="false">IFERROR(VLOOKUP(TRIM('📥 Respostas'!K33),'⚙️ Config'!$A$4:$B$13,2,0),"")</f>
        <v/>
      </c>
      <c r="I33" s="14" t="str">
        <f aca="false">IFERROR(VLOOKUP(TRIM('📥 Respostas'!L33),'⚙️ Config'!$A$4:$B$13,2,0),"")</f>
        <v/>
      </c>
      <c r="J33" s="14" t="str">
        <f aca="false">IFERROR(VLOOKUP(TRIM('📥 Respostas'!M33),'⚙️ Config'!$A$4:$B$13,2,0),"")</f>
        <v/>
      </c>
      <c r="K33" s="14" t="str">
        <f aca="false">IFERROR(VLOOKUP(TRIM('📥 Respostas'!N33),'⚙️ Config'!$A$4:$B$13,2,0),"")</f>
        <v/>
      </c>
      <c r="L33" s="14" t="str">
        <f aca="false">IFERROR(VLOOKUP(TRIM('📥 Respostas'!O33),'⚙️ Config'!$A$4:$B$13,2,0),"")</f>
        <v/>
      </c>
      <c r="M33" s="14" t="str">
        <f aca="false">IFERROR(VLOOKUP(TRIM('📥 Respostas'!P33),'⚙️ Config'!$A$4:$B$13,2,0),"")</f>
        <v/>
      </c>
      <c r="N33" s="14" t="str">
        <f aca="false">IFERROR(VLOOKUP(TRIM('📥 Respostas'!Q33),'⚙️ Config'!$A$4:$B$13,2,0),"")</f>
        <v/>
      </c>
      <c r="O33" s="14" t="str">
        <f aca="false">IFERROR(VLOOKUP(TRIM('📥 Respostas'!R33),'⚙️ Config'!$A$4:$B$13,2,0),"")</f>
        <v/>
      </c>
      <c r="P33" s="14" t="str">
        <f aca="false">IFERROR(VLOOKUP(TRIM('📥 Respostas'!S33),'⚙️ Config'!$A$4:$B$13,2,0),"")</f>
        <v/>
      </c>
      <c r="Q33" s="14" t="str">
        <f aca="false">IFERROR(VLOOKUP(TRIM('📥 Respostas'!T33),'⚙️ Config'!$A$4:$B$13,2,0),"")</f>
        <v/>
      </c>
      <c r="R33" s="14" t="str">
        <f aca="false">IFERROR(VLOOKUP(TRIM('📥 Respostas'!U33),'⚙️ Config'!$A$4:$B$13,2,0),"")</f>
        <v/>
      </c>
      <c r="S33" s="14" t="str">
        <f aca="false">IFERROR(VLOOKUP(TRIM('📥 Respostas'!V33),'⚙️ Config'!$A$4:$B$13,2,0),"")</f>
        <v/>
      </c>
      <c r="T33" s="14" t="str">
        <f aca="false">IFERROR(VLOOKUP(TRIM('📥 Respostas'!W33),'⚙️ Config'!$A$4:$B$13,2,0),"")</f>
        <v/>
      </c>
      <c r="U33" s="14" t="str">
        <f aca="false">IFERROR(VLOOKUP(TRIM('📥 Respostas'!X33),'⚙️ Config'!$A$4:$B$13,2,0),"")</f>
        <v/>
      </c>
      <c r="V33" s="14" t="str">
        <f aca="false">IFERROR(VLOOKUP(TRIM('📥 Respostas'!Y33),'⚙️ Config'!$A$4:$B$13,2,0),"")</f>
        <v/>
      </c>
      <c r="W33" s="14" t="str">
        <f aca="false">IFERROR(VLOOKUP(TRIM('📥 Respostas'!Z33),'⚙️ Config'!$A$4:$B$13,2,0),"")</f>
        <v/>
      </c>
      <c r="X33" s="14" t="str">
        <f aca="false">IFERROR(VLOOKUP(TRIM('📥 Respostas'!AA33),'⚙️ Config'!$A$4:$B$13,2,0),"")</f>
        <v/>
      </c>
      <c r="Y33" s="14" t="str">
        <f aca="false">IFERROR(VLOOKUP(TRIM('📥 Respostas'!AB33),'⚙️ Config'!$A$4:$B$13,2,0),"")</f>
        <v/>
      </c>
      <c r="Z33" s="14" t="str">
        <f aca="false">IFERROR(VLOOKUP(TRIM('📥 Respostas'!AC33),'⚙️ Config'!$A$4:$B$13,2,0),"")</f>
        <v/>
      </c>
      <c r="AA33" s="14" t="str">
        <f aca="false">IFERROR(VLOOKUP(TRIM('📥 Respostas'!AD33),'⚙️ Config'!$A$4:$B$13,2,0),"")</f>
        <v/>
      </c>
      <c r="AB33" s="14" t="str">
        <f aca="false">IFERROR(VLOOKUP(TRIM('📥 Respostas'!AE33),'⚙️ Config'!$A$4:$B$13,2,0),"")</f>
        <v/>
      </c>
      <c r="AC33" s="14" t="str">
        <f aca="false">IFERROR(VLOOKUP(TRIM('📥 Respostas'!AF33),'⚙️ Config'!$A$4:$B$13,2,0),"")</f>
        <v/>
      </c>
      <c r="AD33" s="14" t="str">
        <f aca="false">IFERROR(VLOOKUP(TRIM('📥 Respostas'!AG33),'⚙️ Config'!$A$4:$B$13,2,0),"")</f>
        <v/>
      </c>
      <c r="AE33" s="14" t="str">
        <f aca="false">IFERROR(VLOOKUP(TRIM('📥 Respostas'!AH33),'⚙️ Config'!$A$4:$B$13,2,0),"")</f>
        <v/>
      </c>
      <c r="AF33" s="14" t="str">
        <f aca="false">IFERROR(VLOOKUP(TRIM('📥 Respostas'!AI33),'⚙️ Config'!$C$4:$D$11,2,0),"")</f>
        <v/>
      </c>
      <c r="AG33" s="14" t="str">
        <f aca="false">IFERROR(VLOOKUP(TRIM('📥 Respostas'!AJ33),'⚙️ Config'!$A$4:$B$13,2,0),"")</f>
        <v/>
      </c>
      <c r="AH33" s="14" t="str">
        <f aca="false">IFERROR(VLOOKUP(TRIM('📥 Respostas'!AK33),'⚙️ Config'!$A$4:$B$13,2,0),"")</f>
        <v/>
      </c>
      <c r="AI33" s="14" t="str">
        <f aca="false">IFERROR(VLOOKUP(TRIM('📥 Respostas'!AL33),'⚙️ Config'!$A$4:$B$13,2,0),"")</f>
        <v/>
      </c>
      <c r="AJ33" s="14" t="str">
        <f aca="false">IFERROR(VLOOKUP(TRIM('📥 Respostas'!AM33),'⚙️ Config'!$A$4:$B$13,2,0),"")</f>
        <v/>
      </c>
      <c r="AK33" s="14" t="str">
        <f aca="false">IFERROR(VLOOKUP(TRIM('📥 Respostas'!AN33),'⚙️ Config'!$A$4:$B$13,2,0),"")</f>
        <v/>
      </c>
      <c r="AL33" s="14" t="str">
        <f aca="false">IFERROR(VLOOKUP(TRIM('📥 Respostas'!AO33),'⚙️ Config'!$A$4:$B$13,2,0),"")</f>
        <v/>
      </c>
      <c r="AM33" s="14" t="str">
        <f aca="false">IFERROR(VLOOKUP(TRIM('📥 Respostas'!AP33),'⚙️ Config'!$A$4:$B$13,2,0),"")</f>
        <v/>
      </c>
      <c r="AN33" s="14" t="str">
        <f aca="false">IFERROR(VLOOKUP(TRIM('📥 Respostas'!AQ33),'⚙️ Config'!$A$4:$B$13,2,0),"")</f>
        <v/>
      </c>
      <c r="AO33" s="14" t="str">
        <f aca="false">IFERROR(VLOOKUP(TRIM('📥 Respostas'!AR33),'⚙️ Config'!$A$4:$B$13,2,0),"")</f>
        <v/>
      </c>
      <c r="AP33" s="14" t="str">
        <f aca="false">IFERROR(VLOOKUP(TRIM('📥 Respostas'!AS33),'⚙️ Config'!$A$4:$B$13,2,0),"")</f>
        <v/>
      </c>
      <c r="AQ33" s="14" t="str">
        <f aca="false">IFERROR(VLOOKUP(TRIM('📥 Respostas'!AT33),'⚙️ Config'!$A$4:$B$13,2,0),"")</f>
        <v/>
      </c>
      <c r="AR33" s="14" t="str">
        <f aca="false">IFERROR(VLOOKUP(TRIM('📥 Respostas'!AU33),'⚙️ Config'!$A$4:$B$13,2,0),"")</f>
        <v/>
      </c>
    </row>
    <row r="34" customFormat="false" ht="15" hidden="false" customHeight="false" outlineLevel="0" collapsed="false">
      <c r="A34" s="12" t="str">
        <f aca="false">IF(ISBLANK('📥 Respostas'!D34),"",ROW()-3)</f>
        <v/>
      </c>
      <c r="B34" s="12" t="n">
        <f aca="false">'📥 Respostas'!D34</f>
        <v>0</v>
      </c>
      <c r="C34" s="13" t="n">
        <f aca="false">'📥 Respostas'!C34</f>
        <v>0</v>
      </c>
      <c r="D34" s="14" t="str">
        <f aca="false">IFERROR(VLOOKUP(TRIM('📥 Respostas'!G34),'⚙️ Config'!$A$4:$B$13,2,0),"")</f>
        <v/>
      </c>
      <c r="E34" s="14" t="str">
        <f aca="false">IFERROR(VLOOKUP(TRIM('📥 Respostas'!H34),'⚙️ Config'!$A$4:$B$13,2,0),"")</f>
        <v/>
      </c>
      <c r="F34" s="14" t="str">
        <f aca="false">IFERROR(VLOOKUP(TRIM('📥 Respostas'!I34),'⚙️ Config'!$A$4:$B$13,2,0),"")</f>
        <v/>
      </c>
      <c r="G34" s="14" t="str">
        <f aca="false">IFERROR(VLOOKUP(TRIM('📥 Respostas'!J34),'⚙️ Config'!$A$4:$B$13,2,0),"")</f>
        <v/>
      </c>
      <c r="H34" s="14" t="str">
        <f aca="false">IFERROR(VLOOKUP(TRIM('📥 Respostas'!K34),'⚙️ Config'!$A$4:$B$13,2,0),"")</f>
        <v/>
      </c>
      <c r="I34" s="14" t="str">
        <f aca="false">IFERROR(VLOOKUP(TRIM('📥 Respostas'!L34),'⚙️ Config'!$A$4:$B$13,2,0),"")</f>
        <v/>
      </c>
      <c r="J34" s="14" t="str">
        <f aca="false">IFERROR(VLOOKUP(TRIM('📥 Respostas'!M34),'⚙️ Config'!$A$4:$B$13,2,0),"")</f>
        <v/>
      </c>
      <c r="K34" s="14" t="str">
        <f aca="false">IFERROR(VLOOKUP(TRIM('📥 Respostas'!N34),'⚙️ Config'!$A$4:$B$13,2,0),"")</f>
        <v/>
      </c>
      <c r="L34" s="14" t="str">
        <f aca="false">IFERROR(VLOOKUP(TRIM('📥 Respostas'!O34),'⚙️ Config'!$A$4:$B$13,2,0),"")</f>
        <v/>
      </c>
      <c r="M34" s="14" t="str">
        <f aca="false">IFERROR(VLOOKUP(TRIM('📥 Respostas'!P34),'⚙️ Config'!$A$4:$B$13,2,0),"")</f>
        <v/>
      </c>
      <c r="N34" s="14" t="str">
        <f aca="false">IFERROR(VLOOKUP(TRIM('📥 Respostas'!Q34),'⚙️ Config'!$A$4:$B$13,2,0),"")</f>
        <v/>
      </c>
      <c r="O34" s="14" t="str">
        <f aca="false">IFERROR(VLOOKUP(TRIM('📥 Respostas'!R34),'⚙️ Config'!$A$4:$B$13,2,0),"")</f>
        <v/>
      </c>
      <c r="P34" s="14" t="str">
        <f aca="false">IFERROR(VLOOKUP(TRIM('📥 Respostas'!S34),'⚙️ Config'!$A$4:$B$13,2,0),"")</f>
        <v/>
      </c>
      <c r="Q34" s="14" t="str">
        <f aca="false">IFERROR(VLOOKUP(TRIM('📥 Respostas'!T34),'⚙️ Config'!$A$4:$B$13,2,0),"")</f>
        <v/>
      </c>
      <c r="R34" s="14" t="str">
        <f aca="false">IFERROR(VLOOKUP(TRIM('📥 Respostas'!U34),'⚙️ Config'!$A$4:$B$13,2,0),"")</f>
        <v/>
      </c>
      <c r="S34" s="14" t="str">
        <f aca="false">IFERROR(VLOOKUP(TRIM('📥 Respostas'!V34),'⚙️ Config'!$A$4:$B$13,2,0),"")</f>
        <v/>
      </c>
      <c r="T34" s="14" t="str">
        <f aca="false">IFERROR(VLOOKUP(TRIM('📥 Respostas'!W34),'⚙️ Config'!$A$4:$B$13,2,0),"")</f>
        <v/>
      </c>
      <c r="U34" s="14" t="str">
        <f aca="false">IFERROR(VLOOKUP(TRIM('📥 Respostas'!X34),'⚙️ Config'!$A$4:$B$13,2,0),"")</f>
        <v/>
      </c>
      <c r="V34" s="14" t="str">
        <f aca="false">IFERROR(VLOOKUP(TRIM('📥 Respostas'!Y34),'⚙️ Config'!$A$4:$B$13,2,0),"")</f>
        <v/>
      </c>
      <c r="W34" s="14" t="str">
        <f aca="false">IFERROR(VLOOKUP(TRIM('📥 Respostas'!Z34),'⚙️ Config'!$A$4:$B$13,2,0),"")</f>
        <v/>
      </c>
      <c r="X34" s="14" t="str">
        <f aca="false">IFERROR(VLOOKUP(TRIM('📥 Respostas'!AA34),'⚙️ Config'!$A$4:$B$13,2,0),"")</f>
        <v/>
      </c>
      <c r="Y34" s="14" t="str">
        <f aca="false">IFERROR(VLOOKUP(TRIM('📥 Respostas'!AB34),'⚙️ Config'!$A$4:$B$13,2,0),"")</f>
        <v/>
      </c>
      <c r="Z34" s="14" t="str">
        <f aca="false">IFERROR(VLOOKUP(TRIM('📥 Respostas'!AC34),'⚙️ Config'!$A$4:$B$13,2,0),"")</f>
        <v/>
      </c>
      <c r="AA34" s="14" t="str">
        <f aca="false">IFERROR(VLOOKUP(TRIM('📥 Respostas'!AD34),'⚙️ Config'!$A$4:$B$13,2,0),"")</f>
        <v/>
      </c>
      <c r="AB34" s="14" t="str">
        <f aca="false">IFERROR(VLOOKUP(TRIM('📥 Respostas'!AE34),'⚙️ Config'!$A$4:$B$13,2,0),"")</f>
        <v/>
      </c>
      <c r="AC34" s="14" t="str">
        <f aca="false">IFERROR(VLOOKUP(TRIM('📥 Respostas'!AF34),'⚙️ Config'!$A$4:$B$13,2,0),"")</f>
        <v/>
      </c>
      <c r="AD34" s="14" t="str">
        <f aca="false">IFERROR(VLOOKUP(TRIM('📥 Respostas'!AG34),'⚙️ Config'!$A$4:$B$13,2,0),"")</f>
        <v/>
      </c>
      <c r="AE34" s="14" t="str">
        <f aca="false">IFERROR(VLOOKUP(TRIM('📥 Respostas'!AH34),'⚙️ Config'!$A$4:$B$13,2,0),"")</f>
        <v/>
      </c>
      <c r="AF34" s="14" t="str">
        <f aca="false">IFERROR(VLOOKUP(TRIM('📥 Respostas'!AI34),'⚙️ Config'!$C$4:$D$11,2,0),"")</f>
        <v/>
      </c>
      <c r="AG34" s="14" t="str">
        <f aca="false">IFERROR(VLOOKUP(TRIM('📥 Respostas'!AJ34),'⚙️ Config'!$A$4:$B$13,2,0),"")</f>
        <v/>
      </c>
      <c r="AH34" s="14" t="str">
        <f aca="false">IFERROR(VLOOKUP(TRIM('📥 Respostas'!AK34),'⚙️ Config'!$A$4:$B$13,2,0),"")</f>
        <v/>
      </c>
      <c r="AI34" s="14" t="str">
        <f aca="false">IFERROR(VLOOKUP(TRIM('📥 Respostas'!AL34),'⚙️ Config'!$A$4:$B$13,2,0),"")</f>
        <v/>
      </c>
      <c r="AJ34" s="14" t="str">
        <f aca="false">IFERROR(VLOOKUP(TRIM('📥 Respostas'!AM34),'⚙️ Config'!$A$4:$B$13,2,0),"")</f>
        <v/>
      </c>
      <c r="AK34" s="14" t="str">
        <f aca="false">IFERROR(VLOOKUP(TRIM('📥 Respostas'!AN34),'⚙️ Config'!$A$4:$B$13,2,0),"")</f>
        <v/>
      </c>
      <c r="AL34" s="14" t="str">
        <f aca="false">IFERROR(VLOOKUP(TRIM('📥 Respostas'!AO34),'⚙️ Config'!$A$4:$B$13,2,0),"")</f>
        <v/>
      </c>
      <c r="AM34" s="14" t="str">
        <f aca="false">IFERROR(VLOOKUP(TRIM('📥 Respostas'!AP34),'⚙️ Config'!$A$4:$B$13,2,0),"")</f>
        <v/>
      </c>
      <c r="AN34" s="14" t="str">
        <f aca="false">IFERROR(VLOOKUP(TRIM('📥 Respostas'!AQ34),'⚙️ Config'!$A$4:$B$13,2,0),"")</f>
        <v/>
      </c>
      <c r="AO34" s="14" t="str">
        <f aca="false">IFERROR(VLOOKUP(TRIM('📥 Respostas'!AR34),'⚙️ Config'!$A$4:$B$13,2,0),"")</f>
        <v/>
      </c>
      <c r="AP34" s="14" t="str">
        <f aca="false">IFERROR(VLOOKUP(TRIM('📥 Respostas'!AS34),'⚙️ Config'!$A$4:$B$13,2,0),"")</f>
        <v/>
      </c>
      <c r="AQ34" s="14" t="str">
        <f aca="false">IFERROR(VLOOKUP(TRIM('📥 Respostas'!AT34),'⚙️ Config'!$A$4:$B$13,2,0),"")</f>
        <v/>
      </c>
      <c r="AR34" s="14" t="str">
        <f aca="false">IFERROR(VLOOKUP(TRIM('📥 Respostas'!AU34),'⚙️ Config'!$A$4:$B$13,2,0),"")</f>
        <v/>
      </c>
    </row>
    <row r="35" customFormat="false" ht="15" hidden="false" customHeight="false" outlineLevel="0" collapsed="false">
      <c r="A35" s="15" t="str">
        <f aca="false">IF(ISBLANK('📥 Respostas'!D35),"",ROW()-3)</f>
        <v/>
      </c>
      <c r="B35" s="15" t="n">
        <f aca="false">'📥 Respostas'!D35</f>
        <v>0</v>
      </c>
      <c r="C35" s="5" t="n">
        <f aca="false">'📥 Respostas'!C35</f>
        <v>0</v>
      </c>
      <c r="D35" s="14" t="str">
        <f aca="false">IFERROR(VLOOKUP(TRIM('📥 Respostas'!G35),'⚙️ Config'!$A$4:$B$13,2,0),"")</f>
        <v/>
      </c>
      <c r="E35" s="14" t="str">
        <f aca="false">IFERROR(VLOOKUP(TRIM('📥 Respostas'!H35),'⚙️ Config'!$A$4:$B$13,2,0),"")</f>
        <v/>
      </c>
      <c r="F35" s="14" t="str">
        <f aca="false">IFERROR(VLOOKUP(TRIM('📥 Respostas'!I35),'⚙️ Config'!$A$4:$B$13,2,0),"")</f>
        <v/>
      </c>
      <c r="G35" s="14" t="str">
        <f aca="false">IFERROR(VLOOKUP(TRIM('📥 Respostas'!J35),'⚙️ Config'!$A$4:$B$13,2,0),"")</f>
        <v/>
      </c>
      <c r="H35" s="14" t="str">
        <f aca="false">IFERROR(VLOOKUP(TRIM('📥 Respostas'!K35),'⚙️ Config'!$A$4:$B$13,2,0),"")</f>
        <v/>
      </c>
      <c r="I35" s="14" t="str">
        <f aca="false">IFERROR(VLOOKUP(TRIM('📥 Respostas'!L35),'⚙️ Config'!$A$4:$B$13,2,0),"")</f>
        <v/>
      </c>
      <c r="J35" s="14" t="str">
        <f aca="false">IFERROR(VLOOKUP(TRIM('📥 Respostas'!M35),'⚙️ Config'!$A$4:$B$13,2,0),"")</f>
        <v/>
      </c>
      <c r="K35" s="14" t="str">
        <f aca="false">IFERROR(VLOOKUP(TRIM('📥 Respostas'!N35),'⚙️ Config'!$A$4:$B$13,2,0),"")</f>
        <v/>
      </c>
      <c r="L35" s="14" t="str">
        <f aca="false">IFERROR(VLOOKUP(TRIM('📥 Respostas'!O35),'⚙️ Config'!$A$4:$B$13,2,0),"")</f>
        <v/>
      </c>
      <c r="M35" s="14" t="str">
        <f aca="false">IFERROR(VLOOKUP(TRIM('📥 Respostas'!P35),'⚙️ Config'!$A$4:$B$13,2,0),"")</f>
        <v/>
      </c>
      <c r="N35" s="14" t="str">
        <f aca="false">IFERROR(VLOOKUP(TRIM('📥 Respostas'!Q35),'⚙️ Config'!$A$4:$B$13,2,0),"")</f>
        <v/>
      </c>
      <c r="O35" s="14" t="str">
        <f aca="false">IFERROR(VLOOKUP(TRIM('📥 Respostas'!R35),'⚙️ Config'!$A$4:$B$13,2,0),"")</f>
        <v/>
      </c>
      <c r="P35" s="14" t="str">
        <f aca="false">IFERROR(VLOOKUP(TRIM('📥 Respostas'!S35),'⚙️ Config'!$A$4:$B$13,2,0),"")</f>
        <v/>
      </c>
      <c r="Q35" s="14" t="str">
        <f aca="false">IFERROR(VLOOKUP(TRIM('📥 Respostas'!T35),'⚙️ Config'!$A$4:$B$13,2,0),"")</f>
        <v/>
      </c>
      <c r="R35" s="14" t="str">
        <f aca="false">IFERROR(VLOOKUP(TRIM('📥 Respostas'!U35),'⚙️ Config'!$A$4:$B$13,2,0),"")</f>
        <v/>
      </c>
      <c r="S35" s="14" t="str">
        <f aca="false">IFERROR(VLOOKUP(TRIM('📥 Respostas'!V35),'⚙️ Config'!$A$4:$B$13,2,0),"")</f>
        <v/>
      </c>
      <c r="T35" s="14" t="str">
        <f aca="false">IFERROR(VLOOKUP(TRIM('📥 Respostas'!W35),'⚙️ Config'!$A$4:$B$13,2,0),"")</f>
        <v/>
      </c>
      <c r="U35" s="14" t="str">
        <f aca="false">IFERROR(VLOOKUP(TRIM('📥 Respostas'!X35),'⚙️ Config'!$A$4:$B$13,2,0),"")</f>
        <v/>
      </c>
      <c r="V35" s="14" t="str">
        <f aca="false">IFERROR(VLOOKUP(TRIM('📥 Respostas'!Y35),'⚙️ Config'!$A$4:$B$13,2,0),"")</f>
        <v/>
      </c>
      <c r="W35" s="14" t="str">
        <f aca="false">IFERROR(VLOOKUP(TRIM('📥 Respostas'!Z35),'⚙️ Config'!$A$4:$B$13,2,0),"")</f>
        <v/>
      </c>
      <c r="X35" s="14" t="str">
        <f aca="false">IFERROR(VLOOKUP(TRIM('📥 Respostas'!AA35),'⚙️ Config'!$A$4:$B$13,2,0),"")</f>
        <v/>
      </c>
      <c r="Y35" s="14" t="str">
        <f aca="false">IFERROR(VLOOKUP(TRIM('📥 Respostas'!AB35),'⚙️ Config'!$A$4:$B$13,2,0),"")</f>
        <v/>
      </c>
      <c r="Z35" s="14" t="str">
        <f aca="false">IFERROR(VLOOKUP(TRIM('📥 Respostas'!AC35),'⚙️ Config'!$A$4:$B$13,2,0),"")</f>
        <v/>
      </c>
      <c r="AA35" s="14" t="str">
        <f aca="false">IFERROR(VLOOKUP(TRIM('📥 Respostas'!AD35),'⚙️ Config'!$A$4:$B$13,2,0),"")</f>
        <v/>
      </c>
      <c r="AB35" s="14" t="str">
        <f aca="false">IFERROR(VLOOKUP(TRIM('📥 Respostas'!AE35),'⚙️ Config'!$A$4:$B$13,2,0),"")</f>
        <v/>
      </c>
      <c r="AC35" s="14" t="str">
        <f aca="false">IFERROR(VLOOKUP(TRIM('📥 Respostas'!AF35),'⚙️ Config'!$A$4:$B$13,2,0),"")</f>
        <v/>
      </c>
      <c r="AD35" s="14" t="str">
        <f aca="false">IFERROR(VLOOKUP(TRIM('📥 Respostas'!AG35),'⚙️ Config'!$A$4:$B$13,2,0),"")</f>
        <v/>
      </c>
      <c r="AE35" s="14" t="str">
        <f aca="false">IFERROR(VLOOKUP(TRIM('📥 Respostas'!AH35),'⚙️ Config'!$A$4:$B$13,2,0),"")</f>
        <v/>
      </c>
      <c r="AF35" s="14" t="str">
        <f aca="false">IFERROR(VLOOKUP(TRIM('📥 Respostas'!AI35),'⚙️ Config'!$C$4:$D$11,2,0),"")</f>
        <v/>
      </c>
      <c r="AG35" s="14" t="str">
        <f aca="false">IFERROR(VLOOKUP(TRIM('📥 Respostas'!AJ35),'⚙️ Config'!$A$4:$B$13,2,0),"")</f>
        <v/>
      </c>
      <c r="AH35" s="14" t="str">
        <f aca="false">IFERROR(VLOOKUP(TRIM('📥 Respostas'!AK35),'⚙️ Config'!$A$4:$B$13,2,0),"")</f>
        <v/>
      </c>
      <c r="AI35" s="14" t="str">
        <f aca="false">IFERROR(VLOOKUP(TRIM('📥 Respostas'!AL35),'⚙️ Config'!$A$4:$B$13,2,0),"")</f>
        <v/>
      </c>
      <c r="AJ35" s="14" t="str">
        <f aca="false">IFERROR(VLOOKUP(TRIM('📥 Respostas'!AM35),'⚙️ Config'!$A$4:$B$13,2,0),"")</f>
        <v/>
      </c>
      <c r="AK35" s="14" t="str">
        <f aca="false">IFERROR(VLOOKUP(TRIM('📥 Respostas'!AN35),'⚙️ Config'!$A$4:$B$13,2,0),"")</f>
        <v/>
      </c>
      <c r="AL35" s="14" t="str">
        <f aca="false">IFERROR(VLOOKUP(TRIM('📥 Respostas'!AO35),'⚙️ Config'!$A$4:$B$13,2,0),"")</f>
        <v/>
      </c>
      <c r="AM35" s="14" t="str">
        <f aca="false">IFERROR(VLOOKUP(TRIM('📥 Respostas'!AP35),'⚙️ Config'!$A$4:$B$13,2,0),"")</f>
        <v/>
      </c>
      <c r="AN35" s="14" t="str">
        <f aca="false">IFERROR(VLOOKUP(TRIM('📥 Respostas'!AQ35),'⚙️ Config'!$A$4:$B$13,2,0),"")</f>
        <v/>
      </c>
      <c r="AO35" s="14" t="str">
        <f aca="false">IFERROR(VLOOKUP(TRIM('📥 Respostas'!AR35),'⚙️ Config'!$A$4:$B$13,2,0),"")</f>
        <v/>
      </c>
      <c r="AP35" s="14" t="str">
        <f aca="false">IFERROR(VLOOKUP(TRIM('📥 Respostas'!AS35),'⚙️ Config'!$A$4:$B$13,2,0),"")</f>
        <v/>
      </c>
      <c r="AQ35" s="14" t="str">
        <f aca="false">IFERROR(VLOOKUP(TRIM('📥 Respostas'!AT35),'⚙️ Config'!$A$4:$B$13,2,0),"")</f>
        <v/>
      </c>
      <c r="AR35" s="14" t="str">
        <f aca="false">IFERROR(VLOOKUP(TRIM('📥 Respostas'!AU35),'⚙️ Config'!$A$4:$B$13,2,0),"")</f>
        <v/>
      </c>
    </row>
    <row r="36" customFormat="false" ht="15" hidden="false" customHeight="false" outlineLevel="0" collapsed="false">
      <c r="A36" s="12" t="str">
        <f aca="false">IF(ISBLANK('📥 Respostas'!D36),"",ROW()-3)</f>
        <v/>
      </c>
      <c r="B36" s="12" t="n">
        <f aca="false">'📥 Respostas'!D36</f>
        <v>0</v>
      </c>
      <c r="C36" s="13" t="n">
        <f aca="false">'📥 Respostas'!C36</f>
        <v>0</v>
      </c>
      <c r="D36" s="14" t="str">
        <f aca="false">IFERROR(VLOOKUP(TRIM('📥 Respostas'!G36),'⚙️ Config'!$A$4:$B$13,2,0),"")</f>
        <v/>
      </c>
      <c r="E36" s="14" t="str">
        <f aca="false">IFERROR(VLOOKUP(TRIM('📥 Respostas'!H36),'⚙️ Config'!$A$4:$B$13,2,0),"")</f>
        <v/>
      </c>
      <c r="F36" s="14" t="str">
        <f aca="false">IFERROR(VLOOKUP(TRIM('📥 Respostas'!I36),'⚙️ Config'!$A$4:$B$13,2,0),"")</f>
        <v/>
      </c>
      <c r="G36" s="14" t="str">
        <f aca="false">IFERROR(VLOOKUP(TRIM('📥 Respostas'!J36),'⚙️ Config'!$A$4:$B$13,2,0),"")</f>
        <v/>
      </c>
      <c r="H36" s="14" t="str">
        <f aca="false">IFERROR(VLOOKUP(TRIM('📥 Respostas'!K36),'⚙️ Config'!$A$4:$B$13,2,0),"")</f>
        <v/>
      </c>
      <c r="I36" s="14" t="str">
        <f aca="false">IFERROR(VLOOKUP(TRIM('📥 Respostas'!L36),'⚙️ Config'!$A$4:$B$13,2,0),"")</f>
        <v/>
      </c>
      <c r="J36" s="14" t="str">
        <f aca="false">IFERROR(VLOOKUP(TRIM('📥 Respostas'!M36),'⚙️ Config'!$A$4:$B$13,2,0),"")</f>
        <v/>
      </c>
      <c r="K36" s="14" t="str">
        <f aca="false">IFERROR(VLOOKUP(TRIM('📥 Respostas'!N36),'⚙️ Config'!$A$4:$B$13,2,0),"")</f>
        <v/>
      </c>
      <c r="L36" s="14" t="str">
        <f aca="false">IFERROR(VLOOKUP(TRIM('📥 Respostas'!O36),'⚙️ Config'!$A$4:$B$13,2,0),"")</f>
        <v/>
      </c>
      <c r="M36" s="14" t="str">
        <f aca="false">IFERROR(VLOOKUP(TRIM('📥 Respostas'!P36),'⚙️ Config'!$A$4:$B$13,2,0),"")</f>
        <v/>
      </c>
      <c r="N36" s="14" t="str">
        <f aca="false">IFERROR(VLOOKUP(TRIM('📥 Respostas'!Q36),'⚙️ Config'!$A$4:$B$13,2,0),"")</f>
        <v/>
      </c>
      <c r="O36" s="14" t="str">
        <f aca="false">IFERROR(VLOOKUP(TRIM('📥 Respostas'!R36),'⚙️ Config'!$A$4:$B$13,2,0),"")</f>
        <v/>
      </c>
      <c r="P36" s="14" t="str">
        <f aca="false">IFERROR(VLOOKUP(TRIM('📥 Respostas'!S36),'⚙️ Config'!$A$4:$B$13,2,0),"")</f>
        <v/>
      </c>
      <c r="Q36" s="14" t="str">
        <f aca="false">IFERROR(VLOOKUP(TRIM('📥 Respostas'!T36),'⚙️ Config'!$A$4:$B$13,2,0),"")</f>
        <v/>
      </c>
      <c r="R36" s="14" t="str">
        <f aca="false">IFERROR(VLOOKUP(TRIM('📥 Respostas'!U36),'⚙️ Config'!$A$4:$B$13,2,0),"")</f>
        <v/>
      </c>
      <c r="S36" s="14" t="str">
        <f aca="false">IFERROR(VLOOKUP(TRIM('📥 Respostas'!V36),'⚙️ Config'!$A$4:$B$13,2,0),"")</f>
        <v/>
      </c>
      <c r="T36" s="14" t="str">
        <f aca="false">IFERROR(VLOOKUP(TRIM('📥 Respostas'!W36),'⚙️ Config'!$A$4:$B$13,2,0),"")</f>
        <v/>
      </c>
      <c r="U36" s="14" t="str">
        <f aca="false">IFERROR(VLOOKUP(TRIM('📥 Respostas'!X36),'⚙️ Config'!$A$4:$B$13,2,0),"")</f>
        <v/>
      </c>
      <c r="V36" s="14" t="str">
        <f aca="false">IFERROR(VLOOKUP(TRIM('📥 Respostas'!Y36),'⚙️ Config'!$A$4:$B$13,2,0),"")</f>
        <v/>
      </c>
      <c r="W36" s="14" t="str">
        <f aca="false">IFERROR(VLOOKUP(TRIM('📥 Respostas'!Z36),'⚙️ Config'!$A$4:$B$13,2,0),"")</f>
        <v/>
      </c>
      <c r="X36" s="14" t="str">
        <f aca="false">IFERROR(VLOOKUP(TRIM('📥 Respostas'!AA36),'⚙️ Config'!$A$4:$B$13,2,0),"")</f>
        <v/>
      </c>
      <c r="Y36" s="14" t="str">
        <f aca="false">IFERROR(VLOOKUP(TRIM('📥 Respostas'!AB36),'⚙️ Config'!$A$4:$B$13,2,0),"")</f>
        <v/>
      </c>
      <c r="Z36" s="14" t="str">
        <f aca="false">IFERROR(VLOOKUP(TRIM('📥 Respostas'!AC36),'⚙️ Config'!$A$4:$B$13,2,0),"")</f>
        <v/>
      </c>
      <c r="AA36" s="14" t="str">
        <f aca="false">IFERROR(VLOOKUP(TRIM('📥 Respostas'!AD36),'⚙️ Config'!$A$4:$B$13,2,0),"")</f>
        <v/>
      </c>
      <c r="AB36" s="14" t="str">
        <f aca="false">IFERROR(VLOOKUP(TRIM('📥 Respostas'!AE36),'⚙️ Config'!$A$4:$B$13,2,0),"")</f>
        <v/>
      </c>
      <c r="AC36" s="14" t="str">
        <f aca="false">IFERROR(VLOOKUP(TRIM('📥 Respostas'!AF36),'⚙️ Config'!$A$4:$B$13,2,0),"")</f>
        <v/>
      </c>
      <c r="AD36" s="14" t="str">
        <f aca="false">IFERROR(VLOOKUP(TRIM('📥 Respostas'!AG36),'⚙️ Config'!$A$4:$B$13,2,0),"")</f>
        <v/>
      </c>
      <c r="AE36" s="14" t="str">
        <f aca="false">IFERROR(VLOOKUP(TRIM('📥 Respostas'!AH36),'⚙️ Config'!$A$4:$B$13,2,0),"")</f>
        <v/>
      </c>
      <c r="AF36" s="14" t="str">
        <f aca="false">IFERROR(VLOOKUP(TRIM('📥 Respostas'!AI36),'⚙️ Config'!$C$4:$D$11,2,0),"")</f>
        <v/>
      </c>
      <c r="AG36" s="14" t="str">
        <f aca="false">IFERROR(VLOOKUP(TRIM('📥 Respostas'!AJ36),'⚙️ Config'!$A$4:$B$13,2,0),"")</f>
        <v/>
      </c>
      <c r="AH36" s="14" t="str">
        <f aca="false">IFERROR(VLOOKUP(TRIM('📥 Respostas'!AK36),'⚙️ Config'!$A$4:$B$13,2,0),"")</f>
        <v/>
      </c>
      <c r="AI36" s="14" t="str">
        <f aca="false">IFERROR(VLOOKUP(TRIM('📥 Respostas'!AL36),'⚙️ Config'!$A$4:$B$13,2,0),"")</f>
        <v/>
      </c>
      <c r="AJ36" s="14" t="str">
        <f aca="false">IFERROR(VLOOKUP(TRIM('📥 Respostas'!AM36),'⚙️ Config'!$A$4:$B$13,2,0),"")</f>
        <v/>
      </c>
      <c r="AK36" s="14" t="str">
        <f aca="false">IFERROR(VLOOKUP(TRIM('📥 Respostas'!AN36),'⚙️ Config'!$A$4:$B$13,2,0),"")</f>
        <v/>
      </c>
      <c r="AL36" s="14" t="str">
        <f aca="false">IFERROR(VLOOKUP(TRIM('📥 Respostas'!AO36),'⚙️ Config'!$A$4:$B$13,2,0),"")</f>
        <v/>
      </c>
      <c r="AM36" s="14" t="str">
        <f aca="false">IFERROR(VLOOKUP(TRIM('📥 Respostas'!AP36),'⚙️ Config'!$A$4:$B$13,2,0),"")</f>
        <v/>
      </c>
      <c r="AN36" s="14" t="str">
        <f aca="false">IFERROR(VLOOKUP(TRIM('📥 Respostas'!AQ36),'⚙️ Config'!$A$4:$B$13,2,0),"")</f>
        <v/>
      </c>
      <c r="AO36" s="14" t="str">
        <f aca="false">IFERROR(VLOOKUP(TRIM('📥 Respostas'!AR36),'⚙️ Config'!$A$4:$B$13,2,0),"")</f>
        <v/>
      </c>
      <c r="AP36" s="14" t="str">
        <f aca="false">IFERROR(VLOOKUP(TRIM('📥 Respostas'!AS36),'⚙️ Config'!$A$4:$B$13,2,0),"")</f>
        <v/>
      </c>
      <c r="AQ36" s="14" t="str">
        <f aca="false">IFERROR(VLOOKUP(TRIM('📥 Respostas'!AT36),'⚙️ Config'!$A$4:$B$13,2,0),"")</f>
        <v/>
      </c>
      <c r="AR36" s="14" t="str">
        <f aca="false">IFERROR(VLOOKUP(TRIM('📥 Respostas'!AU36),'⚙️ Config'!$A$4:$B$13,2,0),"")</f>
        <v/>
      </c>
    </row>
    <row r="37" customFormat="false" ht="15" hidden="false" customHeight="false" outlineLevel="0" collapsed="false">
      <c r="A37" s="15" t="str">
        <f aca="false">IF(ISBLANK('📥 Respostas'!D37),"",ROW()-3)</f>
        <v/>
      </c>
      <c r="B37" s="15" t="n">
        <f aca="false">'📥 Respostas'!D37</f>
        <v>0</v>
      </c>
      <c r="C37" s="5" t="n">
        <f aca="false">'📥 Respostas'!C37</f>
        <v>0</v>
      </c>
      <c r="D37" s="14" t="str">
        <f aca="false">IFERROR(VLOOKUP(TRIM('📥 Respostas'!G37),'⚙️ Config'!$A$4:$B$13,2,0),"")</f>
        <v/>
      </c>
      <c r="E37" s="14" t="str">
        <f aca="false">IFERROR(VLOOKUP(TRIM('📥 Respostas'!H37),'⚙️ Config'!$A$4:$B$13,2,0),"")</f>
        <v/>
      </c>
      <c r="F37" s="14" t="str">
        <f aca="false">IFERROR(VLOOKUP(TRIM('📥 Respostas'!I37),'⚙️ Config'!$A$4:$B$13,2,0),"")</f>
        <v/>
      </c>
      <c r="G37" s="14" t="str">
        <f aca="false">IFERROR(VLOOKUP(TRIM('📥 Respostas'!J37),'⚙️ Config'!$A$4:$B$13,2,0),"")</f>
        <v/>
      </c>
      <c r="H37" s="14" t="str">
        <f aca="false">IFERROR(VLOOKUP(TRIM('📥 Respostas'!K37),'⚙️ Config'!$A$4:$B$13,2,0),"")</f>
        <v/>
      </c>
      <c r="I37" s="14" t="str">
        <f aca="false">IFERROR(VLOOKUP(TRIM('📥 Respostas'!L37),'⚙️ Config'!$A$4:$B$13,2,0),"")</f>
        <v/>
      </c>
      <c r="J37" s="14" t="str">
        <f aca="false">IFERROR(VLOOKUP(TRIM('📥 Respostas'!M37),'⚙️ Config'!$A$4:$B$13,2,0),"")</f>
        <v/>
      </c>
      <c r="K37" s="14" t="str">
        <f aca="false">IFERROR(VLOOKUP(TRIM('📥 Respostas'!N37),'⚙️ Config'!$A$4:$B$13,2,0),"")</f>
        <v/>
      </c>
      <c r="L37" s="14" t="str">
        <f aca="false">IFERROR(VLOOKUP(TRIM('📥 Respostas'!O37),'⚙️ Config'!$A$4:$B$13,2,0),"")</f>
        <v/>
      </c>
      <c r="M37" s="14" t="str">
        <f aca="false">IFERROR(VLOOKUP(TRIM('📥 Respostas'!P37),'⚙️ Config'!$A$4:$B$13,2,0),"")</f>
        <v/>
      </c>
      <c r="N37" s="14" t="str">
        <f aca="false">IFERROR(VLOOKUP(TRIM('📥 Respostas'!Q37),'⚙️ Config'!$A$4:$B$13,2,0),"")</f>
        <v/>
      </c>
      <c r="O37" s="14" t="str">
        <f aca="false">IFERROR(VLOOKUP(TRIM('📥 Respostas'!R37),'⚙️ Config'!$A$4:$B$13,2,0),"")</f>
        <v/>
      </c>
      <c r="P37" s="14" t="str">
        <f aca="false">IFERROR(VLOOKUP(TRIM('📥 Respostas'!S37),'⚙️ Config'!$A$4:$B$13,2,0),"")</f>
        <v/>
      </c>
      <c r="Q37" s="14" t="str">
        <f aca="false">IFERROR(VLOOKUP(TRIM('📥 Respostas'!T37),'⚙️ Config'!$A$4:$B$13,2,0),"")</f>
        <v/>
      </c>
      <c r="R37" s="14" t="str">
        <f aca="false">IFERROR(VLOOKUP(TRIM('📥 Respostas'!U37),'⚙️ Config'!$A$4:$B$13,2,0),"")</f>
        <v/>
      </c>
      <c r="S37" s="14" t="str">
        <f aca="false">IFERROR(VLOOKUP(TRIM('📥 Respostas'!V37),'⚙️ Config'!$A$4:$B$13,2,0),"")</f>
        <v/>
      </c>
      <c r="T37" s="14" t="str">
        <f aca="false">IFERROR(VLOOKUP(TRIM('📥 Respostas'!W37),'⚙️ Config'!$A$4:$B$13,2,0),"")</f>
        <v/>
      </c>
      <c r="U37" s="14" t="str">
        <f aca="false">IFERROR(VLOOKUP(TRIM('📥 Respostas'!X37),'⚙️ Config'!$A$4:$B$13,2,0),"")</f>
        <v/>
      </c>
      <c r="V37" s="14" t="str">
        <f aca="false">IFERROR(VLOOKUP(TRIM('📥 Respostas'!Y37),'⚙️ Config'!$A$4:$B$13,2,0),"")</f>
        <v/>
      </c>
      <c r="W37" s="14" t="str">
        <f aca="false">IFERROR(VLOOKUP(TRIM('📥 Respostas'!Z37),'⚙️ Config'!$A$4:$B$13,2,0),"")</f>
        <v/>
      </c>
      <c r="X37" s="14" t="str">
        <f aca="false">IFERROR(VLOOKUP(TRIM('📥 Respostas'!AA37),'⚙️ Config'!$A$4:$B$13,2,0),"")</f>
        <v/>
      </c>
      <c r="Y37" s="14" t="str">
        <f aca="false">IFERROR(VLOOKUP(TRIM('📥 Respostas'!AB37),'⚙️ Config'!$A$4:$B$13,2,0),"")</f>
        <v/>
      </c>
      <c r="Z37" s="14" t="str">
        <f aca="false">IFERROR(VLOOKUP(TRIM('📥 Respostas'!AC37),'⚙️ Config'!$A$4:$B$13,2,0),"")</f>
        <v/>
      </c>
      <c r="AA37" s="14" t="str">
        <f aca="false">IFERROR(VLOOKUP(TRIM('📥 Respostas'!AD37),'⚙️ Config'!$A$4:$B$13,2,0),"")</f>
        <v/>
      </c>
      <c r="AB37" s="14" t="str">
        <f aca="false">IFERROR(VLOOKUP(TRIM('📥 Respostas'!AE37),'⚙️ Config'!$A$4:$B$13,2,0),"")</f>
        <v/>
      </c>
      <c r="AC37" s="14" t="str">
        <f aca="false">IFERROR(VLOOKUP(TRIM('📥 Respostas'!AF37),'⚙️ Config'!$A$4:$B$13,2,0),"")</f>
        <v/>
      </c>
      <c r="AD37" s="14" t="str">
        <f aca="false">IFERROR(VLOOKUP(TRIM('📥 Respostas'!AG37),'⚙️ Config'!$A$4:$B$13,2,0),"")</f>
        <v/>
      </c>
      <c r="AE37" s="14" t="str">
        <f aca="false">IFERROR(VLOOKUP(TRIM('📥 Respostas'!AH37),'⚙️ Config'!$A$4:$B$13,2,0),"")</f>
        <v/>
      </c>
      <c r="AF37" s="14" t="str">
        <f aca="false">IFERROR(VLOOKUP(TRIM('📥 Respostas'!AI37),'⚙️ Config'!$C$4:$D$11,2,0),"")</f>
        <v/>
      </c>
      <c r="AG37" s="14" t="str">
        <f aca="false">IFERROR(VLOOKUP(TRIM('📥 Respostas'!AJ37),'⚙️ Config'!$A$4:$B$13,2,0),"")</f>
        <v/>
      </c>
      <c r="AH37" s="14" t="str">
        <f aca="false">IFERROR(VLOOKUP(TRIM('📥 Respostas'!AK37),'⚙️ Config'!$A$4:$B$13,2,0),"")</f>
        <v/>
      </c>
      <c r="AI37" s="14" t="str">
        <f aca="false">IFERROR(VLOOKUP(TRIM('📥 Respostas'!AL37),'⚙️ Config'!$A$4:$B$13,2,0),"")</f>
        <v/>
      </c>
      <c r="AJ37" s="14" t="str">
        <f aca="false">IFERROR(VLOOKUP(TRIM('📥 Respostas'!AM37),'⚙️ Config'!$A$4:$B$13,2,0),"")</f>
        <v/>
      </c>
      <c r="AK37" s="14" t="str">
        <f aca="false">IFERROR(VLOOKUP(TRIM('📥 Respostas'!AN37),'⚙️ Config'!$A$4:$B$13,2,0),"")</f>
        <v/>
      </c>
      <c r="AL37" s="14" t="str">
        <f aca="false">IFERROR(VLOOKUP(TRIM('📥 Respostas'!AO37),'⚙️ Config'!$A$4:$B$13,2,0),"")</f>
        <v/>
      </c>
      <c r="AM37" s="14" t="str">
        <f aca="false">IFERROR(VLOOKUP(TRIM('📥 Respostas'!AP37),'⚙️ Config'!$A$4:$B$13,2,0),"")</f>
        <v/>
      </c>
      <c r="AN37" s="14" t="str">
        <f aca="false">IFERROR(VLOOKUP(TRIM('📥 Respostas'!AQ37),'⚙️ Config'!$A$4:$B$13,2,0),"")</f>
        <v/>
      </c>
      <c r="AO37" s="14" t="str">
        <f aca="false">IFERROR(VLOOKUP(TRIM('📥 Respostas'!AR37),'⚙️ Config'!$A$4:$B$13,2,0),"")</f>
        <v/>
      </c>
      <c r="AP37" s="14" t="str">
        <f aca="false">IFERROR(VLOOKUP(TRIM('📥 Respostas'!AS37),'⚙️ Config'!$A$4:$B$13,2,0),"")</f>
        <v/>
      </c>
      <c r="AQ37" s="14" t="str">
        <f aca="false">IFERROR(VLOOKUP(TRIM('📥 Respostas'!AT37),'⚙️ Config'!$A$4:$B$13,2,0),"")</f>
        <v/>
      </c>
      <c r="AR37" s="14" t="str">
        <f aca="false">IFERROR(VLOOKUP(TRIM('📥 Respostas'!AU37),'⚙️ Config'!$A$4:$B$13,2,0),"")</f>
        <v/>
      </c>
    </row>
    <row r="38" customFormat="false" ht="15" hidden="false" customHeight="false" outlineLevel="0" collapsed="false">
      <c r="A38" s="12" t="str">
        <f aca="false">IF(ISBLANK('📥 Respostas'!D38),"",ROW()-3)</f>
        <v/>
      </c>
      <c r="B38" s="12" t="n">
        <f aca="false">'📥 Respostas'!D38</f>
        <v>0</v>
      </c>
      <c r="C38" s="13" t="n">
        <f aca="false">'📥 Respostas'!C38</f>
        <v>0</v>
      </c>
      <c r="D38" s="14" t="str">
        <f aca="false">IFERROR(VLOOKUP(TRIM('📥 Respostas'!G38),'⚙️ Config'!$A$4:$B$13,2,0),"")</f>
        <v/>
      </c>
      <c r="E38" s="14" t="str">
        <f aca="false">IFERROR(VLOOKUP(TRIM('📥 Respostas'!H38),'⚙️ Config'!$A$4:$B$13,2,0),"")</f>
        <v/>
      </c>
      <c r="F38" s="14" t="str">
        <f aca="false">IFERROR(VLOOKUP(TRIM('📥 Respostas'!I38),'⚙️ Config'!$A$4:$B$13,2,0),"")</f>
        <v/>
      </c>
      <c r="G38" s="14" t="str">
        <f aca="false">IFERROR(VLOOKUP(TRIM('📥 Respostas'!J38),'⚙️ Config'!$A$4:$B$13,2,0),"")</f>
        <v/>
      </c>
      <c r="H38" s="14" t="str">
        <f aca="false">IFERROR(VLOOKUP(TRIM('📥 Respostas'!K38),'⚙️ Config'!$A$4:$B$13,2,0),"")</f>
        <v/>
      </c>
      <c r="I38" s="14" t="str">
        <f aca="false">IFERROR(VLOOKUP(TRIM('📥 Respostas'!L38),'⚙️ Config'!$A$4:$B$13,2,0),"")</f>
        <v/>
      </c>
      <c r="J38" s="14" t="str">
        <f aca="false">IFERROR(VLOOKUP(TRIM('📥 Respostas'!M38),'⚙️ Config'!$A$4:$B$13,2,0),"")</f>
        <v/>
      </c>
      <c r="K38" s="14" t="str">
        <f aca="false">IFERROR(VLOOKUP(TRIM('📥 Respostas'!N38),'⚙️ Config'!$A$4:$B$13,2,0),"")</f>
        <v/>
      </c>
      <c r="L38" s="14" t="str">
        <f aca="false">IFERROR(VLOOKUP(TRIM('📥 Respostas'!O38),'⚙️ Config'!$A$4:$B$13,2,0),"")</f>
        <v/>
      </c>
      <c r="M38" s="14" t="str">
        <f aca="false">IFERROR(VLOOKUP(TRIM('📥 Respostas'!P38),'⚙️ Config'!$A$4:$B$13,2,0),"")</f>
        <v/>
      </c>
      <c r="N38" s="14" t="str">
        <f aca="false">IFERROR(VLOOKUP(TRIM('📥 Respostas'!Q38),'⚙️ Config'!$A$4:$B$13,2,0),"")</f>
        <v/>
      </c>
      <c r="O38" s="14" t="str">
        <f aca="false">IFERROR(VLOOKUP(TRIM('📥 Respostas'!R38),'⚙️ Config'!$A$4:$B$13,2,0),"")</f>
        <v/>
      </c>
      <c r="P38" s="14" t="str">
        <f aca="false">IFERROR(VLOOKUP(TRIM('📥 Respostas'!S38),'⚙️ Config'!$A$4:$B$13,2,0),"")</f>
        <v/>
      </c>
      <c r="Q38" s="14" t="str">
        <f aca="false">IFERROR(VLOOKUP(TRIM('📥 Respostas'!T38),'⚙️ Config'!$A$4:$B$13,2,0),"")</f>
        <v/>
      </c>
      <c r="R38" s="14" t="str">
        <f aca="false">IFERROR(VLOOKUP(TRIM('📥 Respostas'!U38),'⚙️ Config'!$A$4:$B$13,2,0),"")</f>
        <v/>
      </c>
      <c r="S38" s="14" t="str">
        <f aca="false">IFERROR(VLOOKUP(TRIM('📥 Respostas'!V38),'⚙️ Config'!$A$4:$B$13,2,0),"")</f>
        <v/>
      </c>
      <c r="T38" s="14" t="str">
        <f aca="false">IFERROR(VLOOKUP(TRIM('📥 Respostas'!W38),'⚙️ Config'!$A$4:$B$13,2,0),"")</f>
        <v/>
      </c>
      <c r="U38" s="14" t="str">
        <f aca="false">IFERROR(VLOOKUP(TRIM('📥 Respostas'!X38),'⚙️ Config'!$A$4:$B$13,2,0),"")</f>
        <v/>
      </c>
      <c r="V38" s="14" t="str">
        <f aca="false">IFERROR(VLOOKUP(TRIM('📥 Respostas'!Y38),'⚙️ Config'!$A$4:$B$13,2,0),"")</f>
        <v/>
      </c>
      <c r="W38" s="14" t="str">
        <f aca="false">IFERROR(VLOOKUP(TRIM('📥 Respostas'!Z38),'⚙️ Config'!$A$4:$B$13,2,0),"")</f>
        <v/>
      </c>
      <c r="X38" s="14" t="str">
        <f aca="false">IFERROR(VLOOKUP(TRIM('📥 Respostas'!AA38),'⚙️ Config'!$A$4:$B$13,2,0),"")</f>
        <v/>
      </c>
      <c r="Y38" s="14" t="str">
        <f aca="false">IFERROR(VLOOKUP(TRIM('📥 Respostas'!AB38),'⚙️ Config'!$A$4:$B$13,2,0),"")</f>
        <v/>
      </c>
      <c r="Z38" s="14" t="str">
        <f aca="false">IFERROR(VLOOKUP(TRIM('📥 Respostas'!AC38),'⚙️ Config'!$A$4:$B$13,2,0),"")</f>
        <v/>
      </c>
      <c r="AA38" s="14" t="str">
        <f aca="false">IFERROR(VLOOKUP(TRIM('📥 Respostas'!AD38),'⚙️ Config'!$A$4:$B$13,2,0),"")</f>
        <v/>
      </c>
      <c r="AB38" s="14" t="str">
        <f aca="false">IFERROR(VLOOKUP(TRIM('📥 Respostas'!AE38),'⚙️ Config'!$A$4:$B$13,2,0),"")</f>
        <v/>
      </c>
      <c r="AC38" s="14" t="str">
        <f aca="false">IFERROR(VLOOKUP(TRIM('📥 Respostas'!AF38),'⚙️ Config'!$A$4:$B$13,2,0),"")</f>
        <v/>
      </c>
      <c r="AD38" s="14" t="str">
        <f aca="false">IFERROR(VLOOKUP(TRIM('📥 Respostas'!AG38),'⚙️ Config'!$A$4:$B$13,2,0),"")</f>
        <v/>
      </c>
      <c r="AE38" s="14" t="str">
        <f aca="false">IFERROR(VLOOKUP(TRIM('📥 Respostas'!AH38),'⚙️ Config'!$A$4:$B$13,2,0),"")</f>
        <v/>
      </c>
      <c r="AF38" s="14" t="str">
        <f aca="false">IFERROR(VLOOKUP(TRIM('📥 Respostas'!AI38),'⚙️ Config'!$C$4:$D$11,2,0),"")</f>
        <v/>
      </c>
      <c r="AG38" s="14" t="str">
        <f aca="false">IFERROR(VLOOKUP(TRIM('📥 Respostas'!AJ38),'⚙️ Config'!$A$4:$B$13,2,0),"")</f>
        <v/>
      </c>
      <c r="AH38" s="14" t="str">
        <f aca="false">IFERROR(VLOOKUP(TRIM('📥 Respostas'!AK38),'⚙️ Config'!$A$4:$B$13,2,0),"")</f>
        <v/>
      </c>
      <c r="AI38" s="14" t="str">
        <f aca="false">IFERROR(VLOOKUP(TRIM('📥 Respostas'!AL38),'⚙️ Config'!$A$4:$B$13,2,0),"")</f>
        <v/>
      </c>
      <c r="AJ38" s="14" t="str">
        <f aca="false">IFERROR(VLOOKUP(TRIM('📥 Respostas'!AM38),'⚙️ Config'!$A$4:$B$13,2,0),"")</f>
        <v/>
      </c>
      <c r="AK38" s="14" t="str">
        <f aca="false">IFERROR(VLOOKUP(TRIM('📥 Respostas'!AN38),'⚙️ Config'!$A$4:$B$13,2,0),"")</f>
        <v/>
      </c>
      <c r="AL38" s="14" t="str">
        <f aca="false">IFERROR(VLOOKUP(TRIM('📥 Respostas'!AO38),'⚙️ Config'!$A$4:$B$13,2,0),"")</f>
        <v/>
      </c>
      <c r="AM38" s="14" t="str">
        <f aca="false">IFERROR(VLOOKUP(TRIM('📥 Respostas'!AP38),'⚙️ Config'!$A$4:$B$13,2,0),"")</f>
        <v/>
      </c>
      <c r="AN38" s="14" t="str">
        <f aca="false">IFERROR(VLOOKUP(TRIM('📥 Respostas'!AQ38),'⚙️ Config'!$A$4:$B$13,2,0),"")</f>
        <v/>
      </c>
      <c r="AO38" s="14" t="str">
        <f aca="false">IFERROR(VLOOKUP(TRIM('📥 Respostas'!AR38),'⚙️ Config'!$A$4:$B$13,2,0),"")</f>
        <v/>
      </c>
      <c r="AP38" s="14" t="str">
        <f aca="false">IFERROR(VLOOKUP(TRIM('📥 Respostas'!AS38),'⚙️ Config'!$A$4:$B$13,2,0),"")</f>
        <v/>
      </c>
      <c r="AQ38" s="14" t="str">
        <f aca="false">IFERROR(VLOOKUP(TRIM('📥 Respostas'!AT38),'⚙️ Config'!$A$4:$B$13,2,0),"")</f>
        <v/>
      </c>
      <c r="AR38" s="14" t="str">
        <f aca="false">IFERROR(VLOOKUP(TRIM('📥 Respostas'!AU38),'⚙️ Config'!$A$4:$B$13,2,0),"")</f>
        <v/>
      </c>
    </row>
    <row r="39" customFormat="false" ht="15" hidden="false" customHeight="false" outlineLevel="0" collapsed="false">
      <c r="A39" s="15" t="str">
        <f aca="false">IF(ISBLANK('📥 Respostas'!D39),"",ROW()-3)</f>
        <v/>
      </c>
      <c r="B39" s="15" t="n">
        <f aca="false">'📥 Respostas'!D39</f>
        <v>0</v>
      </c>
      <c r="C39" s="5" t="n">
        <f aca="false">'📥 Respostas'!C39</f>
        <v>0</v>
      </c>
      <c r="D39" s="14" t="str">
        <f aca="false">IFERROR(VLOOKUP(TRIM('📥 Respostas'!G39),'⚙️ Config'!$A$4:$B$13,2,0),"")</f>
        <v/>
      </c>
      <c r="E39" s="14" t="str">
        <f aca="false">IFERROR(VLOOKUP(TRIM('📥 Respostas'!H39),'⚙️ Config'!$A$4:$B$13,2,0),"")</f>
        <v/>
      </c>
      <c r="F39" s="14" t="str">
        <f aca="false">IFERROR(VLOOKUP(TRIM('📥 Respostas'!I39),'⚙️ Config'!$A$4:$B$13,2,0),"")</f>
        <v/>
      </c>
      <c r="G39" s="14" t="str">
        <f aca="false">IFERROR(VLOOKUP(TRIM('📥 Respostas'!J39),'⚙️ Config'!$A$4:$B$13,2,0),"")</f>
        <v/>
      </c>
      <c r="H39" s="14" t="str">
        <f aca="false">IFERROR(VLOOKUP(TRIM('📥 Respostas'!K39),'⚙️ Config'!$A$4:$B$13,2,0),"")</f>
        <v/>
      </c>
      <c r="I39" s="14" t="str">
        <f aca="false">IFERROR(VLOOKUP(TRIM('📥 Respostas'!L39),'⚙️ Config'!$A$4:$B$13,2,0),"")</f>
        <v/>
      </c>
      <c r="J39" s="14" t="str">
        <f aca="false">IFERROR(VLOOKUP(TRIM('📥 Respostas'!M39),'⚙️ Config'!$A$4:$B$13,2,0),"")</f>
        <v/>
      </c>
      <c r="K39" s="14" t="str">
        <f aca="false">IFERROR(VLOOKUP(TRIM('📥 Respostas'!N39),'⚙️ Config'!$A$4:$B$13,2,0),"")</f>
        <v/>
      </c>
      <c r="L39" s="14" t="str">
        <f aca="false">IFERROR(VLOOKUP(TRIM('📥 Respostas'!O39),'⚙️ Config'!$A$4:$B$13,2,0),"")</f>
        <v/>
      </c>
      <c r="M39" s="14" t="str">
        <f aca="false">IFERROR(VLOOKUP(TRIM('📥 Respostas'!P39),'⚙️ Config'!$A$4:$B$13,2,0),"")</f>
        <v/>
      </c>
      <c r="N39" s="14" t="str">
        <f aca="false">IFERROR(VLOOKUP(TRIM('📥 Respostas'!Q39),'⚙️ Config'!$A$4:$B$13,2,0),"")</f>
        <v/>
      </c>
      <c r="O39" s="14" t="str">
        <f aca="false">IFERROR(VLOOKUP(TRIM('📥 Respostas'!R39),'⚙️ Config'!$A$4:$B$13,2,0),"")</f>
        <v/>
      </c>
      <c r="P39" s="14" t="str">
        <f aca="false">IFERROR(VLOOKUP(TRIM('📥 Respostas'!S39),'⚙️ Config'!$A$4:$B$13,2,0),"")</f>
        <v/>
      </c>
      <c r="Q39" s="14" t="str">
        <f aca="false">IFERROR(VLOOKUP(TRIM('📥 Respostas'!T39),'⚙️ Config'!$A$4:$B$13,2,0),"")</f>
        <v/>
      </c>
      <c r="R39" s="14" t="str">
        <f aca="false">IFERROR(VLOOKUP(TRIM('📥 Respostas'!U39),'⚙️ Config'!$A$4:$B$13,2,0),"")</f>
        <v/>
      </c>
      <c r="S39" s="14" t="str">
        <f aca="false">IFERROR(VLOOKUP(TRIM('📥 Respostas'!V39),'⚙️ Config'!$A$4:$B$13,2,0),"")</f>
        <v/>
      </c>
      <c r="T39" s="14" t="str">
        <f aca="false">IFERROR(VLOOKUP(TRIM('📥 Respostas'!W39),'⚙️ Config'!$A$4:$B$13,2,0),"")</f>
        <v/>
      </c>
      <c r="U39" s="14" t="str">
        <f aca="false">IFERROR(VLOOKUP(TRIM('📥 Respostas'!X39),'⚙️ Config'!$A$4:$B$13,2,0),"")</f>
        <v/>
      </c>
      <c r="V39" s="14" t="str">
        <f aca="false">IFERROR(VLOOKUP(TRIM('📥 Respostas'!Y39),'⚙️ Config'!$A$4:$B$13,2,0),"")</f>
        <v/>
      </c>
      <c r="W39" s="14" t="str">
        <f aca="false">IFERROR(VLOOKUP(TRIM('📥 Respostas'!Z39),'⚙️ Config'!$A$4:$B$13,2,0),"")</f>
        <v/>
      </c>
      <c r="X39" s="14" t="str">
        <f aca="false">IFERROR(VLOOKUP(TRIM('📥 Respostas'!AA39),'⚙️ Config'!$A$4:$B$13,2,0),"")</f>
        <v/>
      </c>
      <c r="Y39" s="14" t="str">
        <f aca="false">IFERROR(VLOOKUP(TRIM('📥 Respostas'!AB39),'⚙️ Config'!$A$4:$B$13,2,0),"")</f>
        <v/>
      </c>
      <c r="Z39" s="14" t="str">
        <f aca="false">IFERROR(VLOOKUP(TRIM('📥 Respostas'!AC39),'⚙️ Config'!$A$4:$B$13,2,0),"")</f>
        <v/>
      </c>
      <c r="AA39" s="14" t="str">
        <f aca="false">IFERROR(VLOOKUP(TRIM('📥 Respostas'!AD39),'⚙️ Config'!$A$4:$B$13,2,0),"")</f>
        <v/>
      </c>
      <c r="AB39" s="14" t="str">
        <f aca="false">IFERROR(VLOOKUP(TRIM('📥 Respostas'!AE39),'⚙️ Config'!$A$4:$B$13,2,0),"")</f>
        <v/>
      </c>
      <c r="AC39" s="14" t="str">
        <f aca="false">IFERROR(VLOOKUP(TRIM('📥 Respostas'!AF39),'⚙️ Config'!$A$4:$B$13,2,0),"")</f>
        <v/>
      </c>
      <c r="AD39" s="14" t="str">
        <f aca="false">IFERROR(VLOOKUP(TRIM('📥 Respostas'!AG39),'⚙️ Config'!$A$4:$B$13,2,0),"")</f>
        <v/>
      </c>
      <c r="AE39" s="14" t="str">
        <f aca="false">IFERROR(VLOOKUP(TRIM('📥 Respostas'!AH39),'⚙️ Config'!$A$4:$B$13,2,0),"")</f>
        <v/>
      </c>
      <c r="AF39" s="14" t="str">
        <f aca="false">IFERROR(VLOOKUP(TRIM('📥 Respostas'!AI39),'⚙️ Config'!$C$4:$D$11,2,0),"")</f>
        <v/>
      </c>
      <c r="AG39" s="14" t="str">
        <f aca="false">IFERROR(VLOOKUP(TRIM('📥 Respostas'!AJ39),'⚙️ Config'!$A$4:$B$13,2,0),"")</f>
        <v/>
      </c>
      <c r="AH39" s="14" t="str">
        <f aca="false">IFERROR(VLOOKUP(TRIM('📥 Respostas'!AK39),'⚙️ Config'!$A$4:$B$13,2,0),"")</f>
        <v/>
      </c>
      <c r="AI39" s="14" t="str">
        <f aca="false">IFERROR(VLOOKUP(TRIM('📥 Respostas'!AL39),'⚙️ Config'!$A$4:$B$13,2,0),"")</f>
        <v/>
      </c>
      <c r="AJ39" s="14" t="str">
        <f aca="false">IFERROR(VLOOKUP(TRIM('📥 Respostas'!AM39),'⚙️ Config'!$A$4:$B$13,2,0),"")</f>
        <v/>
      </c>
      <c r="AK39" s="14" t="str">
        <f aca="false">IFERROR(VLOOKUP(TRIM('📥 Respostas'!AN39),'⚙️ Config'!$A$4:$B$13,2,0),"")</f>
        <v/>
      </c>
      <c r="AL39" s="14" t="str">
        <f aca="false">IFERROR(VLOOKUP(TRIM('📥 Respostas'!AO39),'⚙️ Config'!$A$4:$B$13,2,0),"")</f>
        <v/>
      </c>
      <c r="AM39" s="14" t="str">
        <f aca="false">IFERROR(VLOOKUP(TRIM('📥 Respostas'!AP39),'⚙️ Config'!$A$4:$B$13,2,0),"")</f>
        <v/>
      </c>
      <c r="AN39" s="14" t="str">
        <f aca="false">IFERROR(VLOOKUP(TRIM('📥 Respostas'!AQ39),'⚙️ Config'!$A$4:$B$13,2,0),"")</f>
        <v/>
      </c>
      <c r="AO39" s="14" t="str">
        <f aca="false">IFERROR(VLOOKUP(TRIM('📥 Respostas'!AR39),'⚙️ Config'!$A$4:$B$13,2,0),"")</f>
        <v/>
      </c>
      <c r="AP39" s="14" t="str">
        <f aca="false">IFERROR(VLOOKUP(TRIM('📥 Respostas'!AS39),'⚙️ Config'!$A$4:$B$13,2,0),"")</f>
        <v/>
      </c>
      <c r="AQ39" s="14" t="str">
        <f aca="false">IFERROR(VLOOKUP(TRIM('📥 Respostas'!AT39),'⚙️ Config'!$A$4:$B$13,2,0),"")</f>
        <v/>
      </c>
      <c r="AR39" s="14" t="str">
        <f aca="false">IFERROR(VLOOKUP(TRIM('📥 Respostas'!AU39),'⚙️ Config'!$A$4:$B$13,2,0),"")</f>
        <v/>
      </c>
    </row>
    <row r="40" customFormat="false" ht="15" hidden="false" customHeight="false" outlineLevel="0" collapsed="false">
      <c r="A40" s="12" t="str">
        <f aca="false">IF(ISBLANK('📥 Respostas'!D40),"",ROW()-3)</f>
        <v/>
      </c>
      <c r="B40" s="12" t="n">
        <f aca="false">'📥 Respostas'!D40</f>
        <v>0</v>
      </c>
      <c r="C40" s="13" t="n">
        <f aca="false">'📥 Respostas'!C40</f>
        <v>0</v>
      </c>
      <c r="D40" s="14" t="str">
        <f aca="false">IFERROR(VLOOKUP(TRIM('📥 Respostas'!G40),'⚙️ Config'!$A$4:$B$13,2,0),"")</f>
        <v/>
      </c>
      <c r="E40" s="14" t="str">
        <f aca="false">IFERROR(VLOOKUP(TRIM('📥 Respostas'!H40),'⚙️ Config'!$A$4:$B$13,2,0),"")</f>
        <v/>
      </c>
      <c r="F40" s="14" t="str">
        <f aca="false">IFERROR(VLOOKUP(TRIM('📥 Respostas'!I40),'⚙️ Config'!$A$4:$B$13,2,0),"")</f>
        <v/>
      </c>
      <c r="G40" s="14" t="str">
        <f aca="false">IFERROR(VLOOKUP(TRIM('📥 Respostas'!J40),'⚙️ Config'!$A$4:$B$13,2,0),"")</f>
        <v/>
      </c>
      <c r="H40" s="14" t="str">
        <f aca="false">IFERROR(VLOOKUP(TRIM('📥 Respostas'!K40),'⚙️ Config'!$A$4:$B$13,2,0),"")</f>
        <v/>
      </c>
      <c r="I40" s="14" t="str">
        <f aca="false">IFERROR(VLOOKUP(TRIM('📥 Respostas'!L40),'⚙️ Config'!$A$4:$B$13,2,0),"")</f>
        <v/>
      </c>
      <c r="J40" s="14" t="str">
        <f aca="false">IFERROR(VLOOKUP(TRIM('📥 Respostas'!M40),'⚙️ Config'!$A$4:$B$13,2,0),"")</f>
        <v/>
      </c>
      <c r="K40" s="14" t="str">
        <f aca="false">IFERROR(VLOOKUP(TRIM('📥 Respostas'!N40),'⚙️ Config'!$A$4:$B$13,2,0),"")</f>
        <v/>
      </c>
      <c r="L40" s="14" t="str">
        <f aca="false">IFERROR(VLOOKUP(TRIM('📥 Respostas'!O40),'⚙️ Config'!$A$4:$B$13,2,0),"")</f>
        <v/>
      </c>
      <c r="M40" s="14" t="str">
        <f aca="false">IFERROR(VLOOKUP(TRIM('📥 Respostas'!P40),'⚙️ Config'!$A$4:$B$13,2,0),"")</f>
        <v/>
      </c>
      <c r="N40" s="14" t="str">
        <f aca="false">IFERROR(VLOOKUP(TRIM('📥 Respostas'!Q40),'⚙️ Config'!$A$4:$B$13,2,0),"")</f>
        <v/>
      </c>
      <c r="O40" s="14" t="str">
        <f aca="false">IFERROR(VLOOKUP(TRIM('📥 Respostas'!R40),'⚙️ Config'!$A$4:$B$13,2,0),"")</f>
        <v/>
      </c>
      <c r="P40" s="14" t="str">
        <f aca="false">IFERROR(VLOOKUP(TRIM('📥 Respostas'!S40),'⚙️ Config'!$A$4:$B$13,2,0),"")</f>
        <v/>
      </c>
      <c r="Q40" s="14" t="str">
        <f aca="false">IFERROR(VLOOKUP(TRIM('📥 Respostas'!T40),'⚙️ Config'!$A$4:$B$13,2,0),"")</f>
        <v/>
      </c>
      <c r="R40" s="14" t="str">
        <f aca="false">IFERROR(VLOOKUP(TRIM('📥 Respostas'!U40),'⚙️ Config'!$A$4:$B$13,2,0),"")</f>
        <v/>
      </c>
      <c r="S40" s="14" t="str">
        <f aca="false">IFERROR(VLOOKUP(TRIM('📥 Respostas'!V40),'⚙️ Config'!$A$4:$B$13,2,0),"")</f>
        <v/>
      </c>
      <c r="T40" s="14" t="str">
        <f aca="false">IFERROR(VLOOKUP(TRIM('📥 Respostas'!W40),'⚙️ Config'!$A$4:$B$13,2,0),"")</f>
        <v/>
      </c>
      <c r="U40" s="14" t="str">
        <f aca="false">IFERROR(VLOOKUP(TRIM('📥 Respostas'!X40),'⚙️ Config'!$A$4:$B$13,2,0),"")</f>
        <v/>
      </c>
      <c r="V40" s="14" t="str">
        <f aca="false">IFERROR(VLOOKUP(TRIM('📥 Respostas'!Y40),'⚙️ Config'!$A$4:$B$13,2,0),"")</f>
        <v/>
      </c>
      <c r="W40" s="14" t="str">
        <f aca="false">IFERROR(VLOOKUP(TRIM('📥 Respostas'!Z40),'⚙️ Config'!$A$4:$B$13,2,0),"")</f>
        <v/>
      </c>
      <c r="X40" s="14" t="str">
        <f aca="false">IFERROR(VLOOKUP(TRIM('📥 Respostas'!AA40),'⚙️ Config'!$A$4:$B$13,2,0),"")</f>
        <v/>
      </c>
      <c r="Y40" s="14" t="str">
        <f aca="false">IFERROR(VLOOKUP(TRIM('📥 Respostas'!AB40),'⚙️ Config'!$A$4:$B$13,2,0),"")</f>
        <v/>
      </c>
      <c r="Z40" s="14" t="str">
        <f aca="false">IFERROR(VLOOKUP(TRIM('📥 Respostas'!AC40),'⚙️ Config'!$A$4:$B$13,2,0),"")</f>
        <v/>
      </c>
      <c r="AA40" s="14" t="str">
        <f aca="false">IFERROR(VLOOKUP(TRIM('📥 Respostas'!AD40),'⚙️ Config'!$A$4:$B$13,2,0),"")</f>
        <v/>
      </c>
      <c r="AB40" s="14" t="str">
        <f aca="false">IFERROR(VLOOKUP(TRIM('📥 Respostas'!AE40),'⚙️ Config'!$A$4:$B$13,2,0),"")</f>
        <v/>
      </c>
      <c r="AC40" s="14" t="str">
        <f aca="false">IFERROR(VLOOKUP(TRIM('📥 Respostas'!AF40),'⚙️ Config'!$A$4:$B$13,2,0),"")</f>
        <v/>
      </c>
      <c r="AD40" s="14" t="str">
        <f aca="false">IFERROR(VLOOKUP(TRIM('📥 Respostas'!AG40),'⚙️ Config'!$A$4:$B$13,2,0),"")</f>
        <v/>
      </c>
      <c r="AE40" s="14" t="str">
        <f aca="false">IFERROR(VLOOKUP(TRIM('📥 Respostas'!AH40),'⚙️ Config'!$A$4:$B$13,2,0),"")</f>
        <v/>
      </c>
      <c r="AF40" s="14" t="str">
        <f aca="false">IFERROR(VLOOKUP(TRIM('📥 Respostas'!AI40),'⚙️ Config'!$C$4:$D$11,2,0),"")</f>
        <v/>
      </c>
      <c r="AG40" s="14" t="str">
        <f aca="false">IFERROR(VLOOKUP(TRIM('📥 Respostas'!AJ40),'⚙️ Config'!$A$4:$B$13,2,0),"")</f>
        <v/>
      </c>
      <c r="AH40" s="14" t="str">
        <f aca="false">IFERROR(VLOOKUP(TRIM('📥 Respostas'!AK40),'⚙️ Config'!$A$4:$B$13,2,0),"")</f>
        <v/>
      </c>
      <c r="AI40" s="14" t="str">
        <f aca="false">IFERROR(VLOOKUP(TRIM('📥 Respostas'!AL40),'⚙️ Config'!$A$4:$B$13,2,0),"")</f>
        <v/>
      </c>
      <c r="AJ40" s="14" t="str">
        <f aca="false">IFERROR(VLOOKUP(TRIM('📥 Respostas'!AM40),'⚙️ Config'!$A$4:$B$13,2,0),"")</f>
        <v/>
      </c>
      <c r="AK40" s="14" t="str">
        <f aca="false">IFERROR(VLOOKUP(TRIM('📥 Respostas'!AN40),'⚙️ Config'!$A$4:$B$13,2,0),"")</f>
        <v/>
      </c>
      <c r="AL40" s="14" t="str">
        <f aca="false">IFERROR(VLOOKUP(TRIM('📥 Respostas'!AO40),'⚙️ Config'!$A$4:$B$13,2,0),"")</f>
        <v/>
      </c>
      <c r="AM40" s="14" t="str">
        <f aca="false">IFERROR(VLOOKUP(TRIM('📥 Respostas'!AP40),'⚙️ Config'!$A$4:$B$13,2,0),"")</f>
        <v/>
      </c>
      <c r="AN40" s="14" t="str">
        <f aca="false">IFERROR(VLOOKUP(TRIM('📥 Respostas'!AQ40),'⚙️ Config'!$A$4:$B$13,2,0),"")</f>
        <v/>
      </c>
      <c r="AO40" s="14" t="str">
        <f aca="false">IFERROR(VLOOKUP(TRIM('📥 Respostas'!AR40),'⚙️ Config'!$A$4:$B$13,2,0),"")</f>
        <v/>
      </c>
      <c r="AP40" s="14" t="str">
        <f aca="false">IFERROR(VLOOKUP(TRIM('📥 Respostas'!AS40),'⚙️ Config'!$A$4:$B$13,2,0),"")</f>
        <v/>
      </c>
      <c r="AQ40" s="14" t="str">
        <f aca="false">IFERROR(VLOOKUP(TRIM('📥 Respostas'!AT40),'⚙️ Config'!$A$4:$B$13,2,0),"")</f>
        <v/>
      </c>
      <c r="AR40" s="14" t="str">
        <f aca="false">IFERROR(VLOOKUP(TRIM('📥 Respostas'!AU40),'⚙️ Config'!$A$4:$B$13,2,0),"")</f>
        <v/>
      </c>
    </row>
    <row r="41" customFormat="false" ht="15" hidden="false" customHeight="false" outlineLevel="0" collapsed="false">
      <c r="A41" s="15" t="str">
        <f aca="false">IF(ISBLANK('📥 Respostas'!D41),"",ROW()-3)</f>
        <v/>
      </c>
      <c r="B41" s="15" t="n">
        <f aca="false">'📥 Respostas'!D41</f>
        <v>0</v>
      </c>
      <c r="C41" s="5" t="n">
        <f aca="false">'📥 Respostas'!C41</f>
        <v>0</v>
      </c>
      <c r="D41" s="14" t="str">
        <f aca="false">IFERROR(VLOOKUP(TRIM('📥 Respostas'!G41),'⚙️ Config'!$A$4:$B$13,2,0),"")</f>
        <v/>
      </c>
      <c r="E41" s="14" t="str">
        <f aca="false">IFERROR(VLOOKUP(TRIM('📥 Respostas'!H41),'⚙️ Config'!$A$4:$B$13,2,0),"")</f>
        <v/>
      </c>
      <c r="F41" s="14" t="str">
        <f aca="false">IFERROR(VLOOKUP(TRIM('📥 Respostas'!I41),'⚙️ Config'!$A$4:$B$13,2,0),"")</f>
        <v/>
      </c>
      <c r="G41" s="14" t="str">
        <f aca="false">IFERROR(VLOOKUP(TRIM('📥 Respostas'!J41),'⚙️ Config'!$A$4:$B$13,2,0),"")</f>
        <v/>
      </c>
      <c r="H41" s="14" t="str">
        <f aca="false">IFERROR(VLOOKUP(TRIM('📥 Respostas'!K41),'⚙️ Config'!$A$4:$B$13,2,0),"")</f>
        <v/>
      </c>
      <c r="I41" s="14" t="str">
        <f aca="false">IFERROR(VLOOKUP(TRIM('📥 Respostas'!L41),'⚙️ Config'!$A$4:$B$13,2,0),"")</f>
        <v/>
      </c>
      <c r="J41" s="14" t="str">
        <f aca="false">IFERROR(VLOOKUP(TRIM('📥 Respostas'!M41),'⚙️ Config'!$A$4:$B$13,2,0),"")</f>
        <v/>
      </c>
      <c r="K41" s="14" t="str">
        <f aca="false">IFERROR(VLOOKUP(TRIM('📥 Respostas'!N41),'⚙️ Config'!$A$4:$B$13,2,0),"")</f>
        <v/>
      </c>
      <c r="L41" s="14" t="str">
        <f aca="false">IFERROR(VLOOKUP(TRIM('📥 Respostas'!O41),'⚙️ Config'!$A$4:$B$13,2,0),"")</f>
        <v/>
      </c>
      <c r="M41" s="14" t="str">
        <f aca="false">IFERROR(VLOOKUP(TRIM('📥 Respostas'!P41),'⚙️ Config'!$A$4:$B$13,2,0),"")</f>
        <v/>
      </c>
      <c r="N41" s="14" t="str">
        <f aca="false">IFERROR(VLOOKUP(TRIM('📥 Respostas'!Q41),'⚙️ Config'!$A$4:$B$13,2,0),"")</f>
        <v/>
      </c>
      <c r="O41" s="14" t="str">
        <f aca="false">IFERROR(VLOOKUP(TRIM('📥 Respostas'!R41),'⚙️ Config'!$A$4:$B$13,2,0),"")</f>
        <v/>
      </c>
      <c r="P41" s="14" t="str">
        <f aca="false">IFERROR(VLOOKUP(TRIM('📥 Respostas'!S41),'⚙️ Config'!$A$4:$B$13,2,0),"")</f>
        <v/>
      </c>
      <c r="Q41" s="14" t="str">
        <f aca="false">IFERROR(VLOOKUP(TRIM('📥 Respostas'!T41),'⚙️ Config'!$A$4:$B$13,2,0),"")</f>
        <v/>
      </c>
      <c r="R41" s="14" t="str">
        <f aca="false">IFERROR(VLOOKUP(TRIM('📥 Respostas'!U41),'⚙️ Config'!$A$4:$B$13,2,0),"")</f>
        <v/>
      </c>
      <c r="S41" s="14" t="str">
        <f aca="false">IFERROR(VLOOKUP(TRIM('📥 Respostas'!V41),'⚙️ Config'!$A$4:$B$13,2,0),"")</f>
        <v/>
      </c>
      <c r="T41" s="14" t="str">
        <f aca="false">IFERROR(VLOOKUP(TRIM('📥 Respostas'!W41),'⚙️ Config'!$A$4:$B$13,2,0),"")</f>
        <v/>
      </c>
      <c r="U41" s="14" t="str">
        <f aca="false">IFERROR(VLOOKUP(TRIM('📥 Respostas'!X41),'⚙️ Config'!$A$4:$B$13,2,0),"")</f>
        <v/>
      </c>
      <c r="V41" s="14" t="str">
        <f aca="false">IFERROR(VLOOKUP(TRIM('📥 Respostas'!Y41),'⚙️ Config'!$A$4:$B$13,2,0),"")</f>
        <v/>
      </c>
      <c r="W41" s="14" t="str">
        <f aca="false">IFERROR(VLOOKUP(TRIM('📥 Respostas'!Z41),'⚙️ Config'!$A$4:$B$13,2,0),"")</f>
        <v/>
      </c>
      <c r="X41" s="14" t="str">
        <f aca="false">IFERROR(VLOOKUP(TRIM('📥 Respostas'!AA41),'⚙️ Config'!$A$4:$B$13,2,0),"")</f>
        <v/>
      </c>
      <c r="Y41" s="14" t="str">
        <f aca="false">IFERROR(VLOOKUP(TRIM('📥 Respostas'!AB41),'⚙️ Config'!$A$4:$B$13,2,0),"")</f>
        <v/>
      </c>
      <c r="Z41" s="14" t="str">
        <f aca="false">IFERROR(VLOOKUP(TRIM('📥 Respostas'!AC41),'⚙️ Config'!$A$4:$B$13,2,0),"")</f>
        <v/>
      </c>
      <c r="AA41" s="14" t="str">
        <f aca="false">IFERROR(VLOOKUP(TRIM('📥 Respostas'!AD41),'⚙️ Config'!$A$4:$B$13,2,0),"")</f>
        <v/>
      </c>
      <c r="AB41" s="14" t="str">
        <f aca="false">IFERROR(VLOOKUP(TRIM('📥 Respostas'!AE41),'⚙️ Config'!$A$4:$B$13,2,0),"")</f>
        <v/>
      </c>
      <c r="AC41" s="14" t="str">
        <f aca="false">IFERROR(VLOOKUP(TRIM('📥 Respostas'!AF41),'⚙️ Config'!$A$4:$B$13,2,0),"")</f>
        <v/>
      </c>
      <c r="AD41" s="14" t="str">
        <f aca="false">IFERROR(VLOOKUP(TRIM('📥 Respostas'!AG41),'⚙️ Config'!$A$4:$B$13,2,0),"")</f>
        <v/>
      </c>
      <c r="AE41" s="14" t="str">
        <f aca="false">IFERROR(VLOOKUP(TRIM('📥 Respostas'!AH41),'⚙️ Config'!$A$4:$B$13,2,0),"")</f>
        <v/>
      </c>
      <c r="AF41" s="14" t="str">
        <f aca="false">IFERROR(VLOOKUP(TRIM('📥 Respostas'!AI41),'⚙️ Config'!$C$4:$D$11,2,0),"")</f>
        <v/>
      </c>
      <c r="AG41" s="14" t="str">
        <f aca="false">IFERROR(VLOOKUP(TRIM('📥 Respostas'!AJ41),'⚙️ Config'!$A$4:$B$13,2,0),"")</f>
        <v/>
      </c>
      <c r="AH41" s="14" t="str">
        <f aca="false">IFERROR(VLOOKUP(TRIM('📥 Respostas'!AK41),'⚙️ Config'!$A$4:$B$13,2,0),"")</f>
        <v/>
      </c>
      <c r="AI41" s="14" t="str">
        <f aca="false">IFERROR(VLOOKUP(TRIM('📥 Respostas'!AL41),'⚙️ Config'!$A$4:$B$13,2,0),"")</f>
        <v/>
      </c>
      <c r="AJ41" s="14" t="str">
        <f aca="false">IFERROR(VLOOKUP(TRIM('📥 Respostas'!AM41),'⚙️ Config'!$A$4:$B$13,2,0),"")</f>
        <v/>
      </c>
      <c r="AK41" s="14" t="str">
        <f aca="false">IFERROR(VLOOKUP(TRIM('📥 Respostas'!AN41),'⚙️ Config'!$A$4:$B$13,2,0),"")</f>
        <v/>
      </c>
      <c r="AL41" s="14" t="str">
        <f aca="false">IFERROR(VLOOKUP(TRIM('📥 Respostas'!AO41),'⚙️ Config'!$A$4:$B$13,2,0),"")</f>
        <v/>
      </c>
      <c r="AM41" s="14" t="str">
        <f aca="false">IFERROR(VLOOKUP(TRIM('📥 Respostas'!AP41),'⚙️ Config'!$A$4:$B$13,2,0),"")</f>
        <v/>
      </c>
      <c r="AN41" s="14" t="str">
        <f aca="false">IFERROR(VLOOKUP(TRIM('📥 Respostas'!AQ41),'⚙️ Config'!$A$4:$B$13,2,0),"")</f>
        <v/>
      </c>
      <c r="AO41" s="14" t="str">
        <f aca="false">IFERROR(VLOOKUP(TRIM('📥 Respostas'!AR41),'⚙️ Config'!$A$4:$B$13,2,0),"")</f>
        <v/>
      </c>
      <c r="AP41" s="14" t="str">
        <f aca="false">IFERROR(VLOOKUP(TRIM('📥 Respostas'!AS41),'⚙️ Config'!$A$4:$B$13,2,0),"")</f>
        <v/>
      </c>
      <c r="AQ41" s="14" t="str">
        <f aca="false">IFERROR(VLOOKUP(TRIM('📥 Respostas'!AT41),'⚙️ Config'!$A$4:$B$13,2,0),"")</f>
        <v/>
      </c>
      <c r="AR41" s="14" t="str">
        <f aca="false">IFERROR(VLOOKUP(TRIM('📥 Respostas'!AU41),'⚙️ Config'!$A$4:$B$13,2,0),"")</f>
        <v/>
      </c>
    </row>
    <row r="42" customFormat="false" ht="15" hidden="false" customHeight="false" outlineLevel="0" collapsed="false">
      <c r="A42" s="12" t="str">
        <f aca="false">IF(ISBLANK('📥 Respostas'!D42),"",ROW()-3)</f>
        <v/>
      </c>
      <c r="B42" s="12" t="n">
        <f aca="false">'📥 Respostas'!D42</f>
        <v>0</v>
      </c>
      <c r="C42" s="13" t="n">
        <f aca="false">'📥 Respostas'!C42</f>
        <v>0</v>
      </c>
      <c r="D42" s="14" t="str">
        <f aca="false">IFERROR(VLOOKUP(TRIM('📥 Respostas'!G42),'⚙️ Config'!$A$4:$B$13,2,0),"")</f>
        <v/>
      </c>
      <c r="E42" s="14" t="str">
        <f aca="false">IFERROR(VLOOKUP(TRIM('📥 Respostas'!H42),'⚙️ Config'!$A$4:$B$13,2,0),"")</f>
        <v/>
      </c>
      <c r="F42" s="14" t="str">
        <f aca="false">IFERROR(VLOOKUP(TRIM('📥 Respostas'!I42),'⚙️ Config'!$A$4:$B$13,2,0),"")</f>
        <v/>
      </c>
      <c r="G42" s="14" t="str">
        <f aca="false">IFERROR(VLOOKUP(TRIM('📥 Respostas'!J42),'⚙️ Config'!$A$4:$B$13,2,0),"")</f>
        <v/>
      </c>
      <c r="H42" s="14" t="str">
        <f aca="false">IFERROR(VLOOKUP(TRIM('📥 Respostas'!K42),'⚙️ Config'!$A$4:$B$13,2,0),"")</f>
        <v/>
      </c>
      <c r="I42" s="14" t="str">
        <f aca="false">IFERROR(VLOOKUP(TRIM('📥 Respostas'!L42),'⚙️ Config'!$A$4:$B$13,2,0),"")</f>
        <v/>
      </c>
      <c r="J42" s="14" t="str">
        <f aca="false">IFERROR(VLOOKUP(TRIM('📥 Respostas'!M42),'⚙️ Config'!$A$4:$B$13,2,0),"")</f>
        <v/>
      </c>
      <c r="K42" s="14" t="str">
        <f aca="false">IFERROR(VLOOKUP(TRIM('📥 Respostas'!N42),'⚙️ Config'!$A$4:$B$13,2,0),"")</f>
        <v/>
      </c>
      <c r="L42" s="14" t="str">
        <f aca="false">IFERROR(VLOOKUP(TRIM('📥 Respostas'!O42),'⚙️ Config'!$A$4:$B$13,2,0),"")</f>
        <v/>
      </c>
      <c r="M42" s="14" t="str">
        <f aca="false">IFERROR(VLOOKUP(TRIM('📥 Respostas'!P42),'⚙️ Config'!$A$4:$B$13,2,0),"")</f>
        <v/>
      </c>
      <c r="N42" s="14" t="str">
        <f aca="false">IFERROR(VLOOKUP(TRIM('📥 Respostas'!Q42),'⚙️ Config'!$A$4:$B$13,2,0),"")</f>
        <v/>
      </c>
      <c r="O42" s="14" t="str">
        <f aca="false">IFERROR(VLOOKUP(TRIM('📥 Respostas'!R42),'⚙️ Config'!$A$4:$B$13,2,0),"")</f>
        <v/>
      </c>
      <c r="P42" s="14" t="str">
        <f aca="false">IFERROR(VLOOKUP(TRIM('📥 Respostas'!S42),'⚙️ Config'!$A$4:$B$13,2,0),"")</f>
        <v/>
      </c>
      <c r="Q42" s="14" t="str">
        <f aca="false">IFERROR(VLOOKUP(TRIM('📥 Respostas'!T42),'⚙️ Config'!$A$4:$B$13,2,0),"")</f>
        <v/>
      </c>
      <c r="R42" s="14" t="str">
        <f aca="false">IFERROR(VLOOKUP(TRIM('📥 Respostas'!U42),'⚙️ Config'!$A$4:$B$13,2,0),"")</f>
        <v/>
      </c>
      <c r="S42" s="14" t="str">
        <f aca="false">IFERROR(VLOOKUP(TRIM('📥 Respostas'!V42),'⚙️ Config'!$A$4:$B$13,2,0),"")</f>
        <v/>
      </c>
      <c r="T42" s="14" t="str">
        <f aca="false">IFERROR(VLOOKUP(TRIM('📥 Respostas'!W42),'⚙️ Config'!$A$4:$B$13,2,0),"")</f>
        <v/>
      </c>
      <c r="U42" s="14" t="str">
        <f aca="false">IFERROR(VLOOKUP(TRIM('📥 Respostas'!X42),'⚙️ Config'!$A$4:$B$13,2,0),"")</f>
        <v/>
      </c>
      <c r="V42" s="14" t="str">
        <f aca="false">IFERROR(VLOOKUP(TRIM('📥 Respostas'!Y42),'⚙️ Config'!$A$4:$B$13,2,0),"")</f>
        <v/>
      </c>
      <c r="W42" s="14" t="str">
        <f aca="false">IFERROR(VLOOKUP(TRIM('📥 Respostas'!Z42),'⚙️ Config'!$A$4:$B$13,2,0),"")</f>
        <v/>
      </c>
      <c r="X42" s="14" t="str">
        <f aca="false">IFERROR(VLOOKUP(TRIM('📥 Respostas'!AA42),'⚙️ Config'!$A$4:$B$13,2,0),"")</f>
        <v/>
      </c>
      <c r="Y42" s="14" t="str">
        <f aca="false">IFERROR(VLOOKUP(TRIM('📥 Respostas'!AB42),'⚙️ Config'!$A$4:$B$13,2,0),"")</f>
        <v/>
      </c>
      <c r="Z42" s="14" t="str">
        <f aca="false">IFERROR(VLOOKUP(TRIM('📥 Respostas'!AC42),'⚙️ Config'!$A$4:$B$13,2,0),"")</f>
        <v/>
      </c>
      <c r="AA42" s="14" t="str">
        <f aca="false">IFERROR(VLOOKUP(TRIM('📥 Respostas'!AD42),'⚙️ Config'!$A$4:$B$13,2,0),"")</f>
        <v/>
      </c>
      <c r="AB42" s="14" t="str">
        <f aca="false">IFERROR(VLOOKUP(TRIM('📥 Respostas'!AE42),'⚙️ Config'!$A$4:$B$13,2,0),"")</f>
        <v/>
      </c>
      <c r="AC42" s="14" t="str">
        <f aca="false">IFERROR(VLOOKUP(TRIM('📥 Respostas'!AF42),'⚙️ Config'!$A$4:$B$13,2,0),"")</f>
        <v/>
      </c>
      <c r="AD42" s="14" t="str">
        <f aca="false">IFERROR(VLOOKUP(TRIM('📥 Respostas'!AG42),'⚙️ Config'!$A$4:$B$13,2,0),"")</f>
        <v/>
      </c>
      <c r="AE42" s="14" t="str">
        <f aca="false">IFERROR(VLOOKUP(TRIM('📥 Respostas'!AH42),'⚙️ Config'!$A$4:$B$13,2,0),"")</f>
        <v/>
      </c>
      <c r="AF42" s="14" t="str">
        <f aca="false">IFERROR(VLOOKUP(TRIM('📥 Respostas'!AI42),'⚙️ Config'!$C$4:$D$11,2,0),"")</f>
        <v/>
      </c>
      <c r="AG42" s="14" t="str">
        <f aca="false">IFERROR(VLOOKUP(TRIM('📥 Respostas'!AJ42),'⚙️ Config'!$A$4:$B$13,2,0),"")</f>
        <v/>
      </c>
      <c r="AH42" s="14" t="str">
        <f aca="false">IFERROR(VLOOKUP(TRIM('📥 Respostas'!AK42),'⚙️ Config'!$A$4:$B$13,2,0),"")</f>
        <v/>
      </c>
      <c r="AI42" s="14" t="str">
        <f aca="false">IFERROR(VLOOKUP(TRIM('📥 Respostas'!AL42),'⚙️ Config'!$A$4:$B$13,2,0),"")</f>
        <v/>
      </c>
      <c r="AJ42" s="14" t="str">
        <f aca="false">IFERROR(VLOOKUP(TRIM('📥 Respostas'!AM42),'⚙️ Config'!$A$4:$B$13,2,0),"")</f>
        <v/>
      </c>
      <c r="AK42" s="14" t="str">
        <f aca="false">IFERROR(VLOOKUP(TRIM('📥 Respostas'!AN42),'⚙️ Config'!$A$4:$B$13,2,0),"")</f>
        <v/>
      </c>
      <c r="AL42" s="14" t="str">
        <f aca="false">IFERROR(VLOOKUP(TRIM('📥 Respostas'!AO42),'⚙️ Config'!$A$4:$B$13,2,0),"")</f>
        <v/>
      </c>
      <c r="AM42" s="14" t="str">
        <f aca="false">IFERROR(VLOOKUP(TRIM('📥 Respostas'!AP42),'⚙️ Config'!$A$4:$B$13,2,0),"")</f>
        <v/>
      </c>
      <c r="AN42" s="14" t="str">
        <f aca="false">IFERROR(VLOOKUP(TRIM('📥 Respostas'!AQ42),'⚙️ Config'!$A$4:$B$13,2,0),"")</f>
        <v/>
      </c>
      <c r="AO42" s="14" t="str">
        <f aca="false">IFERROR(VLOOKUP(TRIM('📥 Respostas'!AR42),'⚙️ Config'!$A$4:$B$13,2,0),"")</f>
        <v/>
      </c>
      <c r="AP42" s="14" t="str">
        <f aca="false">IFERROR(VLOOKUP(TRIM('📥 Respostas'!AS42),'⚙️ Config'!$A$4:$B$13,2,0),"")</f>
        <v/>
      </c>
      <c r="AQ42" s="14" t="str">
        <f aca="false">IFERROR(VLOOKUP(TRIM('📥 Respostas'!AT42),'⚙️ Config'!$A$4:$B$13,2,0),"")</f>
        <v/>
      </c>
      <c r="AR42" s="14" t="str">
        <f aca="false">IFERROR(VLOOKUP(TRIM('📥 Respostas'!AU42),'⚙️ Config'!$A$4:$B$13,2,0),"")</f>
        <v/>
      </c>
    </row>
    <row r="43" customFormat="false" ht="15" hidden="false" customHeight="false" outlineLevel="0" collapsed="false">
      <c r="A43" s="15" t="str">
        <f aca="false">IF(ISBLANK('📥 Respostas'!D43),"",ROW()-3)</f>
        <v/>
      </c>
      <c r="B43" s="15" t="n">
        <f aca="false">'📥 Respostas'!D43</f>
        <v>0</v>
      </c>
      <c r="C43" s="5" t="n">
        <f aca="false">'📥 Respostas'!C43</f>
        <v>0</v>
      </c>
      <c r="D43" s="14" t="str">
        <f aca="false">IFERROR(VLOOKUP(TRIM('📥 Respostas'!G43),'⚙️ Config'!$A$4:$B$13,2,0),"")</f>
        <v/>
      </c>
      <c r="E43" s="14" t="str">
        <f aca="false">IFERROR(VLOOKUP(TRIM('📥 Respostas'!H43),'⚙️ Config'!$A$4:$B$13,2,0),"")</f>
        <v/>
      </c>
      <c r="F43" s="14" t="str">
        <f aca="false">IFERROR(VLOOKUP(TRIM('📥 Respostas'!I43),'⚙️ Config'!$A$4:$B$13,2,0),"")</f>
        <v/>
      </c>
      <c r="G43" s="14" t="str">
        <f aca="false">IFERROR(VLOOKUP(TRIM('📥 Respostas'!J43),'⚙️ Config'!$A$4:$B$13,2,0),"")</f>
        <v/>
      </c>
      <c r="H43" s="14" t="str">
        <f aca="false">IFERROR(VLOOKUP(TRIM('📥 Respostas'!K43),'⚙️ Config'!$A$4:$B$13,2,0),"")</f>
        <v/>
      </c>
      <c r="I43" s="14" t="str">
        <f aca="false">IFERROR(VLOOKUP(TRIM('📥 Respostas'!L43),'⚙️ Config'!$A$4:$B$13,2,0),"")</f>
        <v/>
      </c>
      <c r="J43" s="14" t="str">
        <f aca="false">IFERROR(VLOOKUP(TRIM('📥 Respostas'!M43),'⚙️ Config'!$A$4:$B$13,2,0),"")</f>
        <v/>
      </c>
      <c r="K43" s="14" t="str">
        <f aca="false">IFERROR(VLOOKUP(TRIM('📥 Respostas'!N43),'⚙️ Config'!$A$4:$B$13,2,0),"")</f>
        <v/>
      </c>
      <c r="L43" s="14" t="str">
        <f aca="false">IFERROR(VLOOKUP(TRIM('📥 Respostas'!O43),'⚙️ Config'!$A$4:$B$13,2,0),"")</f>
        <v/>
      </c>
      <c r="M43" s="14" t="str">
        <f aca="false">IFERROR(VLOOKUP(TRIM('📥 Respostas'!P43),'⚙️ Config'!$A$4:$B$13,2,0),"")</f>
        <v/>
      </c>
      <c r="N43" s="14" t="str">
        <f aca="false">IFERROR(VLOOKUP(TRIM('📥 Respostas'!Q43),'⚙️ Config'!$A$4:$B$13,2,0),"")</f>
        <v/>
      </c>
      <c r="O43" s="14" t="str">
        <f aca="false">IFERROR(VLOOKUP(TRIM('📥 Respostas'!R43),'⚙️ Config'!$A$4:$B$13,2,0),"")</f>
        <v/>
      </c>
      <c r="P43" s="14" t="str">
        <f aca="false">IFERROR(VLOOKUP(TRIM('📥 Respostas'!S43),'⚙️ Config'!$A$4:$B$13,2,0),"")</f>
        <v/>
      </c>
      <c r="Q43" s="14" t="str">
        <f aca="false">IFERROR(VLOOKUP(TRIM('📥 Respostas'!T43),'⚙️ Config'!$A$4:$B$13,2,0),"")</f>
        <v/>
      </c>
      <c r="R43" s="14" t="str">
        <f aca="false">IFERROR(VLOOKUP(TRIM('📥 Respostas'!U43),'⚙️ Config'!$A$4:$B$13,2,0),"")</f>
        <v/>
      </c>
      <c r="S43" s="14" t="str">
        <f aca="false">IFERROR(VLOOKUP(TRIM('📥 Respostas'!V43),'⚙️ Config'!$A$4:$B$13,2,0),"")</f>
        <v/>
      </c>
      <c r="T43" s="14" t="str">
        <f aca="false">IFERROR(VLOOKUP(TRIM('📥 Respostas'!W43),'⚙️ Config'!$A$4:$B$13,2,0),"")</f>
        <v/>
      </c>
      <c r="U43" s="14" t="str">
        <f aca="false">IFERROR(VLOOKUP(TRIM('📥 Respostas'!X43),'⚙️ Config'!$A$4:$B$13,2,0),"")</f>
        <v/>
      </c>
      <c r="V43" s="14" t="str">
        <f aca="false">IFERROR(VLOOKUP(TRIM('📥 Respostas'!Y43),'⚙️ Config'!$A$4:$B$13,2,0),"")</f>
        <v/>
      </c>
      <c r="W43" s="14" t="str">
        <f aca="false">IFERROR(VLOOKUP(TRIM('📥 Respostas'!Z43),'⚙️ Config'!$A$4:$B$13,2,0),"")</f>
        <v/>
      </c>
      <c r="X43" s="14" t="str">
        <f aca="false">IFERROR(VLOOKUP(TRIM('📥 Respostas'!AA43),'⚙️ Config'!$A$4:$B$13,2,0),"")</f>
        <v/>
      </c>
      <c r="Y43" s="14" t="str">
        <f aca="false">IFERROR(VLOOKUP(TRIM('📥 Respostas'!AB43),'⚙️ Config'!$A$4:$B$13,2,0),"")</f>
        <v/>
      </c>
      <c r="Z43" s="14" t="str">
        <f aca="false">IFERROR(VLOOKUP(TRIM('📥 Respostas'!AC43),'⚙️ Config'!$A$4:$B$13,2,0),"")</f>
        <v/>
      </c>
      <c r="AA43" s="14" t="str">
        <f aca="false">IFERROR(VLOOKUP(TRIM('📥 Respostas'!AD43),'⚙️ Config'!$A$4:$B$13,2,0),"")</f>
        <v/>
      </c>
      <c r="AB43" s="14" t="str">
        <f aca="false">IFERROR(VLOOKUP(TRIM('📥 Respostas'!AE43),'⚙️ Config'!$A$4:$B$13,2,0),"")</f>
        <v/>
      </c>
      <c r="AC43" s="14" t="str">
        <f aca="false">IFERROR(VLOOKUP(TRIM('📥 Respostas'!AF43),'⚙️ Config'!$A$4:$B$13,2,0),"")</f>
        <v/>
      </c>
      <c r="AD43" s="14" t="str">
        <f aca="false">IFERROR(VLOOKUP(TRIM('📥 Respostas'!AG43),'⚙️ Config'!$A$4:$B$13,2,0),"")</f>
        <v/>
      </c>
      <c r="AE43" s="14" t="str">
        <f aca="false">IFERROR(VLOOKUP(TRIM('📥 Respostas'!AH43),'⚙️ Config'!$A$4:$B$13,2,0),"")</f>
        <v/>
      </c>
      <c r="AF43" s="14" t="str">
        <f aca="false">IFERROR(VLOOKUP(TRIM('📥 Respostas'!AI43),'⚙️ Config'!$C$4:$D$11,2,0),"")</f>
        <v/>
      </c>
      <c r="AG43" s="14" t="str">
        <f aca="false">IFERROR(VLOOKUP(TRIM('📥 Respostas'!AJ43),'⚙️ Config'!$A$4:$B$13,2,0),"")</f>
        <v/>
      </c>
      <c r="AH43" s="14" t="str">
        <f aca="false">IFERROR(VLOOKUP(TRIM('📥 Respostas'!AK43),'⚙️ Config'!$A$4:$B$13,2,0),"")</f>
        <v/>
      </c>
      <c r="AI43" s="14" t="str">
        <f aca="false">IFERROR(VLOOKUP(TRIM('📥 Respostas'!AL43),'⚙️ Config'!$A$4:$B$13,2,0),"")</f>
        <v/>
      </c>
      <c r="AJ43" s="14" t="str">
        <f aca="false">IFERROR(VLOOKUP(TRIM('📥 Respostas'!AM43),'⚙️ Config'!$A$4:$B$13,2,0),"")</f>
        <v/>
      </c>
      <c r="AK43" s="14" t="str">
        <f aca="false">IFERROR(VLOOKUP(TRIM('📥 Respostas'!AN43),'⚙️ Config'!$A$4:$B$13,2,0),"")</f>
        <v/>
      </c>
      <c r="AL43" s="14" t="str">
        <f aca="false">IFERROR(VLOOKUP(TRIM('📥 Respostas'!AO43),'⚙️ Config'!$A$4:$B$13,2,0),"")</f>
        <v/>
      </c>
      <c r="AM43" s="14" t="str">
        <f aca="false">IFERROR(VLOOKUP(TRIM('📥 Respostas'!AP43),'⚙️ Config'!$A$4:$B$13,2,0),"")</f>
        <v/>
      </c>
      <c r="AN43" s="14" t="str">
        <f aca="false">IFERROR(VLOOKUP(TRIM('📥 Respostas'!AQ43),'⚙️ Config'!$A$4:$B$13,2,0),"")</f>
        <v/>
      </c>
      <c r="AO43" s="14" t="str">
        <f aca="false">IFERROR(VLOOKUP(TRIM('📥 Respostas'!AR43),'⚙️ Config'!$A$4:$B$13,2,0),"")</f>
        <v/>
      </c>
      <c r="AP43" s="14" t="str">
        <f aca="false">IFERROR(VLOOKUP(TRIM('📥 Respostas'!AS43),'⚙️ Config'!$A$4:$B$13,2,0),"")</f>
        <v/>
      </c>
      <c r="AQ43" s="14" t="str">
        <f aca="false">IFERROR(VLOOKUP(TRIM('📥 Respostas'!AT43),'⚙️ Config'!$A$4:$B$13,2,0),"")</f>
        <v/>
      </c>
      <c r="AR43" s="14" t="str">
        <f aca="false">IFERROR(VLOOKUP(TRIM('📥 Respostas'!AU43),'⚙️ Config'!$A$4:$B$13,2,0),"")</f>
        <v/>
      </c>
    </row>
    <row r="44" customFormat="false" ht="15" hidden="false" customHeight="false" outlineLevel="0" collapsed="false">
      <c r="A44" s="12" t="str">
        <f aca="false">IF(ISBLANK('📥 Respostas'!D44),"",ROW()-3)</f>
        <v/>
      </c>
      <c r="B44" s="12" t="n">
        <f aca="false">'📥 Respostas'!D44</f>
        <v>0</v>
      </c>
      <c r="C44" s="13" t="n">
        <f aca="false">'📥 Respostas'!C44</f>
        <v>0</v>
      </c>
      <c r="D44" s="14" t="str">
        <f aca="false">IFERROR(VLOOKUP(TRIM('📥 Respostas'!G44),'⚙️ Config'!$A$4:$B$13,2,0),"")</f>
        <v/>
      </c>
      <c r="E44" s="14" t="str">
        <f aca="false">IFERROR(VLOOKUP(TRIM('📥 Respostas'!H44),'⚙️ Config'!$A$4:$B$13,2,0),"")</f>
        <v/>
      </c>
      <c r="F44" s="14" t="str">
        <f aca="false">IFERROR(VLOOKUP(TRIM('📥 Respostas'!I44),'⚙️ Config'!$A$4:$B$13,2,0),"")</f>
        <v/>
      </c>
      <c r="G44" s="14" t="str">
        <f aca="false">IFERROR(VLOOKUP(TRIM('📥 Respostas'!J44),'⚙️ Config'!$A$4:$B$13,2,0),"")</f>
        <v/>
      </c>
      <c r="H44" s="14" t="str">
        <f aca="false">IFERROR(VLOOKUP(TRIM('📥 Respostas'!K44),'⚙️ Config'!$A$4:$B$13,2,0),"")</f>
        <v/>
      </c>
      <c r="I44" s="14" t="str">
        <f aca="false">IFERROR(VLOOKUP(TRIM('📥 Respostas'!L44),'⚙️ Config'!$A$4:$B$13,2,0),"")</f>
        <v/>
      </c>
      <c r="J44" s="14" t="str">
        <f aca="false">IFERROR(VLOOKUP(TRIM('📥 Respostas'!M44),'⚙️ Config'!$A$4:$B$13,2,0),"")</f>
        <v/>
      </c>
      <c r="K44" s="14" t="str">
        <f aca="false">IFERROR(VLOOKUP(TRIM('📥 Respostas'!N44),'⚙️ Config'!$A$4:$B$13,2,0),"")</f>
        <v/>
      </c>
      <c r="L44" s="14" t="str">
        <f aca="false">IFERROR(VLOOKUP(TRIM('📥 Respostas'!O44),'⚙️ Config'!$A$4:$B$13,2,0),"")</f>
        <v/>
      </c>
      <c r="M44" s="14" t="str">
        <f aca="false">IFERROR(VLOOKUP(TRIM('📥 Respostas'!P44),'⚙️ Config'!$A$4:$B$13,2,0),"")</f>
        <v/>
      </c>
      <c r="N44" s="14" t="str">
        <f aca="false">IFERROR(VLOOKUP(TRIM('📥 Respostas'!Q44),'⚙️ Config'!$A$4:$B$13,2,0),"")</f>
        <v/>
      </c>
      <c r="O44" s="14" t="str">
        <f aca="false">IFERROR(VLOOKUP(TRIM('📥 Respostas'!R44),'⚙️ Config'!$A$4:$B$13,2,0),"")</f>
        <v/>
      </c>
      <c r="P44" s="14" t="str">
        <f aca="false">IFERROR(VLOOKUP(TRIM('📥 Respostas'!S44),'⚙️ Config'!$A$4:$B$13,2,0),"")</f>
        <v/>
      </c>
      <c r="Q44" s="14" t="str">
        <f aca="false">IFERROR(VLOOKUP(TRIM('📥 Respostas'!T44),'⚙️ Config'!$A$4:$B$13,2,0),"")</f>
        <v/>
      </c>
      <c r="R44" s="14" t="str">
        <f aca="false">IFERROR(VLOOKUP(TRIM('📥 Respostas'!U44),'⚙️ Config'!$A$4:$B$13,2,0),"")</f>
        <v/>
      </c>
      <c r="S44" s="14" t="str">
        <f aca="false">IFERROR(VLOOKUP(TRIM('📥 Respostas'!V44),'⚙️ Config'!$A$4:$B$13,2,0),"")</f>
        <v/>
      </c>
      <c r="T44" s="14" t="str">
        <f aca="false">IFERROR(VLOOKUP(TRIM('📥 Respostas'!W44),'⚙️ Config'!$A$4:$B$13,2,0),"")</f>
        <v/>
      </c>
      <c r="U44" s="14" t="str">
        <f aca="false">IFERROR(VLOOKUP(TRIM('📥 Respostas'!X44),'⚙️ Config'!$A$4:$B$13,2,0),"")</f>
        <v/>
      </c>
      <c r="V44" s="14" t="str">
        <f aca="false">IFERROR(VLOOKUP(TRIM('📥 Respostas'!Y44),'⚙️ Config'!$A$4:$B$13,2,0),"")</f>
        <v/>
      </c>
      <c r="W44" s="14" t="str">
        <f aca="false">IFERROR(VLOOKUP(TRIM('📥 Respostas'!Z44),'⚙️ Config'!$A$4:$B$13,2,0),"")</f>
        <v/>
      </c>
      <c r="X44" s="14" t="str">
        <f aca="false">IFERROR(VLOOKUP(TRIM('📥 Respostas'!AA44),'⚙️ Config'!$A$4:$B$13,2,0),"")</f>
        <v/>
      </c>
      <c r="Y44" s="14" t="str">
        <f aca="false">IFERROR(VLOOKUP(TRIM('📥 Respostas'!AB44),'⚙️ Config'!$A$4:$B$13,2,0),"")</f>
        <v/>
      </c>
      <c r="Z44" s="14" t="str">
        <f aca="false">IFERROR(VLOOKUP(TRIM('📥 Respostas'!AC44),'⚙️ Config'!$A$4:$B$13,2,0),"")</f>
        <v/>
      </c>
      <c r="AA44" s="14" t="str">
        <f aca="false">IFERROR(VLOOKUP(TRIM('📥 Respostas'!AD44),'⚙️ Config'!$A$4:$B$13,2,0),"")</f>
        <v/>
      </c>
      <c r="AB44" s="14" t="str">
        <f aca="false">IFERROR(VLOOKUP(TRIM('📥 Respostas'!AE44),'⚙️ Config'!$A$4:$B$13,2,0),"")</f>
        <v/>
      </c>
      <c r="AC44" s="14" t="str">
        <f aca="false">IFERROR(VLOOKUP(TRIM('📥 Respostas'!AF44),'⚙️ Config'!$A$4:$B$13,2,0),"")</f>
        <v/>
      </c>
      <c r="AD44" s="14" t="str">
        <f aca="false">IFERROR(VLOOKUP(TRIM('📥 Respostas'!AG44),'⚙️ Config'!$A$4:$B$13,2,0),"")</f>
        <v/>
      </c>
      <c r="AE44" s="14" t="str">
        <f aca="false">IFERROR(VLOOKUP(TRIM('📥 Respostas'!AH44),'⚙️ Config'!$A$4:$B$13,2,0),"")</f>
        <v/>
      </c>
      <c r="AF44" s="14" t="str">
        <f aca="false">IFERROR(VLOOKUP(TRIM('📥 Respostas'!AI44),'⚙️ Config'!$C$4:$D$11,2,0),"")</f>
        <v/>
      </c>
      <c r="AG44" s="14" t="str">
        <f aca="false">IFERROR(VLOOKUP(TRIM('📥 Respostas'!AJ44),'⚙️ Config'!$A$4:$B$13,2,0),"")</f>
        <v/>
      </c>
      <c r="AH44" s="14" t="str">
        <f aca="false">IFERROR(VLOOKUP(TRIM('📥 Respostas'!AK44),'⚙️ Config'!$A$4:$B$13,2,0),"")</f>
        <v/>
      </c>
      <c r="AI44" s="14" t="str">
        <f aca="false">IFERROR(VLOOKUP(TRIM('📥 Respostas'!AL44),'⚙️ Config'!$A$4:$B$13,2,0),"")</f>
        <v/>
      </c>
      <c r="AJ44" s="14" t="str">
        <f aca="false">IFERROR(VLOOKUP(TRIM('📥 Respostas'!AM44),'⚙️ Config'!$A$4:$B$13,2,0),"")</f>
        <v/>
      </c>
      <c r="AK44" s="14" t="str">
        <f aca="false">IFERROR(VLOOKUP(TRIM('📥 Respostas'!AN44),'⚙️ Config'!$A$4:$B$13,2,0),"")</f>
        <v/>
      </c>
      <c r="AL44" s="14" t="str">
        <f aca="false">IFERROR(VLOOKUP(TRIM('📥 Respostas'!AO44),'⚙️ Config'!$A$4:$B$13,2,0),"")</f>
        <v/>
      </c>
      <c r="AM44" s="14" t="str">
        <f aca="false">IFERROR(VLOOKUP(TRIM('📥 Respostas'!AP44),'⚙️ Config'!$A$4:$B$13,2,0),"")</f>
        <v/>
      </c>
      <c r="AN44" s="14" t="str">
        <f aca="false">IFERROR(VLOOKUP(TRIM('📥 Respostas'!AQ44),'⚙️ Config'!$A$4:$B$13,2,0),"")</f>
        <v/>
      </c>
      <c r="AO44" s="14" t="str">
        <f aca="false">IFERROR(VLOOKUP(TRIM('📥 Respostas'!AR44),'⚙️ Config'!$A$4:$B$13,2,0),"")</f>
        <v/>
      </c>
      <c r="AP44" s="14" t="str">
        <f aca="false">IFERROR(VLOOKUP(TRIM('📥 Respostas'!AS44),'⚙️ Config'!$A$4:$B$13,2,0),"")</f>
        <v/>
      </c>
      <c r="AQ44" s="14" t="str">
        <f aca="false">IFERROR(VLOOKUP(TRIM('📥 Respostas'!AT44),'⚙️ Config'!$A$4:$B$13,2,0),"")</f>
        <v/>
      </c>
      <c r="AR44" s="14" t="str">
        <f aca="false">IFERROR(VLOOKUP(TRIM('📥 Respostas'!AU44),'⚙️ Config'!$A$4:$B$13,2,0),"")</f>
        <v/>
      </c>
    </row>
    <row r="45" customFormat="false" ht="15" hidden="false" customHeight="false" outlineLevel="0" collapsed="false">
      <c r="A45" s="15" t="str">
        <f aca="false">IF(ISBLANK('📥 Respostas'!D45),"",ROW()-3)</f>
        <v/>
      </c>
      <c r="B45" s="15" t="n">
        <f aca="false">'📥 Respostas'!D45</f>
        <v>0</v>
      </c>
      <c r="C45" s="5" t="n">
        <f aca="false">'📥 Respostas'!C45</f>
        <v>0</v>
      </c>
      <c r="D45" s="14" t="str">
        <f aca="false">IFERROR(VLOOKUP(TRIM('📥 Respostas'!G45),'⚙️ Config'!$A$4:$B$13,2,0),"")</f>
        <v/>
      </c>
      <c r="E45" s="14" t="str">
        <f aca="false">IFERROR(VLOOKUP(TRIM('📥 Respostas'!H45),'⚙️ Config'!$A$4:$B$13,2,0),"")</f>
        <v/>
      </c>
      <c r="F45" s="14" t="str">
        <f aca="false">IFERROR(VLOOKUP(TRIM('📥 Respostas'!I45),'⚙️ Config'!$A$4:$B$13,2,0),"")</f>
        <v/>
      </c>
      <c r="G45" s="14" t="str">
        <f aca="false">IFERROR(VLOOKUP(TRIM('📥 Respostas'!J45),'⚙️ Config'!$A$4:$B$13,2,0),"")</f>
        <v/>
      </c>
      <c r="H45" s="14" t="str">
        <f aca="false">IFERROR(VLOOKUP(TRIM('📥 Respostas'!K45),'⚙️ Config'!$A$4:$B$13,2,0),"")</f>
        <v/>
      </c>
      <c r="I45" s="14" t="str">
        <f aca="false">IFERROR(VLOOKUP(TRIM('📥 Respostas'!L45),'⚙️ Config'!$A$4:$B$13,2,0),"")</f>
        <v/>
      </c>
      <c r="J45" s="14" t="str">
        <f aca="false">IFERROR(VLOOKUP(TRIM('📥 Respostas'!M45),'⚙️ Config'!$A$4:$B$13,2,0),"")</f>
        <v/>
      </c>
      <c r="K45" s="14" t="str">
        <f aca="false">IFERROR(VLOOKUP(TRIM('📥 Respostas'!N45),'⚙️ Config'!$A$4:$B$13,2,0),"")</f>
        <v/>
      </c>
      <c r="L45" s="14" t="str">
        <f aca="false">IFERROR(VLOOKUP(TRIM('📥 Respostas'!O45),'⚙️ Config'!$A$4:$B$13,2,0),"")</f>
        <v/>
      </c>
      <c r="M45" s="14" t="str">
        <f aca="false">IFERROR(VLOOKUP(TRIM('📥 Respostas'!P45),'⚙️ Config'!$A$4:$B$13,2,0),"")</f>
        <v/>
      </c>
      <c r="N45" s="14" t="str">
        <f aca="false">IFERROR(VLOOKUP(TRIM('📥 Respostas'!Q45),'⚙️ Config'!$A$4:$B$13,2,0),"")</f>
        <v/>
      </c>
      <c r="O45" s="14" t="str">
        <f aca="false">IFERROR(VLOOKUP(TRIM('📥 Respostas'!R45),'⚙️ Config'!$A$4:$B$13,2,0),"")</f>
        <v/>
      </c>
      <c r="P45" s="14" t="str">
        <f aca="false">IFERROR(VLOOKUP(TRIM('📥 Respostas'!S45),'⚙️ Config'!$A$4:$B$13,2,0),"")</f>
        <v/>
      </c>
      <c r="Q45" s="14" t="str">
        <f aca="false">IFERROR(VLOOKUP(TRIM('📥 Respostas'!T45),'⚙️ Config'!$A$4:$B$13,2,0),"")</f>
        <v/>
      </c>
      <c r="R45" s="14" t="str">
        <f aca="false">IFERROR(VLOOKUP(TRIM('📥 Respostas'!U45),'⚙️ Config'!$A$4:$B$13,2,0),"")</f>
        <v/>
      </c>
      <c r="S45" s="14" t="str">
        <f aca="false">IFERROR(VLOOKUP(TRIM('📥 Respostas'!V45),'⚙️ Config'!$A$4:$B$13,2,0),"")</f>
        <v/>
      </c>
      <c r="T45" s="14" t="str">
        <f aca="false">IFERROR(VLOOKUP(TRIM('📥 Respostas'!W45),'⚙️ Config'!$A$4:$B$13,2,0),"")</f>
        <v/>
      </c>
      <c r="U45" s="14" t="str">
        <f aca="false">IFERROR(VLOOKUP(TRIM('📥 Respostas'!X45),'⚙️ Config'!$A$4:$B$13,2,0),"")</f>
        <v/>
      </c>
      <c r="V45" s="14" t="str">
        <f aca="false">IFERROR(VLOOKUP(TRIM('📥 Respostas'!Y45),'⚙️ Config'!$A$4:$B$13,2,0),"")</f>
        <v/>
      </c>
      <c r="W45" s="14" t="str">
        <f aca="false">IFERROR(VLOOKUP(TRIM('📥 Respostas'!Z45),'⚙️ Config'!$A$4:$B$13,2,0),"")</f>
        <v/>
      </c>
      <c r="X45" s="14" t="str">
        <f aca="false">IFERROR(VLOOKUP(TRIM('📥 Respostas'!AA45),'⚙️ Config'!$A$4:$B$13,2,0),"")</f>
        <v/>
      </c>
      <c r="Y45" s="14" t="str">
        <f aca="false">IFERROR(VLOOKUP(TRIM('📥 Respostas'!AB45),'⚙️ Config'!$A$4:$B$13,2,0),"")</f>
        <v/>
      </c>
      <c r="Z45" s="14" t="str">
        <f aca="false">IFERROR(VLOOKUP(TRIM('📥 Respostas'!AC45),'⚙️ Config'!$A$4:$B$13,2,0),"")</f>
        <v/>
      </c>
      <c r="AA45" s="14" t="str">
        <f aca="false">IFERROR(VLOOKUP(TRIM('📥 Respostas'!AD45),'⚙️ Config'!$A$4:$B$13,2,0),"")</f>
        <v/>
      </c>
      <c r="AB45" s="14" t="str">
        <f aca="false">IFERROR(VLOOKUP(TRIM('📥 Respostas'!AE45),'⚙️ Config'!$A$4:$B$13,2,0),"")</f>
        <v/>
      </c>
      <c r="AC45" s="14" t="str">
        <f aca="false">IFERROR(VLOOKUP(TRIM('📥 Respostas'!AF45),'⚙️ Config'!$A$4:$B$13,2,0),"")</f>
        <v/>
      </c>
      <c r="AD45" s="14" t="str">
        <f aca="false">IFERROR(VLOOKUP(TRIM('📥 Respostas'!AG45),'⚙️ Config'!$A$4:$B$13,2,0),"")</f>
        <v/>
      </c>
      <c r="AE45" s="14" t="str">
        <f aca="false">IFERROR(VLOOKUP(TRIM('📥 Respostas'!AH45),'⚙️ Config'!$A$4:$B$13,2,0),"")</f>
        <v/>
      </c>
      <c r="AF45" s="14" t="str">
        <f aca="false">IFERROR(VLOOKUP(TRIM('📥 Respostas'!AI45),'⚙️ Config'!$C$4:$D$11,2,0),"")</f>
        <v/>
      </c>
      <c r="AG45" s="14" t="str">
        <f aca="false">IFERROR(VLOOKUP(TRIM('📥 Respostas'!AJ45),'⚙️ Config'!$A$4:$B$13,2,0),"")</f>
        <v/>
      </c>
      <c r="AH45" s="14" t="str">
        <f aca="false">IFERROR(VLOOKUP(TRIM('📥 Respostas'!AK45),'⚙️ Config'!$A$4:$B$13,2,0),"")</f>
        <v/>
      </c>
      <c r="AI45" s="14" t="str">
        <f aca="false">IFERROR(VLOOKUP(TRIM('📥 Respostas'!AL45),'⚙️ Config'!$A$4:$B$13,2,0),"")</f>
        <v/>
      </c>
      <c r="AJ45" s="14" t="str">
        <f aca="false">IFERROR(VLOOKUP(TRIM('📥 Respostas'!AM45),'⚙️ Config'!$A$4:$B$13,2,0),"")</f>
        <v/>
      </c>
      <c r="AK45" s="14" t="str">
        <f aca="false">IFERROR(VLOOKUP(TRIM('📥 Respostas'!AN45),'⚙️ Config'!$A$4:$B$13,2,0),"")</f>
        <v/>
      </c>
      <c r="AL45" s="14" t="str">
        <f aca="false">IFERROR(VLOOKUP(TRIM('📥 Respostas'!AO45),'⚙️ Config'!$A$4:$B$13,2,0),"")</f>
        <v/>
      </c>
      <c r="AM45" s="14" t="str">
        <f aca="false">IFERROR(VLOOKUP(TRIM('📥 Respostas'!AP45),'⚙️ Config'!$A$4:$B$13,2,0),"")</f>
        <v/>
      </c>
      <c r="AN45" s="14" t="str">
        <f aca="false">IFERROR(VLOOKUP(TRIM('📥 Respostas'!AQ45),'⚙️ Config'!$A$4:$B$13,2,0),"")</f>
        <v/>
      </c>
      <c r="AO45" s="14" t="str">
        <f aca="false">IFERROR(VLOOKUP(TRIM('📥 Respostas'!AR45),'⚙️ Config'!$A$4:$B$13,2,0),"")</f>
        <v/>
      </c>
      <c r="AP45" s="14" t="str">
        <f aca="false">IFERROR(VLOOKUP(TRIM('📥 Respostas'!AS45),'⚙️ Config'!$A$4:$B$13,2,0),"")</f>
        <v/>
      </c>
      <c r="AQ45" s="14" t="str">
        <f aca="false">IFERROR(VLOOKUP(TRIM('📥 Respostas'!AT45),'⚙️ Config'!$A$4:$B$13,2,0),"")</f>
        <v/>
      </c>
      <c r="AR45" s="14" t="str">
        <f aca="false">IFERROR(VLOOKUP(TRIM('📥 Respostas'!AU45),'⚙️ Config'!$A$4:$B$13,2,0),"")</f>
        <v/>
      </c>
    </row>
    <row r="46" customFormat="false" ht="15" hidden="false" customHeight="false" outlineLevel="0" collapsed="false">
      <c r="A46" s="12" t="str">
        <f aca="false">IF(ISBLANK('📥 Respostas'!D46),"",ROW()-3)</f>
        <v/>
      </c>
      <c r="B46" s="12" t="n">
        <f aca="false">'📥 Respostas'!D46</f>
        <v>0</v>
      </c>
      <c r="C46" s="13" t="n">
        <f aca="false">'📥 Respostas'!C46</f>
        <v>0</v>
      </c>
      <c r="D46" s="14" t="str">
        <f aca="false">IFERROR(VLOOKUP(TRIM('📥 Respostas'!G46),'⚙️ Config'!$A$4:$B$13,2,0),"")</f>
        <v/>
      </c>
      <c r="E46" s="14" t="str">
        <f aca="false">IFERROR(VLOOKUP(TRIM('📥 Respostas'!H46),'⚙️ Config'!$A$4:$B$13,2,0),"")</f>
        <v/>
      </c>
      <c r="F46" s="14" t="str">
        <f aca="false">IFERROR(VLOOKUP(TRIM('📥 Respostas'!I46),'⚙️ Config'!$A$4:$B$13,2,0),"")</f>
        <v/>
      </c>
      <c r="G46" s="14" t="str">
        <f aca="false">IFERROR(VLOOKUP(TRIM('📥 Respostas'!J46),'⚙️ Config'!$A$4:$B$13,2,0),"")</f>
        <v/>
      </c>
      <c r="H46" s="14" t="str">
        <f aca="false">IFERROR(VLOOKUP(TRIM('📥 Respostas'!K46),'⚙️ Config'!$A$4:$B$13,2,0),"")</f>
        <v/>
      </c>
      <c r="I46" s="14" t="str">
        <f aca="false">IFERROR(VLOOKUP(TRIM('📥 Respostas'!L46),'⚙️ Config'!$A$4:$B$13,2,0),"")</f>
        <v/>
      </c>
      <c r="J46" s="14" t="str">
        <f aca="false">IFERROR(VLOOKUP(TRIM('📥 Respostas'!M46),'⚙️ Config'!$A$4:$B$13,2,0),"")</f>
        <v/>
      </c>
      <c r="K46" s="14" t="str">
        <f aca="false">IFERROR(VLOOKUP(TRIM('📥 Respostas'!N46),'⚙️ Config'!$A$4:$B$13,2,0),"")</f>
        <v/>
      </c>
      <c r="L46" s="14" t="str">
        <f aca="false">IFERROR(VLOOKUP(TRIM('📥 Respostas'!O46),'⚙️ Config'!$A$4:$B$13,2,0),"")</f>
        <v/>
      </c>
      <c r="M46" s="14" t="str">
        <f aca="false">IFERROR(VLOOKUP(TRIM('📥 Respostas'!P46),'⚙️ Config'!$A$4:$B$13,2,0),"")</f>
        <v/>
      </c>
      <c r="N46" s="14" t="str">
        <f aca="false">IFERROR(VLOOKUP(TRIM('📥 Respostas'!Q46),'⚙️ Config'!$A$4:$B$13,2,0),"")</f>
        <v/>
      </c>
      <c r="O46" s="14" t="str">
        <f aca="false">IFERROR(VLOOKUP(TRIM('📥 Respostas'!R46),'⚙️ Config'!$A$4:$B$13,2,0),"")</f>
        <v/>
      </c>
      <c r="P46" s="14" t="str">
        <f aca="false">IFERROR(VLOOKUP(TRIM('📥 Respostas'!S46),'⚙️ Config'!$A$4:$B$13,2,0),"")</f>
        <v/>
      </c>
      <c r="Q46" s="14" t="str">
        <f aca="false">IFERROR(VLOOKUP(TRIM('📥 Respostas'!T46),'⚙️ Config'!$A$4:$B$13,2,0),"")</f>
        <v/>
      </c>
      <c r="R46" s="14" t="str">
        <f aca="false">IFERROR(VLOOKUP(TRIM('📥 Respostas'!U46),'⚙️ Config'!$A$4:$B$13,2,0),"")</f>
        <v/>
      </c>
      <c r="S46" s="14" t="str">
        <f aca="false">IFERROR(VLOOKUP(TRIM('📥 Respostas'!V46),'⚙️ Config'!$A$4:$B$13,2,0),"")</f>
        <v/>
      </c>
      <c r="T46" s="14" t="str">
        <f aca="false">IFERROR(VLOOKUP(TRIM('📥 Respostas'!W46),'⚙️ Config'!$A$4:$B$13,2,0),"")</f>
        <v/>
      </c>
      <c r="U46" s="14" t="str">
        <f aca="false">IFERROR(VLOOKUP(TRIM('📥 Respostas'!X46),'⚙️ Config'!$A$4:$B$13,2,0),"")</f>
        <v/>
      </c>
      <c r="V46" s="14" t="str">
        <f aca="false">IFERROR(VLOOKUP(TRIM('📥 Respostas'!Y46),'⚙️ Config'!$A$4:$B$13,2,0),"")</f>
        <v/>
      </c>
      <c r="W46" s="14" t="str">
        <f aca="false">IFERROR(VLOOKUP(TRIM('📥 Respostas'!Z46),'⚙️ Config'!$A$4:$B$13,2,0),"")</f>
        <v/>
      </c>
      <c r="X46" s="14" t="str">
        <f aca="false">IFERROR(VLOOKUP(TRIM('📥 Respostas'!AA46),'⚙️ Config'!$A$4:$B$13,2,0),"")</f>
        <v/>
      </c>
      <c r="Y46" s="14" t="str">
        <f aca="false">IFERROR(VLOOKUP(TRIM('📥 Respostas'!AB46),'⚙️ Config'!$A$4:$B$13,2,0),"")</f>
        <v/>
      </c>
      <c r="Z46" s="14" t="str">
        <f aca="false">IFERROR(VLOOKUP(TRIM('📥 Respostas'!AC46),'⚙️ Config'!$A$4:$B$13,2,0),"")</f>
        <v/>
      </c>
      <c r="AA46" s="14" t="str">
        <f aca="false">IFERROR(VLOOKUP(TRIM('📥 Respostas'!AD46),'⚙️ Config'!$A$4:$B$13,2,0),"")</f>
        <v/>
      </c>
      <c r="AB46" s="14" t="str">
        <f aca="false">IFERROR(VLOOKUP(TRIM('📥 Respostas'!AE46),'⚙️ Config'!$A$4:$B$13,2,0),"")</f>
        <v/>
      </c>
      <c r="AC46" s="14" t="str">
        <f aca="false">IFERROR(VLOOKUP(TRIM('📥 Respostas'!AF46),'⚙️ Config'!$A$4:$B$13,2,0),"")</f>
        <v/>
      </c>
      <c r="AD46" s="14" t="str">
        <f aca="false">IFERROR(VLOOKUP(TRIM('📥 Respostas'!AG46),'⚙️ Config'!$A$4:$B$13,2,0),"")</f>
        <v/>
      </c>
      <c r="AE46" s="14" t="str">
        <f aca="false">IFERROR(VLOOKUP(TRIM('📥 Respostas'!AH46),'⚙️ Config'!$A$4:$B$13,2,0),"")</f>
        <v/>
      </c>
      <c r="AF46" s="14" t="str">
        <f aca="false">IFERROR(VLOOKUP(TRIM('📥 Respostas'!AI46),'⚙️ Config'!$C$4:$D$11,2,0),"")</f>
        <v/>
      </c>
      <c r="AG46" s="14" t="str">
        <f aca="false">IFERROR(VLOOKUP(TRIM('📥 Respostas'!AJ46),'⚙️ Config'!$A$4:$B$13,2,0),"")</f>
        <v/>
      </c>
      <c r="AH46" s="14" t="str">
        <f aca="false">IFERROR(VLOOKUP(TRIM('📥 Respostas'!AK46),'⚙️ Config'!$A$4:$B$13,2,0),"")</f>
        <v/>
      </c>
      <c r="AI46" s="14" t="str">
        <f aca="false">IFERROR(VLOOKUP(TRIM('📥 Respostas'!AL46),'⚙️ Config'!$A$4:$B$13,2,0),"")</f>
        <v/>
      </c>
      <c r="AJ46" s="14" t="str">
        <f aca="false">IFERROR(VLOOKUP(TRIM('📥 Respostas'!AM46),'⚙️ Config'!$A$4:$B$13,2,0),"")</f>
        <v/>
      </c>
      <c r="AK46" s="14" t="str">
        <f aca="false">IFERROR(VLOOKUP(TRIM('📥 Respostas'!AN46),'⚙️ Config'!$A$4:$B$13,2,0),"")</f>
        <v/>
      </c>
      <c r="AL46" s="14" t="str">
        <f aca="false">IFERROR(VLOOKUP(TRIM('📥 Respostas'!AO46),'⚙️ Config'!$A$4:$B$13,2,0),"")</f>
        <v/>
      </c>
      <c r="AM46" s="14" t="str">
        <f aca="false">IFERROR(VLOOKUP(TRIM('📥 Respostas'!AP46),'⚙️ Config'!$A$4:$B$13,2,0),"")</f>
        <v/>
      </c>
      <c r="AN46" s="14" t="str">
        <f aca="false">IFERROR(VLOOKUP(TRIM('📥 Respostas'!AQ46),'⚙️ Config'!$A$4:$B$13,2,0),"")</f>
        <v/>
      </c>
      <c r="AO46" s="14" t="str">
        <f aca="false">IFERROR(VLOOKUP(TRIM('📥 Respostas'!AR46),'⚙️ Config'!$A$4:$B$13,2,0),"")</f>
        <v/>
      </c>
      <c r="AP46" s="14" t="str">
        <f aca="false">IFERROR(VLOOKUP(TRIM('📥 Respostas'!AS46),'⚙️ Config'!$A$4:$B$13,2,0),"")</f>
        <v/>
      </c>
      <c r="AQ46" s="14" t="str">
        <f aca="false">IFERROR(VLOOKUP(TRIM('📥 Respostas'!AT46),'⚙️ Config'!$A$4:$B$13,2,0),"")</f>
        <v/>
      </c>
      <c r="AR46" s="14" t="str">
        <f aca="false">IFERROR(VLOOKUP(TRIM('📥 Respostas'!AU46),'⚙️ Config'!$A$4:$B$13,2,0),"")</f>
        <v/>
      </c>
    </row>
    <row r="47" customFormat="false" ht="15" hidden="false" customHeight="false" outlineLevel="0" collapsed="false">
      <c r="A47" s="15" t="str">
        <f aca="false">IF(ISBLANK('📥 Respostas'!D47),"",ROW()-3)</f>
        <v/>
      </c>
      <c r="B47" s="15" t="n">
        <f aca="false">'📥 Respostas'!D47</f>
        <v>0</v>
      </c>
      <c r="C47" s="5" t="n">
        <f aca="false">'📥 Respostas'!C47</f>
        <v>0</v>
      </c>
      <c r="D47" s="14" t="str">
        <f aca="false">IFERROR(VLOOKUP(TRIM('📥 Respostas'!G47),'⚙️ Config'!$A$4:$B$13,2,0),"")</f>
        <v/>
      </c>
      <c r="E47" s="14" t="str">
        <f aca="false">IFERROR(VLOOKUP(TRIM('📥 Respostas'!H47),'⚙️ Config'!$A$4:$B$13,2,0),"")</f>
        <v/>
      </c>
      <c r="F47" s="14" t="str">
        <f aca="false">IFERROR(VLOOKUP(TRIM('📥 Respostas'!I47),'⚙️ Config'!$A$4:$B$13,2,0),"")</f>
        <v/>
      </c>
      <c r="G47" s="14" t="str">
        <f aca="false">IFERROR(VLOOKUP(TRIM('📥 Respostas'!J47),'⚙️ Config'!$A$4:$B$13,2,0),"")</f>
        <v/>
      </c>
      <c r="H47" s="14" t="str">
        <f aca="false">IFERROR(VLOOKUP(TRIM('📥 Respostas'!K47),'⚙️ Config'!$A$4:$B$13,2,0),"")</f>
        <v/>
      </c>
      <c r="I47" s="14" t="str">
        <f aca="false">IFERROR(VLOOKUP(TRIM('📥 Respostas'!L47),'⚙️ Config'!$A$4:$B$13,2,0),"")</f>
        <v/>
      </c>
      <c r="J47" s="14" t="str">
        <f aca="false">IFERROR(VLOOKUP(TRIM('📥 Respostas'!M47),'⚙️ Config'!$A$4:$B$13,2,0),"")</f>
        <v/>
      </c>
      <c r="K47" s="14" t="str">
        <f aca="false">IFERROR(VLOOKUP(TRIM('📥 Respostas'!N47),'⚙️ Config'!$A$4:$B$13,2,0),"")</f>
        <v/>
      </c>
      <c r="L47" s="14" t="str">
        <f aca="false">IFERROR(VLOOKUP(TRIM('📥 Respostas'!O47),'⚙️ Config'!$A$4:$B$13,2,0),"")</f>
        <v/>
      </c>
      <c r="M47" s="14" t="str">
        <f aca="false">IFERROR(VLOOKUP(TRIM('📥 Respostas'!P47),'⚙️ Config'!$A$4:$B$13,2,0),"")</f>
        <v/>
      </c>
      <c r="N47" s="14" t="str">
        <f aca="false">IFERROR(VLOOKUP(TRIM('📥 Respostas'!Q47),'⚙️ Config'!$A$4:$B$13,2,0),"")</f>
        <v/>
      </c>
      <c r="O47" s="14" t="str">
        <f aca="false">IFERROR(VLOOKUP(TRIM('📥 Respostas'!R47),'⚙️ Config'!$A$4:$B$13,2,0),"")</f>
        <v/>
      </c>
      <c r="P47" s="14" t="str">
        <f aca="false">IFERROR(VLOOKUP(TRIM('📥 Respostas'!S47),'⚙️ Config'!$A$4:$B$13,2,0),"")</f>
        <v/>
      </c>
      <c r="Q47" s="14" t="str">
        <f aca="false">IFERROR(VLOOKUP(TRIM('📥 Respostas'!T47),'⚙️ Config'!$A$4:$B$13,2,0),"")</f>
        <v/>
      </c>
      <c r="R47" s="14" t="str">
        <f aca="false">IFERROR(VLOOKUP(TRIM('📥 Respostas'!U47),'⚙️ Config'!$A$4:$B$13,2,0),"")</f>
        <v/>
      </c>
      <c r="S47" s="14" t="str">
        <f aca="false">IFERROR(VLOOKUP(TRIM('📥 Respostas'!V47),'⚙️ Config'!$A$4:$B$13,2,0),"")</f>
        <v/>
      </c>
      <c r="T47" s="14" t="str">
        <f aca="false">IFERROR(VLOOKUP(TRIM('📥 Respostas'!W47),'⚙️ Config'!$A$4:$B$13,2,0),"")</f>
        <v/>
      </c>
      <c r="U47" s="14" t="str">
        <f aca="false">IFERROR(VLOOKUP(TRIM('📥 Respostas'!X47),'⚙️ Config'!$A$4:$B$13,2,0),"")</f>
        <v/>
      </c>
      <c r="V47" s="14" t="str">
        <f aca="false">IFERROR(VLOOKUP(TRIM('📥 Respostas'!Y47),'⚙️ Config'!$A$4:$B$13,2,0),"")</f>
        <v/>
      </c>
      <c r="W47" s="14" t="str">
        <f aca="false">IFERROR(VLOOKUP(TRIM('📥 Respostas'!Z47),'⚙️ Config'!$A$4:$B$13,2,0),"")</f>
        <v/>
      </c>
      <c r="X47" s="14" t="str">
        <f aca="false">IFERROR(VLOOKUP(TRIM('📥 Respostas'!AA47),'⚙️ Config'!$A$4:$B$13,2,0),"")</f>
        <v/>
      </c>
      <c r="Y47" s="14" t="str">
        <f aca="false">IFERROR(VLOOKUP(TRIM('📥 Respostas'!AB47),'⚙️ Config'!$A$4:$B$13,2,0),"")</f>
        <v/>
      </c>
      <c r="Z47" s="14" t="str">
        <f aca="false">IFERROR(VLOOKUP(TRIM('📥 Respostas'!AC47),'⚙️ Config'!$A$4:$B$13,2,0),"")</f>
        <v/>
      </c>
      <c r="AA47" s="14" t="str">
        <f aca="false">IFERROR(VLOOKUP(TRIM('📥 Respostas'!AD47),'⚙️ Config'!$A$4:$B$13,2,0),"")</f>
        <v/>
      </c>
      <c r="AB47" s="14" t="str">
        <f aca="false">IFERROR(VLOOKUP(TRIM('📥 Respostas'!AE47),'⚙️ Config'!$A$4:$B$13,2,0),"")</f>
        <v/>
      </c>
      <c r="AC47" s="14" t="str">
        <f aca="false">IFERROR(VLOOKUP(TRIM('📥 Respostas'!AF47),'⚙️ Config'!$A$4:$B$13,2,0),"")</f>
        <v/>
      </c>
      <c r="AD47" s="14" t="str">
        <f aca="false">IFERROR(VLOOKUP(TRIM('📥 Respostas'!AG47),'⚙️ Config'!$A$4:$B$13,2,0),"")</f>
        <v/>
      </c>
      <c r="AE47" s="14" t="str">
        <f aca="false">IFERROR(VLOOKUP(TRIM('📥 Respostas'!AH47),'⚙️ Config'!$A$4:$B$13,2,0),"")</f>
        <v/>
      </c>
      <c r="AF47" s="14" t="str">
        <f aca="false">IFERROR(VLOOKUP(TRIM('📥 Respostas'!AI47),'⚙️ Config'!$C$4:$D$11,2,0),"")</f>
        <v/>
      </c>
      <c r="AG47" s="14" t="str">
        <f aca="false">IFERROR(VLOOKUP(TRIM('📥 Respostas'!AJ47),'⚙️ Config'!$A$4:$B$13,2,0),"")</f>
        <v/>
      </c>
      <c r="AH47" s="14" t="str">
        <f aca="false">IFERROR(VLOOKUP(TRIM('📥 Respostas'!AK47),'⚙️ Config'!$A$4:$B$13,2,0),"")</f>
        <v/>
      </c>
      <c r="AI47" s="14" t="str">
        <f aca="false">IFERROR(VLOOKUP(TRIM('📥 Respostas'!AL47),'⚙️ Config'!$A$4:$B$13,2,0),"")</f>
        <v/>
      </c>
      <c r="AJ47" s="14" t="str">
        <f aca="false">IFERROR(VLOOKUP(TRIM('📥 Respostas'!AM47),'⚙️ Config'!$A$4:$B$13,2,0),"")</f>
        <v/>
      </c>
      <c r="AK47" s="14" t="str">
        <f aca="false">IFERROR(VLOOKUP(TRIM('📥 Respostas'!AN47),'⚙️ Config'!$A$4:$B$13,2,0),"")</f>
        <v/>
      </c>
      <c r="AL47" s="14" t="str">
        <f aca="false">IFERROR(VLOOKUP(TRIM('📥 Respostas'!AO47),'⚙️ Config'!$A$4:$B$13,2,0),"")</f>
        <v/>
      </c>
      <c r="AM47" s="14" t="str">
        <f aca="false">IFERROR(VLOOKUP(TRIM('📥 Respostas'!AP47),'⚙️ Config'!$A$4:$B$13,2,0),"")</f>
        <v/>
      </c>
      <c r="AN47" s="14" t="str">
        <f aca="false">IFERROR(VLOOKUP(TRIM('📥 Respostas'!AQ47),'⚙️ Config'!$A$4:$B$13,2,0),"")</f>
        <v/>
      </c>
      <c r="AO47" s="14" t="str">
        <f aca="false">IFERROR(VLOOKUP(TRIM('📥 Respostas'!AR47),'⚙️ Config'!$A$4:$B$13,2,0),"")</f>
        <v/>
      </c>
      <c r="AP47" s="14" t="str">
        <f aca="false">IFERROR(VLOOKUP(TRIM('📥 Respostas'!AS47),'⚙️ Config'!$A$4:$B$13,2,0),"")</f>
        <v/>
      </c>
      <c r="AQ47" s="14" t="str">
        <f aca="false">IFERROR(VLOOKUP(TRIM('📥 Respostas'!AT47),'⚙️ Config'!$A$4:$B$13,2,0),"")</f>
        <v/>
      </c>
      <c r="AR47" s="14" t="str">
        <f aca="false">IFERROR(VLOOKUP(TRIM('📥 Respostas'!AU47),'⚙️ Config'!$A$4:$B$13,2,0),"")</f>
        <v/>
      </c>
    </row>
    <row r="48" customFormat="false" ht="15" hidden="false" customHeight="false" outlineLevel="0" collapsed="false">
      <c r="A48" s="12" t="str">
        <f aca="false">IF(ISBLANK('📥 Respostas'!D48),"",ROW()-3)</f>
        <v/>
      </c>
      <c r="B48" s="12" t="n">
        <f aca="false">'📥 Respostas'!D48</f>
        <v>0</v>
      </c>
      <c r="C48" s="13" t="n">
        <f aca="false">'📥 Respostas'!C48</f>
        <v>0</v>
      </c>
      <c r="D48" s="14" t="str">
        <f aca="false">IFERROR(VLOOKUP(TRIM('📥 Respostas'!G48),'⚙️ Config'!$A$4:$B$13,2,0),"")</f>
        <v/>
      </c>
      <c r="E48" s="14" t="str">
        <f aca="false">IFERROR(VLOOKUP(TRIM('📥 Respostas'!H48),'⚙️ Config'!$A$4:$B$13,2,0),"")</f>
        <v/>
      </c>
      <c r="F48" s="14" t="str">
        <f aca="false">IFERROR(VLOOKUP(TRIM('📥 Respostas'!I48),'⚙️ Config'!$A$4:$B$13,2,0),"")</f>
        <v/>
      </c>
      <c r="G48" s="14" t="str">
        <f aca="false">IFERROR(VLOOKUP(TRIM('📥 Respostas'!J48),'⚙️ Config'!$A$4:$B$13,2,0),"")</f>
        <v/>
      </c>
      <c r="H48" s="14" t="str">
        <f aca="false">IFERROR(VLOOKUP(TRIM('📥 Respostas'!K48),'⚙️ Config'!$A$4:$B$13,2,0),"")</f>
        <v/>
      </c>
      <c r="I48" s="14" t="str">
        <f aca="false">IFERROR(VLOOKUP(TRIM('📥 Respostas'!L48),'⚙️ Config'!$A$4:$B$13,2,0),"")</f>
        <v/>
      </c>
      <c r="J48" s="14" t="str">
        <f aca="false">IFERROR(VLOOKUP(TRIM('📥 Respostas'!M48),'⚙️ Config'!$A$4:$B$13,2,0),"")</f>
        <v/>
      </c>
      <c r="K48" s="14" t="str">
        <f aca="false">IFERROR(VLOOKUP(TRIM('📥 Respostas'!N48),'⚙️ Config'!$A$4:$B$13,2,0),"")</f>
        <v/>
      </c>
      <c r="L48" s="14" t="str">
        <f aca="false">IFERROR(VLOOKUP(TRIM('📥 Respostas'!O48),'⚙️ Config'!$A$4:$B$13,2,0),"")</f>
        <v/>
      </c>
      <c r="M48" s="14" t="str">
        <f aca="false">IFERROR(VLOOKUP(TRIM('📥 Respostas'!P48),'⚙️ Config'!$A$4:$B$13,2,0),"")</f>
        <v/>
      </c>
      <c r="N48" s="14" t="str">
        <f aca="false">IFERROR(VLOOKUP(TRIM('📥 Respostas'!Q48),'⚙️ Config'!$A$4:$B$13,2,0),"")</f>
        <v/>
      </c>
      <c r="O48" s="14" t="str">
        <f aca="false">IFERROR(VLOOKUP(TRIM('📥 Respostas'!R48),'⚙️ Config'!$A$4:$B$13,2,0),"")</f>
        <v/>
      </c>
      <c r="P48" s="14" t="str">
        <f aca="false">IFERROR(VLOOKUP(TRIM('📥 Respostas'!S48),'⚙️ Config'!$A$4:$B$13,2,0),"")</f>
        <v/>
      </c>
      <c r="Q48" s="14" t="str">
        <f aca="false">IFERROR(VLOOKUP(TRIM('📥 Respostas'!T48),'⚙️ Config'!$A$4:$B$13,2,0),"")</f>
        <v/>
      </c>
      <c r="R48" s="14" t="str">
        <f aca="false">IFERROR(VLOOKUP(TRIM('📥 Respostas'!U48),'⚙️ Config'!$A$4:$B$13,2,0),"")</f>
        <v/>
      </c>
      <c r="S48" s="14" t="str">
        <f aca="false">IFERROR(VLOOKUP(TRIM('📥 Respostas'!V48),'⚙️ Config'!$A$4:$B$13,2,0),"")</f>
        <v/>
      </c>
      <c r="T48" s="14" t="str">
        <f aca="false">IFERROR(VLOOKUP(TRIM('📥 Respostas'!W48),'⚙️ Config'!$A$4:$B$13,2,0),"")</f>
        <v/>
      </c>
      <c r="U48" s="14" t="str">
        <f aca="false">IFERROR(VLOOKUP(TRIM('📥 Respostas'!X48),'⚙️ Config'!$A$4:$B$13,2,0),"")</f>
        <v/>
      </c>
      <c r="V48" s="14" t="str">
        <f aca="false">IFERROR(VLOOKUP(TRIM('📥 Respostas'!Y48),'⚙️ Config'!$A$4:$B$13,2,0),"")</f>
        <v/>
      </c>
      <c r="W48" s="14" t="str">
        <f aca="false">IFERROR(VLOOKUP(TRIM('📥 Respostas'!Z48),'⚙️ Config'!$A$4:$B$13,2,0),"")</f>
        <v/>
      </c>
      <c r="X48" s="14" t="str">
        <f aca="false">IFERROR(VLOOKUP(TRIM('📥 Respostas'!AA48),'⚙️ Config'!$A$4:$B$13,2,0),"")</f>
        <v/>
      </c>
      <c r="Y48" s="14" t="str">
        <f aca="false">IFERROR(VLOOKUP(TRIM('📥 Respostas'!AB48),'⚙️ Config'!$A$4:$B$13,2,0),"")</f>
        <v/>
      </c>
      <c r="Z48" s="14" t="str">
        <f aca="false">IFERROR(VLOOKUP(TRIM('📥 Respostas'!AC48),'⚙️ Config'!$A$4:$B$13,2,0),"")</f>
        <v/>
      </c>
      <c r="AA48" s="14" t="str">
        <f aca="false">IFERROR(VLOOKUP(TRIM('📥 Respostas'!AD48),'⚙️ Config'!$A$4:$B$13,2,0),"")</f>
        <v/>
      </c>
      <c r="AB48" s="14" t="str">
        <f aca="false">IFERROR(VLOOKUP(TRIM('📥 Respostas'!AE48),'⚙️ Config'!$A$4:$B$13,2,0),"")</f>
        <v/>
      </c>
      <c r="AC48" s="14" t="str">
        <f aca="false">IFERROR(VLOOKUP(TRIM('📥 Respostas'!AF48),'⚙️ Config'!$A$4:$B$13,2,0),"")</f>
        <v/>
      </c>
      <c r="AD48" s="14" t="str">
        <f aca="false">IFERROR(VLOOKUP(TRIM('📥 Respostas'!AG48),'⚙️ Config'!$A$4:$B$13,2,0),"")</f>
        <v/>
      </c>
      <c r="AE48" s="14" t="str">
        <f aca="false">IFERROR(VLOOKUP(TRIM('📥 Respostas'!AH48),'⚙️ Config'!$A$4:$B$13,2,0),"")</f>
        <v/>
      </c>
      <c r="AF48" s="14" t="str">
        <f aca="false">IFERROR(VLOOKUP(TRIM('📥 Respostas'!AI48),'⚙️ Config'!$C$4:$D$11,2,0),"")</f>
        <v/>
      </c>
      <c r="AG48" s="14" t="str">
        <f aca="false">IFERROR(VLOOKUP(TRIM('📥 Respostas'!AJ48),'⚙️ Config'!$A$4:$B$13,2,0),"")</f>
        <v/>
      </c>
      <c r="AH48" s="14" t="str">
        <f aca="false">IFERROR(VLOOKUP(TRIM('📥 Respostas'!AK48),'⚙️ Config'!$A$4:$B$13,2,0),"")</f>
        <v/>
      </c>
      <c r="AI48" s="14" t="str">
        <f aca="false">IFERROR(VLOOKUP(TRIM('📥 Respostas'!AL48),'⚙️ Config'!$A$4:$B$13,2,0),"")</f>
        <v/>
      </c>
      <c r="AJ48" s="14" t="str">
        <f aca="false">IFERROR(VLOOKUP(TRIM('📥 Respostas'!AM48),'⚙️ Config'!$A$4:$B$13,2,0),"")</f>
        <v/>
      </c>
      <c r="AK48" s="14" t="str">
        <f aca="false">IFERROR(VLOOKUP(TRIM('📥 Respostas'!AN48),'⚙️ Config'!$A$4:$B$13,2,0),"")</f>
        <v/>
      </c>
      <c r="AL48" s="14" t="str">
        <f aca="false">IFERROR(VLOOKUP(TRIM('📥 Respostas'!AO48),'⚙️ Config'!$A$4:$B$13,2,0),"")</f>
        <v/>
      </c>
      <c r="AM48" s="14" t="str">
        <f aca="false">IFERROR(VLOOKUP(TRIM('📥 Respostas'!AP48),'⚙️ Config'!$A$4:$B$13,2,0),"")</f>
        <v/>
      </c>
      <c r="AN48" s="14" t="str">
        <f aca="false">IFERROR(VLOOKUP(TRIM('📥 Respostas'!AQ48),'⚙️ Config'!$A$4:$B$13,2,0),"")</f>
        <v/>
      </c>
      <c r="AO48" s="14" t="str">
        <f aca="false">IFERROR(VLOOKUP(TRIM('📥 Respostas'!AR48),'⚙️ Config'!$A$4:$B$13,2,0),"")</f>
        <v/>
      </c>
      <c r="AP48" s="14" t="str">
        <f aca="false">IFERROR(VLOOKUP(TRIM('📥 Respostas'!AS48),'⚙️ Config'!$A$4:$B$13,2,0),"")</f>
        <v/>
      </c>
      <c r="AQ48" s="14" t="str">
        <f aca="false">IFERROR(VLOOKUP(TRIM('📥 Respostas'!AT48),'⚙️ Config'!$A$4:$B$13,2,0),"")</f>
        <v/>
      </c>
      <c r="AR48" s="14" t="str">
        <f aca="false">IFERROR(VLOOKUP(TRIM('📥 Respostas'!AU48),'⚙️ Config'!$A$4:$B$13,2,0),"")</f>
        <v/>
      </c>
    </row>
    <row r="49" customFormat="false" ht="15" hidden="false" customHeight="false" outlineLevel="0" collapsed="false">
      <c r="A49" s="15" t="str">
        <f aca="false">IF(ISBLANK('📥 Respostas'!D49),"",ROW()-3)</f>
        <v/>
      </c>
      <c r="B49" s="15" t="n">
        <f aca="false">'📥 Respostas'!D49</f>
        <v>0</v>
      </c>
      <c r="C49" s="5" t="n">
        <f aca="false">'📥 Respostas'!C49</f>
        <v>0</v>
      </c>
      <c r="D49" s="14" t="str">
        <f aca="false">IFERROR(VLOOKUP(TRIM('📥 Respostas'!G49),'⚙️ Config'!$A$4:$B$13,2,0),"")</f>
        <v/>
      </c>
      <c r="E49" s="14" t="str">
        <f aca="false">IFERROR(VLOOKUP(TRIM('📥 Respostas'!H49),'⚙️ Config'!$A$4:$B$13,2,0),"")</f>
        <v/>
      </c>
      <c r="F49" s="14" t="str">
        <f aca="false">IFERROR(VLOOKUP(TRIM('📥 Respostas'!I49),'⚙️ Config'!$A$4:$B$13,2,0),"")</f>
        <v/>
      </c>
      <c r="G49" s="14" t="str">
        <f aca="false">IFERROR(VLOOKUP(TRIM('📥 Respostas'!J49),'⚙️ Config'!$A$4:$B$13,2,0),"")</f>
        <v/>
      </c>
      <c r="H49" s="14" t="str">
        <f aca="false">IFERROR(VLOOKUP(TRIM('📥 Respostas'!K49),'⚙️ Config'!$A$4:$B$13,2,0),"")</f>
        <v/>
      </c>
      <c r="I49" s="14" t="str">
        <f aca="false">IFERROR(VLOOKUP(TRIM('📥 Respostas'!L49),'⚙️ Config'!$A$4:$B$13,2,0),"")</f>
        <v/>
      </c>
      <c r="J49" s="14" t="str">
        <f aca="false">IFERROR(VLOOKUP(TRIM('📥 Respostas'!M49),'⚙️ Config'!$A$4:$B$13,2,0),"")</f>
        <v/>
      </c>
      <c r="K49" s="14" t="str">
        <f aca="false">IFERROR(VLOOKUP(TRIM('📥 Respostas'!N49),'⚙️ Config'!$A$4:$B$13,2,0),"")</f>
        <v/>
      </c>
      <c r="L49" s="14" t="str">
        <f aca="false">IFERROR(VLOOKUP(TRIM('📥 Respostas'!O49),'⚙️ Config'!$A$4:$B$13,2,0),"")</f>
        <v/>
      </c>
      <c r="M49" s="14" t="str">
        <f aca="false">IFERROR(VLOOKUP(TRIM('📥 Respostas'!P49),'⚙️ Config'!$A$4:$B$13,2,0),"")</f>
        <v/>
      </c>
      <c r="N49" s="14" t="str">
        <f aca="false">IFERROR(VLOOKUP(TRIM('📥 Respostas'!Q49),'⚙️ Config'!$A$4:$B$13,2,0),"")</f>
        <v/>
      </c>
      <c r="O49" s="14" t="str">
        <f aca="false">IFERROR(VLOOKUP(TRIM('📥 Respostas'!R49),'⚙️ Config'!$A$4:$B$13,2,0),"")</f>
        <v/>
      </c>
      <c r="P49" s="14" t="str">
        <f aca="false">IFERROR(VLOOKUP(TRIM('📥 Respostas'!S49),'⚙️ Config'!$A$4:$B$13,2,0),"")</f>
        <v/>
      </c>
      <c r="Q49" s="14" t="str">
        <f aca="false">IFERROR(VLOOKUP(TRIM('📥 Respostas'!T49),'⚙️ Config'!$A$4:$B$13,2,0),"")</f>
        <v/>
      </c>
      <c r="R49" s="14" t="str">
        <f aca="false">IFERROR(VLOOKUP(TRIM('📥 Respostas'!U49),'⚙️ Config'!$A$4:$B$13,2,0),"")</f>
        <v/>
      </c>
      <c r="S49" s="14" t="str">
        <f aca="false">IFERROR(VLOOKUP(TRIM('📥 Respostas'!V49),'⚙️ Config'!$A$4:$B$13,2,0),"")</f>
        <v/>
      </c>
      <c r="T49" s="14" t="str">
        <f aca="false">IFERROR(VLOOKUP(TRIM('📥 Respostas'!W49),'⚙️ Config'!$A$4:$B$13,2,0),"")</f>
        <v/>
      </c>
      <c r="U49" s="14" t="str">
        <f aca="false">IFERROR(VLOOKUP(TRIM('📥 Respostas'!X49),'⚙️ Config'!$A$4:$B$13,2,0),"")</f>
        <v/>
      </c>
      <c r="V49" s="14" t="str">
        <f aca="false">IFERROR(VLOOKUP(TRIM('📥 Respostas'!Y49),'⚙️ Config'!$A$4:$B$13,2,0),"")</f>
        <v/>
      </c>
      <c r="W49" s="14" t="str">
        <f aca="false">IFERROR(VLOOKUP(TRIM('📥 Respostas'!Z49),'⚙️ Config'!$A$4:$B$13,2,0),"")</f>
        <v/>
      </c>
      <c r="X49" s="14" t="str">
        <f aca="false">IFERROR(VLOOKUP(TRIM('📥 Respostas'!AA49),'⚙️ Config'!$A$4:$B$13,2,0),"")</f>
        <v/>
      </c>
      <c r="Y49" s="14" t="str">
        <f aca="false">IFERROR(VLOOKUP(TRIM('📥 Respostas'!AB49),'⚙️ Config'!$A$4:$B$13,2,0),"")</f>
        <v/>
      </c>
      <c r="Z49" s="14" t="str">
        <f aca="false">IFERROR(VLOOKUP(TRIM('📥 Respostas'!AC49),'⚙️ Config'!$A$4:$B$13,2,0),"")</f>
        <v/>
      </c>
      <c r="AA49" s="14" t="str">
        <f aca="false">IFERROR(VLOOKUP(TRIM('📥 Respostas'!AD49),'⚙️ Config'!$A$4:$B$13,2,0),"")</f>
        <v/>
      </c>
      <c r="AB49" s="14" t="str">
        <f aca="false">IFERROR(VLOOKUP(TRIM('📥 Respostas'!AE49),'⚙️ Config'!$A$4:$B$13,2,0),"")</f>
        <v/>
      </c>
      <c r="AC49" s="14" t="str">
        <f aca="false">IFERROR(VLOOKUP(TRIM('📥 Respostas'!AF49),'⚙️ Config'!$A$4:$B$13,2,0),"")</f>
        <v/>
      </c>
      <c r="AD49" s="14" t="str">
        <f aca="false">IFERROR(VLOOKUP(TRIM('📥 Respostas'!AG49),'⚙️ Config'!$A$4:$B$13,2,0),"")</f>
        <v/>
      </c>
      <c r="AE49" s="14" t="str">
        <f aca="false">IFERROR(VLOOKUP(TRIM('📥 Respostas'!AH49),'⚙️ Config'!$A$4:$B$13,2,0),"")</f>
        <v/>
      </c>
      <c r="AF49" s="14" t="str">
        <f aca="false">IFERROR(VLOOKUP(TRIM('📥 Respostas'!AI49),'⚙️ Config'!$C$4:$D$11,2,0),"")</f>
        <v/>
      </c>
      <c r="AG49" s="14" t="str">
        <f aca="false">IFERROR(VLOOKUP(TRIM('📥 Respostas'!AJ49),'⚙️ Config'!$A$4:$B$13,2,0),"")</f>
        <v/>
      </c>
      <c r="AH49" s="14" t="str">
        <f aca="false">IFERROR(VLOOKUP(TRIM('📥 Respostas'!AK49),'⚙️ Config'!$A$4:$B$13,2,0),"")</f>
        <v/>
      </c>
      <c r="AI49" s="14" t="str">
        <f aca="false">IFERROR(VLOOKUP(TRIM('📥 Respostas'!AL49),'⚙️ Config'!$A$4:$B$13,2,0),"")</f>
        <v/>
      </c>
      <c r="AJ49" s="14" t="str">
        <f aca="false">IFERROR(VLOOKUP(TRIM('📥 Respostas'!AM49),'⚙️ Config'!$A$4:$B$13,2,0),"")</f>
        <v/>
      </c>
      <c r="AK49" s="14" t="str">
        <f aca="false">IFERROR(VLOOKUP(TRIM('📥 Respostas'!AN49),'⚙️ Config'!$A$4:$B$13,2,0),"")</f>
        <v/>
      </c>
      <c r="AL49" s="14" t="str">
        <f aca="false">IFERROR(VLOOKUP(TRIM('📥 Respostas'!AO49),'⚙️ Config'!$A$4:$B$13,2,0),"")</f>
        <v/>
      </c>
      <c r="AM49" s="14" t="str">
        <f aca="false">IFERROR(VLOOKUP(TRIM('📥 Respostas'!AP49),'⚙️ Config'!$A$4:$B$13,2,0),"")</f>
        <v/>
      </c>
      <c r="AN49" s="14" t="str">
        <f aca="false">IFERROR(VLOOKUP(TRIM('📥 Respostas'!AQ49),'⚙️ Config'!$A$4:$B$13,2,0),"")</f>
        <v/>
      </c>
      <c r="AO49" s="14" t="str">
        <f aca="false">IFERROR(VLOOKUP(TRIM('📥 Respostas'!AR49),'⚙️ Config'!$A$4:$B$13,2,0),"")</f>
        <v/>
      </c>
      <c r="AP49" s="14" t="str">
        <f aca="false">IFERROR(VLOOKUP(TRIM('📥 Respostas'!AS49),'⚙️ Config'!$A$4:$B$13,2,0),"")</f>
        <v/>
      </c>
      <c r="AQ49" s="14" t="str">
        <f aca="false">IFERROR(VLOOKUP(TRIM('📥 Respostas'!AT49),'⚙️ Config'!$A$4:$B$13,2,0),"")</f>
        <v/>
      </c>
      <c r="AR49" s="14" t="str">
        <f aca="false">IFERROR(VLOOKUP(TRIM('📥 Respostas'!AU49),'⚙️ Config'!$A$4:$B$13,2,0),"")</f>
        <v/>
      </c>
    </row>
    <row r="50" customFormat="false" ht="15" hidden="false" customHeight="false" outlineLevel="0" collapsed="false">
      <c r="A50" s="12" t="str">
        <f aca="false">IF(ISBLANK('📥 Respostas'!D50),"",ROW()-3)</f>
        <v/>
      </c>
      <c r="B50" s="12" t="n">
        <f aca="false">'📥 Respostas'!D50</f>
        <v>0</v>
      </c>
      <c r="C50" s="13" t="n">
        <f aca="false">'📥 Respostas'!C50</f>
        <v>0</v>
      </c>
      <c r="D50" s="14" t="str">
        <f aca="false">IFERROR(VLOOKUP(TRIM('📥 Respostas'!G50),'⚙️ Config'!$A$4:$B$13,2,0),"")</f>
        <v/>
      </c>
      <c r="E50" s="14" t="str">
        <f aca="false">IFERROR(VLOOKUP(TRIM('📥 Respostas'!H50),'⚙️ Config'!$A$4:$B$13,2,0),"")</f>
        <v/>
      </c>
      <c r="F50" s="14" t="str">
        <f aca="false">IFERROR(VLOOKUP(TRIM('📥 Respostas'!I50),'⚙️ Config'!$A$4:$B$13,2,0),"")</f>
        <v/>
      </c>
      <c r="G50" s="14" t="str">
        <f aca="false">IFERROR(VLOOKUP(TRIM('📥 Respostas'!J50),'⚙️ Config'!$A$4:$B$13,2,0),"")</f>
        <v/>
      </c>
      <c r="H50" s="14" t="str">
        <f aca="false">IFERROR(VLOOKUP(TRIM('📥 Respostas'!K50),'⚙️ Config'!$A$4:$B$13,2,0),"")</f>
        <v/>
      </c>
      <c r="I50" s="14" t="str">
        <f aca="false">IFERROR(VLOOKUP(TRIM('📥 Respostas'!L50),'⚙️ Config'!$A$4:$B$13,2,0),"")</f>
        <v/>
      </c>
      <c r="J50" s="14" t="str">
        <f aca="false">IFERROR(VLOOKUP(TRIM('📥 Respostas'!M50),'⚙️ Config'!$A$4:$B$13,2,0),"")</f>
        <v/>
      </c>
      <c r="K50" s="14" t="str">
        <f aca="false">IFERROR(VLOOKUP(TRIM('📥 Respostas'!N50),'⚙️ Config'!$A$4:$B$13,2,0),"")</f>
        <v/>
      </c>
      <c r="L50" s="14" t="str">
        <f aca="false">IFERROR(VLOOKUP(TRIM('📥 Respostas'!O50),'⚙️ Config'!$A$4:$B$13,2,0),"")</f>
        <v/>
      </c>
      <c r="M50" s="14" t="str">
        <f aca="false">IFERROR(VLOOKUP(TRIM('📥 Respostas'!P50),'⚙️ Config'!$A$4:$B$13,2,0),"")</f>
        <v/>
      </c>
      <c r="N50" s="14" t="str">
        <f aca="false">IFERROR(VLOOKUP(TRIM('📥 Respostas'!Q50),'⚙️ Config'!$A$4:$B$13,2,0),"")</f>
        <v/>
      </c>
      <c r="O50" s="14" t="str">
        <f aca="false">IFERROR(VLOOKUP(TRIM('📥 Respostas'!R50),'⚙️ Config'!$A$4:$B$13,2,0),"")</f>
        <v/>
      </c>
      <c r="P50" s="14" t="str">
        <f aca="false">IFERROR(VLOOKUP(TRIM('📥 Respostas'!S50),'⚙️ Config'!$A$4:$B$13,2,0),"")</f>
        <v/>
      </c>
      <c r="Q50" s="14" t="str">
        <f aca="false">IFERROR(VLOOKUP(TRIM('📥 Respostas'!T50),'⚙️ Config'!$A$4:$B$13,2,0),"")</f>
        <v/>
      </c>
      <c r="R50" s="14" t="str">
        <f aca="false">IFERROR(VLOOKUP(TRIM('📥 Respostas'!U50),'⚙️ Config'!$A$4:$B$13,2,0),"")</f>
        <v/>
      </c>
      <c r="S50" s="14" t="str">
        <f aca="false">IFERROR(VLOOKUP(TRIM('📥 Respostas'!V50),'⚙️ Config'!$A$4:$B$13,2,0),"")</f>
        <v/>
      </c>
      <c r="T50" s="14" t="str">
        <f aca="false">IFERROR(VLOOKUP(TRIM('📥 Respostas'!W50),'⚙️ Config'!$A$4:$B$13,2,0),"")</f>
        <v/>
      </c>
      <c r="U50" s="14" t="str">
        <f aca="false">IFERROR(VLOOKUP(TRIM('📥 Respostas'!X50),'⚙️ Config'!$A$4:$B$13,2,0),"")</f>
        <v/>
      </c>
      <c r="V50" s="14" t="str">
        <f aca="false">IFERROR(VLOOKUP(TRIM('📥 Respostas'!Y50),'⚙️ Config'!$A$4:$B$13,2,0),"")</f>
        <v/>
      </c>
      <c r="W50" s="14" t="str">
        <f aca="false">IFERROR(VLOOKUP(TRIM('📥 Respostas'!Z50),'⚙️ Config'!$A$4:$B$13,2,0),"")</f>
        <v/>
      </c>
      <c r="X50" s="14" t="str">
        <f aca="false">IFERROR(VLOOKUP(TRIM('📥 Respostas'!AA50),'⚙️ Config'!$A$4:$B$13,2,0),"")</f>
        <v/>
      </c>
      <c r="Y50" s="14" t="str">
        <f aca="false">IFERROR(VLOOKUP(TRIM('📥 Respostas'!AB50),'⚙️ Config'!$A$4:$B$13,2,0),"")</f>
        <v/>
      </c>
      <c r="Z50" s="14" t="str">
        <f aca="false">IFERROR(VLOOKUP(TRIM('📥 Respostas'!AC50),'⚙️ Config'!$A$4:$B$13,2,0),"")</f>
        <v/>
      </c>
      <c r="AA50" s="14" t="str">
        <f aca="false">IFERROR(VLOOKUP(TRIM('📥 Respostas'!AD50),'⚙️ Config'!$A$4:$B$13,2,0),"")</f>
        <v/>
      </c>
      <c r="AB50" s="14" t="str">
        <f aca="false">IFERROR(VLOOKUP(TRIM('📥 Respostas'!AE50),'⚙️ Config'!$A$4:$B$13,2,0),"")</f>
        <v/>
      </c>
      <c r="AC50" s="14" t="str">
        <f aca="false">IFERROR(VLOOKUP(TRIM('📥 Respostas'!AF50),'⚙️ Config'!$A$4:$B$13,2,0),"")</f>
        <v/>
      </c>
      <c r="AD50" s="14" t="str">
        <f aca="false">IFERROR(VLOOKUP(TRIM('📥 Respostas'!AG50),'⚙️ Config'!$A$4:$B$13,2,0),"")</f>
        <v/>
      </c>
      <c r="AE50" s="14" t="str">
        <f aca="false">IFERROR(VLOOKUP(TRIM('📥 Respostas'!AH50),'⚙️ Config'!$A$4:$B$13,2,0),"")</f>
        <v/>
      </c>
      <c r="AF50" s="14" t="str">
        <f aca="false">IFERROR(VLOOKUP(TRIM('📥 Respostas'!AI50),'⚙️ Config'!$C$4:$D$11,2,0),"")</f>
        <v/>
      </c>
      <c r="AG50" s="14" t="str">
        <f aca="false">IFERROR(VLOOKUP(TRIM('📥 Respostas'!AJ50),'⚙️ Config'!$A$4:$B$13,2,0),"")</f>
        <v/>
      </c>
      <c r="AH50" s="14" t="str">
        <f aca="false">IFERROR(VLOOKUP(TRIM('📥 Respostas'!AK50),'⚙️ Config'!$A$4:$B$13,2,0),"")</f>
        <v/>
      </c>
      <c r="AI50" s="14" t="str">
        <f aca="false">IFERROR(VLOOKUP(TRIM('📥 Respostas'!AL50),'⚙️ Config'!$A$4:$B$13,2,0),"")</f>
        <v/>
      </c>
      <c r="AJ50" s="14" t="str">
        <f aca="false">IFERROR(VLOOKUP(TRIM('📥 Respostas'!AM50),'⚙️ Config'!$A$4:$B$13,2,0),"")</f>
        <v/>
      </c>
      <c r="AK50" s="14" t="str">
        <f aca="false">IFERROR(VLOOKUP(TRIM('📥 Respostas'!AN50),'⚙️ Config'!$A$4:$B$13,2,0),"")</f>
        <v/>
      </c>
      <c r="AL50" s="14" t="str">
        <f aca="false">IFERROR(VLOOKUP(TRIM('📥 Respostas'!AO50),'⚙️ Config'!$A$4:$B$13,2,0),"")</f>
        <v/>
      </c>
      <c r="AM50" s="14" t="str">
        <f aca="false">IFERROR(VLOOKUP(TRIM('📥 Respostas'!AP50),'⚙️ Config'!$A$4:$B$13,2,0),"")</f>
        <v/>
      </c>
      <c r="AN50" s="14" t="str">
        <f aca="false">IFERROR(VLOOKUP(TRIM('📥 Respostas'!AQ50),'⚙️ Config'!$A$4:$B$13,2,0),"")</f>
        <v/>
      </c>
      <c r="AO50" s="14" t="str">
        <f aca="false">IFERROR(VLOOKUP(TRIM('📥 Respostas'!AR50),'⚙️ Config'!$A$4:$B$13,2,0),"")</f>
        <v/>
      </c>
      <c r="AP50" s="14" t="str">
        <f aca="false">IFERROR(VLOOKUP(TRIM('📥 Respostas'!AS50),'⚙️ Config'!$A$4:$B$13,2,0),"")</f>
        <v/>
      </c>
      <c r="AQ50" s="14" t="str">
        <f aca="false">IFERROR(VLOOKUP(TRIM('📥 Respostas'!AT50),'⚙️ Config'!$A$4:$B$13,2,0),"")</f>
        <v/>
      </c>
      <c r="AR50" s="14" t="str">
        <f aca="false">IFERROR(VLOOKUP(TRIM('📥 Respostas'!AU50),'⚙️ Config'!$A$4:$B$13,2,0),"")</f>
        <v/>
      </c>
    </row>
    <row r="51" customFormat="false" ht="15" hidden="false" customHeight="false" outlineLevel="0" collapsed="false">
      <c r="A51" s="15" t="str">
        <f aca="false">IF(ISBLANK('📥 Respostas'!D51),"",ROW()-3)</f>
        <v/>
      </c>
      <c r="B51" s="15" t="n">
        <f aca="false">'📥 Respostas'!D51</f>
        <v>0</v>
      </c>
      <c r="C51" s="5" t="n">
        <f aca="false">'📥 Respostas'!C51</f>
        <v>0</v>
      </c>
      <c r="D51" s="14" t="str">
        <f aca="false">IFERROR(VLOOKUP(TRIM('📥 Respostas'!G51),'⚙️ Config'!$A$4:$B$13,2,0),"")</f>
        <v/>
      </c>
      <c r="E51" s="14" t="str">
        <f aca="false">IFERROR(VLOOKUP(TRIM('📥 Respostas'!H51),'⚙️ Config'!$A$4:$B$13,2,0),"")</f>
        <v/>
      </c>
      <c r="F51" s="14" t="str">
        <f aca="false">IFERROR(VLOOKUP(TRIM('📥 Respostas'!I51),'⚙️ Config'!$A$4:$B$13,2,0),"")</f>
        <v/>
      </c>
      <c r="G51" s="14" t="str">
        <f aca="false">IFERROR(VLOOKUP(TRIM('📥 Respostas'!J51),'⚙️ Config'!$A$4:$B$13,2,0),"")</f>
        <v/>
      </c>
      <c r="H51" s="14" t="str">
        <f aca="false">IFERROR(VLOOKUP(TRIM('📥 Respostas'!K51),'⚙️ Config'!$A$4:$B$13,2,0),"")</f>
        <v/>
      </c>
      <c r="I51" s="14" t="str">
        <f aca="false">IFERROR(VLOOKUP(TRIM('📥 Respostas'!L51),'⚙️ Config'!$A$4:$B$13,2,0),"")</f>
        <v/>
      </c>
      <c r="J51" s="14" t="str">
        <f aca="false">IFERROR(VLOOKUP(TRIM('📥 Respostas'!M51),'⚙️ Config'!$A$4:$B$13,2,0),"")</f>
        <v/>
      </c>
      <c r="K51" s="14" t="str">
        <f aca="false">IFERROR(VLOOKUP(TRIM('📥 Respostas'!N51),'⚙️ Config'!$A$4:$B$13,2,0),"")</f>
        <v/>
      </c>
      <c r="L51" s="14" t="str">
        <f aca="false">IFERROR(VLOOKUP(TRIM('📥 Respostas'!O51),'⚙️ Config'!$A$4:$B$13,2,0),"")</f>
        <v/>
      </c>
      <c r="M51" s="14" t="str">
        <f aca="false">IFERROR(VLOOKUP(TRIM('📥 Respostas'!P51),'⚙️ Config'!$A$4:$B$13,2,0),"")</f>
        <v/>
      </c>
      <c r="N51" s="14" t="str">
        <f aca="false">IFERROR(VLOOKUP(TRIM('📥 Respostas'!Q51),'⚙️ Config'!$A$4:$B$13,2,0),"")</f>
        <v/>
      </c>
      <c r="O51" s="14" t="str">
        <f aca="false">IFERROR(VLOOKUP(TRIM('📥 Respostas'!R51),'⚙️ Config'!$A$4:$B$13,2,0),"")</f>
        <v/>
      </c>
      <c r="P51" s="14" t="str">
        <f aca="false">IFERROR(VLOOKUP(TRIM('📥 Respostas'!S51),'⚙️ Config'!$A$4:$B$13,2,0),"")</f>
        <v/>
      </c>
      <c r="Q51" s="14" t="str">
        <f aca="false">IFERROR(VLOOKUP(TRIM('📥 Respostas'!T51),'⚙️ Config'!$A$4:$B$13,2,0),"")</f>
        <v/>
      </c>
      <c r="R51" s="14" t="str">
        <f aca="false">IFERROR(VLOOKUP(TRIM('📥 Respostas'!U51),'⚙️ Config'!$A$4:$B$13,2,0),"")</f>
        <v/>
      </c>
      <c r="S51" s="14" t="str">
        <f aca="false">IFERROR(VLOOKUP(TRIM('📥 Respostas'!V51),'⚙️ Config'!$A$4:$B$13,2,0),"")</f>
        <v/>
      </c>
      <c r="T51" s="14" t="str">
        <f aca="false">IFERROR(VLOOKUP(TRIM('📥 Respostas'!W51),'⚙️ Config'!$A$4:$B$13,2,0),"")</f>
        <v/>
      </c>
      <c r="U51" s="14" t="str">
        <f aca="false">IFERROR(VLOOKUP(TRIM('📥 Respostas'!X51),'⚙️ Config'!$A$4:$B$13,2,0),"")</f>
        <v/>
      </c>
      <c r="V51" s="14" t="str">
        <f aca="false">IFERROR(VLOOKUP(TRIM('📥 Respostas'!Y51),'⚙️ Config'!$A$4:$B$13,2,0),"")</f>
        <v/>
      </c>
      <c r="W51" s="14" t="str">
        <f aca="false">IFERROR(VLOOKUP(TRIM('📥 Respostas'!Z51),'⚙️ Config'!$A$4:$B$13,2,0),"")</f>
        <v/>
      </c>
      <c r="X51" s="14" t="str">
        <f aca="false">IFERROR(VLOOKUP(TRIM('📥 Respostas'!AA51),'⚙️ Config'!$A$4:$B$13,2,0),"")</f>
        <v/>
      </c>
      <c r="Y51" s="14" t="str">
        <f aca="false">IFERROR(VLOOKUP(TRIM('📥 Respostas'!AB51),'⚙️ Config'!$A$4:$B$13,2,0),"")</f>
        <v/>
      </c>
      <c r="Z51" s="14" t="str">
        <f aca="false">IFERROR(VLOOKUP(TRIM('📥 Respostas'!AC51),'⚙️ Config'!$A$4:$B$13,2,0),"")</f>
        <v/>
      </c>
      <c r="AA51" s="14" t="str">
        <f aca="false">IFERROR(VLOOKUP(TRIM('📥 Respostas'!AD51),'⚙️ Config'!$A$4:$B$13,2,0),"")</f>
        <v/>
      </c>
      <c r="AB51" s="14" t="str">
        <f aca="false">IFERROR(VLOOKUP(TRIM('📥 Respostas'!AE51),'⚙️ Config'!$A$4:$B$13,2,0),"")</f>
        <v/>
      </c>
      <c r="AC51" s="14" t="str">
        <f aca="false">IFERROR(VLOOKUP(TRIM('📥 Respostas'!AF51),'⚙️ Config'!$A$4:$B$13,2,0),"")</f>
        <v/>
      </c>
      <c r="AD51" s="14" t="str">
        <f aca="false">IFERROR(VLOOKUP(TRIM('📥 Respostas'!AG51),'⚙️ Config'!$A$4:$B$13,2,0),"")</f>
        <v/>
      </c>
      <c r="AE51" s="14" t="str">
        <f aca="false">IFERROR(VLOOKUP(TRIM('📥 Respostas'!AH51),'⚙️ Config'!$A$4:$B$13,2,0),"")</f>
        <v/>
      </c>
      <c r="AF51" s="14" t="str">
        <f aca="false">IFERROR(VLOOKUP(TRIM('📥 Respostas'!AI51),'⚙️ Config'!$C$4:$D$11,2,0),"")</f>
        <v/>
      </c>
      <c r="AG51" s="14" t="str">
        <f aca="false">IFERROR(VLOOKUP(TRIM('📥 Respostas'!AJ51),'⚙️ Config'!$A$4:$B$13,2,0),"")</f>
        <v/>
      </c>
      <c r="AH51" s="14" t="str">
        <f aca="false">IFERROR(VLOOKUP(TRIM('📥 Respostas'!AK51),'⚙️ Config'!$A$4:$B$13,2,0),"")</f>
        <v/>
      </c>
      <c r="AI51" s="14" t="str">
        <f aca="false">IFERROR(VLOOKUP(TRIM('📥 Respostas'!AL51),'⚙️ Config'!$A$4:$B$13,2,0),"")</f>
        <v/>
      </c>
      <c r="AJ51" s="14" t="str">
        <f aca="false">IFERROR(VLOOKUP(TRIM('📥 Respostas'!AM51),'⚙️ Config'!$A$4:$B$13,2,0),"")</f>
        <v/>
      </c>
      <c r="AK51" s="14" t="str">
        <f aca="false">IFERROR(VLOOKUP(TRIM('📥 Respostas'!AN51),'⚙️ Config'!$A$4:$B$13,2,0),"")</f>
        <v/>
      </c>
      <c r="AL51" s="14" t="str">
        <f aca="false">IFERROR(VLOOKUP(TRIM('📥 Respostas'!AO51),'⚙️ Config'!$A$4:$B$13,2,0),"")</f>
        <v/>
      </c>
      <c r="AM51" s="14" t="str">
        <f aca="false">IFERROR(VLOOKUP(TRIM('📥 Respostas'!AP51),'⚙️ Config'!$A$4:$B$13,2,0),"")</f>
        <v/>
      </c>
      <c r="AN51" s="14" t="str">
        <f aca="false">IFERROR(VLOOKUP(TRIM('📥 Respostas'!AQ51),'⚙️ Config'!$A$4:$B$13,2,0),"")</f>
        <v/>
      </c>
      <c r="AO51" s="14" t="str">
        <f aca="false">IFERROR(VLOOKUP(TRIM('📥 Respostas'!AR51),'⚙️ Config'!$A$4:$B$13,2,0),"")</f>
        <v/>
      </c>
      <c r="AP51" s="14" t="str">
        <f aca="false">IFERROR(VLOOKUP(TRIM('📥 Respostas'!AS51),'⚙️ Config'!$A$4:$B$13,2,0),"")</f>
        <v/>
      </c>
      <c r="AQ51" s="14" t="str">
        <f aca="false">IFERROR(VLOOKUP(TRIM('📥 Respostas'!AT51),'⚙️ Config'!$A$4:$B$13,2,0),"")</f>
        <v/>
      </c>
      <c r="AR51" s="14" t="str">
        <f aca="false">IFERROR(VLOOKUP(TRIM('📥 Respostas'!AU51),'⚙️ Config'!$A$4:$B$13,2,0),"")</f>
        <v/>
      </c>
    </row>
    <row r="52" customFormat="false" ht="15" hidden="false" customHeight="false" outlineLevel="0" collapsed="false">
      <c r="A52" s="12" t="str">
        <f aca="false">IF(ISBLANK('📥 Respostas'!D52),"",ROW()-3)</f>
        <v/>
      </c>
      <c r="B52" s="12" t="n">
        <f aca="false">'📥 Respostas'!D52</f>
        <v>0</v>
      </c>
      <c r="C52" s="13" t="n">
        <f aca="false">'📥 Respostas'!C52</f>
        <v>0</v>
      </c>
      <c r="D52" s="14" t="str">
        <f aca="false">IFERROR(VLOOKUP(TRIM('📥 Respostas'!G52),'⚙️ Config'!$A$4:$B$13,2,0),"")</f>
        <v/>
      </c>
      <c r="E52" s="14" t="str">
        <f aca="false">IFERROR(VLOOKUP(TRIM('📥 Respostas'!H52),'⚙️ Config'!$A$4:$B$13,2,0),"")</f>
        <v/>
      </c>
      <c r="F52" s="14" t="str">
        <f aca="false">IFERROR(VLOOKUP(TRIM('📥 Respostas'!I52),'⚙️ Config'!$A$4:$B$13,2,0),"")</f>
        <v/>
      </c>
      <c r="G52" s="14" t="str">
        <f aca="false">IFERROR(VLOOKUP(TRIM('📥 Respostas'!J52),'⚙️ Config'!$A$4:$B$13,2,0),"")</f>
        <v/>
      </c>
      <c r="H52" s="14" t="str">
        <f aca="false">IFERROR(VLOOKUP(TRIM('📥 Respostas'!K52),'⚙️ Config'!$A$4:$B$13,2,0),"")</f>
        <v/>
      </c>
      <c r="I52" s="14" t="str">
        <f aca="false">IFERROR(VLOOKUP(TRIM('📥 Respostas'!L52),'⚙️ Config'!$A$4:$B$13,2,0),"")</f>
        <v/>
      </c>
      <c r="J52" s="14" t="str">
        <f aca="false">IFERROR(VLOOKUP(TRIM('📥 Respostas'!M52),'⚙️ Config'!$A$4:$B$13,2,0),"")</f>
        <v/>
      </c>
      <c r="K52" s="14" t="str">
        <f aca="false">IFERROR(VLOOKUP(TRIM('📥 Respostas'!N52),'⚙️ Config'!$A$4:$B$13,2,0),"")</f>
        <v/>
      </c>
      <c r="L52" s="14" t="str">
        <f aca="false">IFERROR(VLOOKUP(TRIM('📥 Respostas'!O52),'⚙️ Config'!$A$4:$B$13,2,0),"")</f>
        <v/>
      </c>
      <c r="M52" s="14" t="str">
        <f aca="false">IFERROR(VLOOKUP(TRIM('📥 Respostas'!P52),'⚙️ Config'!$A$4:$B$13,2,0),"")</f>
        <v/>
      </c>
      <c r="N52" s="14" t="str">
        <f aca="false">IFERROR(VLOOKUP(TRIM('📥 Respostas'!Q52),'⚙️ Config'!$A$4:$B$13,2,0),"")</f>
        <v/>
      </c>
      <c r="O52" s="14" t="str">
        <f aca="false">IFERROR(VLOOKUP(TRIM('📥 Respostas'!R52),'⚙️ Config'!$A$4:$B$13,2,0),"")</f>
        <v/>
      </c>
      <c r="P52" s="14" t="str">
        <f aca="false">IFERROR(VLOOKUP(TRIM('📥 Respostas'!S52),'⚙️ Config'!$A$4:$B$13,2,0),"")</f>
        <v/>
      </c>
      <c r="Q52" s="14" t="str">
        <f aca="false">IFERROR(VLOOKUP(TRIM('📥 Respostas'!T52),'⚙️ Config'!$A$4:$B$13,2,0),"")</f>
        <v/>
      </c>
      <c r="R52" s="14" t="str">
        <f aca="false">IFERROR(VLOOKUP(TRIM('📥 Respostas'!U52),'⚙️ Config'!$A$4:$B$13,2,0),"")</f>
        <v/>
      </c>
      <c r="S52" s="14" t="str">
        <f aca="false">IFERROR(VLOOKUP(TRIM('📥 Respostas'!V52),'⚙️ Config'!$A$4:$B$13,2,0),"")</f>
        <v/>
      </c>
      <c r="T52" s="14" t="str">
        <f aca="false">IFERROR(VLOOKUP(TRIM('📥 Respostas'!W52),'⚙️ Config'!$A$4:$B$13,2,0),"")</f>
        <v/>
      </c>
      <c r="U52" s="14" t="str">
        <f aca="false">IFERROR(VLOOKUP(TRIM('📥 Respostas'!X52),'⚙️ Config'!$A$4:$B$13,2,0),"")</f>
        <v/>
      </c>
      <c r="V52" s="14" t="str">
        <f aca="false">IFERROR(VLOOKUP(TRIM('📥 Respostas'!Y52),'⚙️ Config'!$A$4:$B$13,2,0),"")</f>
        <v/>
      </c>
      <c r="W52" s="14" t="str">
        <f aca="false">IFERROR(VLOOKUP(TRIM('📥 Respostas'!Z52),'⚙️ Config'!$A$4:$B$13,2,0),"")</f>
        <v/>
      </c>
      <c r="X52" s="14" t="str">
        <f aca="false">IFERROR(VLOOKUP(TRIM('📥 Respostas'!AA52),'⚙️ Config'!$A$4:$B$13,2,0),"")</f>
        <v/>
      </c>
      <c r="Y52" s="14" t="str">
        <f aca="false">IFERROR(VLOOKUP(TRIM('📥 Respostas'!AB52),'⚙️ Config'!$A$4:$B$13,2,0),"")</f>
        <v/>
      </c>
      <c r="Z52" s="14" t="str">
        <f aca="false">IFERROR(VLOOKUP(TRIM('📥 Respostas'!AC52),'⚙️ Config'!$A$4:$B$13,2,0),"")</f>
        <v/>
      </c>
      <c r="AA52" s="14" t="str">
        <f aca="false">IFERROR(VLOOKUP(TRIM('📥 Respostas'!AD52),'⚙️ Config'!$A$4:$B$13,2,0),"")</f>
        <v/>
      </c>
      <c r="AB52" s="14" t="str">
        <f aca="false">IFERROR(VLOOKUP(TRIM('📥 Respostas'!AE52),'⚙️ Config'!$A$4:$B$13,2,0),"")</f>
        <v/>
      </c>
      <c r="AC52" s="14" t="str">
        <f aca="false">IFERROR(VLOOKUP(TRIM('📥 Respostas'!AF52),'⚙️ Config'!$A$4:$B$13,2,0),"")</f>
        <v/>
      </c>
      <c r="AD52" s="14" t="str">
        <f aca="false">IFERROR(VLOOKUP(TRIM('📥 Respostas'!AG52),'⚙️ Config'!$A$4:$B$13,2,0),"")</f>
        <v/>
      </c>
      <c r="AE52" s="14" t="str">
        <f aca="false">IFERROR(VLOOKUP(TRIM('📥 Respostas'!AH52),'⚙️ Config'!$A$4:$B$13,2,0),"")</f>
        <v/>
      </c>
      <c r="AF52" s="14" t="str">
        <f aca="false">IFERROR(VLOOKUP(TRIM('📥 Respostas'!AI52),'⚙️ Config'!$C$4:$D$11,2,0),"")</f>
        <v/>
      </c>
      <c r="AG52" s="14" t="str">
        <f aca="false">IFERROR(VLOOKUP(TRIM('📥 Respostas'!AJ52),'⚙️ Config'!$A$4:$B$13,2,0),"")</f>
        <v/>
      </c>
      <c r="AH52" s="14" t="str">
        <f aca="false">IFERROR(VLOOKUP(TRIM('📥 Respostas'!AK52),'⚙️ Config'!$A$4:$B$13,2,0),"")</f>
        <v/>
      </c>
      <c r="AI52" s="14" t="str">
        <f aca="false">IFERROR(VLOOKUP(TRIM('📥 Respostas'!AL52),'⚙️ Config'!$A$4:$B$13,2,0),"")</f>
        <v/>
      </c>
      <c r="AJ52" s="14" t="str">
        <f aca="false">IFERROR(VLOOKUP(TRIM('📥 Respostas'!AM52),'⚙️ Config'!$A$4:$B$13,2,0),"")</f>
        <v/>
      </c>
      <c r="AK52" s="14" t="str">
        <f aca="false">IFERROR(VLOOKUP(TRIM('📥 Respostas'!AN52),'⚙️ Config'!$A$4:$B$13,2,0),"")</f>
        <v/>
      </c>
      <c r="AL52" s="14" t="str">
        <f aca="false">IFERROR(VLOOKUP(TRIM('📥 Respostas'!AO52),'⚙️ Config'!$A$4:$B$13,2,0),"")</f>
        <v/>
      </c>
      <c r="AM52" s="14" t="str">
        <f aca="false">IFERROR(VLOOKUP(TRIM('📥 Respostas'!AP52),'⚙️ Config'!$A$4:$B$13,2,0),"")</f>
        <v/>
      </c>
      <c r="AN52" s="14" t="str">
        <f aca="false">IFERROR(VLOOKUP(TRIM('📥 Respostas'!AQ52),'⚙️ Config'!$A$4:$B$13,2,0),"")</f>
        <v/>
      </c>
      <c r="AO52" s="14" t="str">
        <f aca="false">IFERROR(VLOOKUP(TRIM('📥 Respostas'!AR52),'⚙️ Config'!$A$4:$B$13,2,0),"")</f>
        <v/>
      </c>
      <c r="AP52" s="14" t="str">
        <f aca="false">IFERROR(VLOOKUP(TRIM('📥 Respostas'!AS52),'⚙️ Config'!$A$4:$B$13,2,0),"")</f>
        <v/>
      </c>
      <c r="AQ52" s="14" t="str">
        <f aca="false">IFERROR(VLOOKUP(TRIM('📥 Respostas'!AT52),'⚙️ Config'!$A$4:$B$13,2,0),"")</f>
        <v/>
      </c>
      <c r="AR52" s="14" t="str">
        <f aca="false">IFERROR(VLOOKUP(TRIM('📥 Respostas'!AU52),'⚙️ Config'!$A$4:$B$13,2,0),"")</f>
        <v/>
      </c>
    </row>
    <row r="53" customFormat="false" ht="15" hidden="false" customHeight="false" outlineLevel="0" collapsed="false">
      <c r="A53" s="15" t="str">
        <f aca="false">IF(ISBLANK('📥 Respostas'!D53),"",ROW()-3)</f>
        <v/>
      </c>
      <c r="B53" s="15" t="n">
        <f aca="false">'📥 Respostas'!D53</f>
        <v>0</v>
      </c>
      <c r="C53" s="5" t="n">
        <f aca="false">'📥 Respostas'!C53</f>
        <v>0</v>
      </c>
      <c r="D53" s="14" t="str">
        <f aca="false">IFERROR(VLOOKUP(TRIM('📥 Respostas'!G53),'⚙️ Config'!$A$4:$B$13,2,0),"")</f>
        <v/>
      </c>
      <c r="E53" s="14" t="str">
        <f aca="false">IFERROR(VLOOKUP(TRIM('📥 Respostas'!H53),'⚙️ Config'!$A$4:$B$13,2,0),"")</f>
        <v/>
      </c>
      <c r="F53" s="14" t="str">
        <f aca="false">IFERROR(VLOOKUP(TRIM('📥 Respostas'!I53),'⚙️ Config'!$A$4:$B$13,2,0),"")</f>
        <v/>
      </c>
      <c r="G53" s="14" t="str">
        <f aca="false">IFERROR(VLOOKUP(TRIM('📥 Respostas'!J53),'⚙️ Config'!$A$4:$B$13,2,0),"")</f>
        <v/>
      </c>
      <c r="H53" s="14" t="str">
        <f aca="false">IFERROR(VLOOKUP(TRIM('📥 Respostas'!K53),'⚙️ Config'!$A$4:$B$13,2,0),"")</f>
        <v/>
      </c>
      <c r="I53" s="14" t="str">
        <f aca="false">IFERROR(VLOOKUP(TRIM('📥 Respostas'!L53),'⚙️ Config'!$A$4:$B$13,2,0),"")</f>
        <v/>
      </c>
      <c r="J53" s="14" t="str">
        <f aca="false">IFERROR(VLOOKUP(TRIM('📥 Respostas'!M53),'⚙️ Config'!$A$4:$B$13,2,0),"")</f>
        <v/>
      </c>
      <c r="K53" s="14" t="str">
        <f aca="false">IFERROR(VLOOKUP(TRIM('📥 Respostas'!N53),'⚙️ Config'!$A$4:$B$13,2,0),"")</f>
        <v/>
      </c>
      <c r="L53" s="14" t="str">
        <f aca="false">IFERROR(VLOOKUP(TRIM('📥 Respostas'!O53),'⚙️ Config'!$A$4:$B$13,2,0),"")</f>
        <v/>
      </c>
      <c r="M53" s="14" t="str">
        <f aca="false">IFERROR(VLOOKUP(TRIM('📥 Respostas'!P53),'⚙️ Config'!$A$4:$B$13,2,0),"")</f>
        <v/>
      </c>
      <c r="N53" s="14" t="str">
        <f aca="false">IFERROR(VLOOKUP(TRIM('📥 Respostas'!Q53),'⚙️ Config'!$A$4:$B$13,2,0),"")</f>
        <v/>
      </c>
      <c r="O53" s="14" t="str">
        <f aca="false">IFERROR(VLOOKUP(TRIM('📥 Respostas'!R53),'⚙️ Config'!$A$4:$B$13,2,0),"")</f>
        <v/>
      </c>
      <c r="P53" s="14" t="str">
        <f aca="false">IFERROR(VLOOKUP(TRIM('📥 Respostas'!S53),'⚙️ Config'!$A$4:$B$13,2,0),"")</f>
        <v/>
      </c>
      <c r="Q53" s="14" t="str">
        <f aca="false">IFERROR(VLOOKUP(TRIM('📥 Respostas'!T53),'⚙️ Config'!$A$4:$B$13,2,0),"")</f>
        <v/>
      </c>
      <c r="R53" s="14" t="str">
        <f aca="false">IFERROR(VLOOKUP(TRIM('📥 Respostas'!U53),'⚙️ Config'!$A$4:$B$13,2,0),"")</f>
        <v/>
      </c>
      <c r="S53" s="14" t="str">
        <f aca="false">IFERROR(VLOOKUP(TRIM('📥 Respostas'!V53),'⚙️ Config'!$A$4:$B$13,2,0),"")</f>
        <v/>
      </c>
      <c r="T53" s="14" t="str">
        <f aca="false">IFERROR(VLOOKUP(TRIM('📥 Respostas'!W53),'⚙️ Config'!$A$4:$B$13,2,0),"")</f>
        <v/>
      </c>
      <c r="U53" s="14" t="str">
        <f aca="false">IFERROR(VLOOKUP(TRIM('📥 Respostas'!X53),'⚙️ Config'!$A$4:$B$13,2,0),"")</f>
        <v/>
      </c>
      <c r="V53" s="14" t="str">
        <f aca="false">IFERROR(VLOOKUP(TRIM('📥 Respostas'!Y53),'⚙️ Config'!$A$4:$B$13,2,0),"")</f>
        <v/>
      </c>
      <c r="W53" s="14" t="str">
        <f aca="false">IFERROR(VLOOKUP(TRIM('📥 Respostas'!Z53),'⚙️ Config'!$A$4:$B$13,2,0),"")</f>
        <v/>
      </c>
      <c r="X53" s="14" t="str">
        <f aca="false">IFERROR(VLOOKUP(TRIM('📥 Respostas'!AA53),'⚙️ Config'!$A$4:$B$13,2,0),"")</f>
        <v/>
      </c>
      <c r="Y53" s="14" t="str">
        <f aca="false">IFERROR(VLOOKUP(TRIM('📥 Respostas'!AB53),'⚙️ Config'!$A$4:$B$13,2,0),"")</f>
        <v/>
      </c>
      <c r="Z53" s="14" t="str">
        <f aca="false">IFERROR(VLOOKUP(TRIM('📥 Respostas'!AC53),'⚙️ Config'!$A$4:$B$13,2,0),"")</f>
        <v/>
      </c>
      <c r="AA53" s="14" t="str">
        <f aca="false">IFERROR(VLOOKUP(TRIM('📥 Respostas'!AD53),'⚙️ Config'!$A$4:$B$13,2,0),"")</f>
        <v/>
      </c>
      <c r="AB53" s="14" t="str">
        <f aca="false">IFERROR(VLOOKUP(TRIM('📥 Respostas'!AE53),'⚙️ Config'!$A$4:$B$13,2,0),"")</f>
        <v/>
      </c>
      <c r="AC53" s="14" t="str">
        <f aca="false">IFERROR(VLOOKUP(TRIM('📥 Respostas'!AF53),'⚙️ Config'!$A$4:$B$13,2,0),"")</f>
        <v/>
      </c>
      <c r="AD53" s="14" t="str">
        <f aca="false">IFERROR(VLOOKUP(TRIM('📥 Respostas'!AG53),'⚙️ Config'!$A$4:$B$13,2,0),"")</f>
        <v/>
      </c>
      <c r="AE53" s="14" t="str">
        <f aca="false">IFERROR(VLOOKUP(TRIM('📥 Respostas'!AH53),'⚙️ Config'!$A$4:$B$13,2,0),"")</f>
        <v/>
      </c>
      <c r="AF53" s="14" t="str">
        <f aca="false">IFERROR(VLOOKUP(TRIM('📥 Respostas'!AI53),'⚙️ Config'!$C$4:$D$11,2,0),"")</f>
        <v/>
      </c>
      <c r="AG53" s="14" t="str">
        <f aca="false">IFERROR(VLOOKUP(TRIM('📥 Respostas'!AJ53),'⚙️ Config'!$A$4:$B$13,2,0),"")</f>
        <v/>
      </c>
      <c r="AH53" s="14" t="str">
        <f aca="false">IFERROR(VLOOKUP(TRIM('📥 Respostas'!AK53),'⚙️ Config'!$A$4:$B$13,2,0),"")</f>
        <v/>
      </c>
      <c r="AI53" s="14" t="str">
        <f aca="false">IFERROR(VLOOKUP(TRIM('📥 Respostas'!AL53),'⚙️ Config'!$A$4:$B$13,2,0),"")</f>
        <v/>
      </c>
      <c r="AJ53" s="14" t="str">
        <f aca="false">IFERROR(VLOOKUP(TRIM('📥 Respostas'!AM53),'⚙️ Config'!$A$4:$B$13,2,0),"")</f>
        <v/>
      </c>
      <c r="AK53" s="14" t="str">
        <f aca="false">IFERROR(VLOOKUP(TRIM('📥 Respostas'!AN53),'⚙️ Config'!$A$4:$B$13,2,0),"")</f>
        <v/>
      </c>
      <c r="AL53" s="14" t="str">
        <f aca="false">IFERROR(VLOOKUP(TRIM('📥 Respostas'!AO53),'⚙️ Config'!$A$4:$B$13,2,0),"")</f>
        <v/>
      </c>
      <c r="AM53" s="14" t="str">
        <f aca="false">IFERROR(VLOOKUP(TRIM('📥 Respostas'!AP53),'⚙️ Config'!$A$4:$B$13,2,0),"")</f>
        <v/>
      </c>
      <c r="AN53" s="14" t="str">
        <f aca="false">IFERROR(VLOOKUP(TRIM('📥 Respostas'!AQ53),'⚙️ Config'!$A$4:$B$13,2,0),"")</f>
        <v/>
      </c>
      <c r="AO53" s="14" t="str">
        <f aca="false">IFERROR(VLOOKUP(TRIM('📥 Respostas'!AR53),'⚙️ Config'!$A$4:$B$13,2,0),"")</f>
        <v/>
      </c>
      <c r="AP53" s="14" t="str">
        <f aca="false">IFERROR(VLOOKUP(TRIM('📥 Respostas'!AS53),'⚙️ Config'!$A$4:$B$13,2,0),"")</f>
        <v/>
      </c>
      <c r="AQ53" s="14" t="str">
        <f aca="false">IFERROR(VLOOKUP(TRIM('📥 Respostas'!AT53),'⚙️ Config'!$A$4:$B$13,2,0),"")</f>
        <v/>
      </c>
      <c r="AR53" s="14" t="str">
        <f aca="false">IFERROR(VLOOKUP(TRIM('📥 Respostas'!AU53),'⚙️ Config'!$A$4:$B$13,2,0),"")</f>
        <v/>
      </c>
    </row>
    <row r="54" customFormat="false" ht="15" hidden="false" customHeight="false" outlineLevel="0" collapsed="false">
      <c r="A54" s="12" t="str">
        <f aca="false">IF(ISBLANK('📥 Respostas'!D54),"",ROW()-3)</f>
        <v/>
      </c>
      <c r="B54" s="12" t="n">
        <f aca="false">'📥 Respostas'!D54</f>
        <v>0</v>
      </c>
      <c r="C54" s="13" t="n">
        <f aca="false">'📥 Respostas'!C54</f>
        <v>0</v>
      </c>
      <c r="D54" s="14" t="str">
        <f aca="false">IFERROR(VLOOKUP(TRIM('📥 Respostas'!G54),'⚙️ Config'!$A$4:$B$13,2,0),"")</f>
        <v/>
      </c>
      <c r="E54" s="14" t="str">
        <f aca="false">IFERROR(VLOOKUP(TRIM('📥 Respostas'!H54),'⚙️ Config'!$A$4:$B$13,2,0),"")</f>
        <v/>
      </c>
      <c r="F54" s="14" t="str">
        <f aca="false">IFERROR(VLOOKUP(TRIM('📥 Respostas'!I54),'⚙️ Config'!$A$4:$B$13,2,0),"")</f>
        <v/>
      </c>
      <c r="G54" s="14" t="str">
        <f aca="false">IFERROR(VLOOKUP(TRIM('📥 Respostas'!J54),'⚙️ Config'!$A$4:$B$13,2,0),"")</f>
        <v/>
      </c>
      <c r="H54" s="14" t="str">
        <f aca="false">IFERROR(VLOOKUP(TRIM('📥 Respostas'!K54),'⚙️ Config'!$A$4:$B$13,2,0),"")</f>
        <v/>
      </c>
      <c r="I54" s="14" t="str">
        <f aca="false">IFERROR(VLOOKUP(TRIM('📥 Respostas'!L54),'⚙️ Config'!$A$4:$B$13,2,0),"")</f>
        <v/>
      </c>
      <c r="J54" s="14" t="str">
        <f aca="false">IFERROR(VLOOKUP(TRIM('📥 Respostas'!M54),'⚙️ Config'!$A$4:$B$13,2,0),"")</f>
        <v/>
      </c>
      <c r="K54" s="14" t="str">
        <f aca="false">IFERROR(VLOOKUP(TRIM('📥 Respostas'!N54),'⚙️ Config'!$A$4:$B$13,2,0),"")</f>
        <v/>
      </c>
      <c r="L54" s="14" t="str">
        <f aca="false">IFERROR(VLOOKUP(TRIM('📥 Respostas'!O54),'⚙️ Config'!$A$4:$B$13,2,0),"")</f>
        <v/>
      </c>
      <c r="M54" s="14" t="str">
        <f aca="false">IFERROR(VLOOKUP(TRIM('📥 Respostas'!P54),'⚙️ Config'!$A$4:$B$13,2,0),"")</f>
        <v/>
      </c>
      <c r="N54" s="14" t="str">
        <f aca="false">IFERROR(VLOOKUP(TRIM('📥 Respostas'!Q54),'⚙️ Config'!$A$4:$B$13,2,0),"")</f>
        <v/>
      </c>
      <c r="O54" s="14" t="str">
        <f aca="false">IFERROR(VLOOKUP(TRIM('📥 Respostas'!R54),'⚙️ Config'!$A$4:$B$13,2,0),"")</f>
        <v/>
      </c>
      <c r="P54" s="14" t="str">
        <f aca="false">IFERROR(VLOOKUP(TRIM('📥 Respostas'!S54),'⚙️ Config'!$A$4:$B$13,2,0),"")</f>
        <v/>
      </c>
      <c r="Q54" s="14" t="str">
        <f aca="false">IFERROR(VLOOKUP(TRIM('📥 Respostas'!T54),'⚙️ Config'!$A$4:$B$13,2,0),"")</f>
        <v/>
      </c>
      <c r="R54" s="14" t="str">
        <f aca="false">IFERROR(VLOOKUP(TRIM('📥 Respostas'!U54),'⚙️ Config'!$A$4:$B$13,2,0),"")</f>
        <v/>
      </c>
      <c r="S54" s="14" t="str">
        <f aca="false">IFERROR(VLOOKUP(TRIM('📥 Respostas'!V54),'⚙️ Config'!$A$4:$B$13,2,0),"")</f>
        <v/>
      </c>
      <c r="T54" s="14" t="str">
        <f aca="false">IFERROR(VLOOKUP(TRIM('📥 Respostas'!W54),'⚙️ Config'!$A$4:$B$13,2,0),"")</f>
        <v/>
      </c>
      <c r="U54" s="14" t="str">
        <f aca="false">IFERROR(VLOOKUP(TRIM('📥 Respostas'!X54),'⚙️ Config'!$A$4:$B$13,2,0),"")</f>
        <v/>
      </c>
      <c r="V54" s="14" t="str">
        <f aca="false">IFERROR(VLOOKUP(TRIM('📥 Respostas'!Y54),'⚙️ Config'!$A$4:$B$13,2,0),"")</f>
        <v/>
      </c>
      <c r="W54" s="14" t="str">
        <f aca="false">IFERROR(VLOOKUP(TRIM('📥 Respostas'!Z54),'⚙️ Config'!$A$4:$B$13,2,0),"")</f>
        <v/>
      </c>
      <c r="X54" s="14" t="str">
        <f aca="false">IFERROR(VLOOKUP(TRIM('📥 Respostas'!AA54),'⚙️ Config'!$A$4:$B$13,2,0),"")</f>
        <v/>
      </c>
      <c r="Y54" s="14" t="str">
        <f aca="false">IFERROR(VLOOKUP(TRIM('📥 Respostas'!AB54),'⚙️ Config'!$A$4:$B$13,2,0),"")</f>
        <v/>
      </c>
      <c r="Z54" s="14" t="str">
        <f aca="false">IFERROR(VLOOKUP(TRIM('📥 Respostas'!AC54),'⚙️ Config'!$A$4:$B$13,2,0),"")</f>
        <v/>
      </c>
      <c r="AA54" s="14" t="str">
        <f aca="false">IFERROR(VLOOKUP(TRIM('📥 Respostas'!AD54),'⚙️ Config'!$A$4:$B$13,2,0),"")</f>
        <v/>
      </c>
      <c r="AB54" s="14" t="str">
        <f aca="false">IFERROR(VLOOKUP(TRIM('📥 Respostas'!AE54),'⚙️ Config'!$A$4:$B$13,2,0),"")</f>
        <v/>
      </c>
      <c r="AC54" s="14" t="str">
        <f aca="false">IFERROR(VLOOKUP(TRIM('📥 Respostas'!AF54),'⚙️ Config'!$A$4:$B$13,2,0),"")</f>
        <v/>
      </c>
      <c r="AD54" s="14" t="str">
        <f aca="false">IFERROR(VLOOKUP(TRIM('📥 Respostas'!AG54),'⚙️ Config'!$A$4:$B$13,2,0),"")</f>
        <v/>
      </c>
      <c r="AE54" s="14" t="str">
        <f aca="false">IFERROR(VLOOKUP(TRIM('📥 Respostas'!AH54),'⚙️ Config'!$A$4:$B$13,2,0),"")</f>
        <v/>
      </c>
      <c r="AF54" s="14" t="str">
        <f aca="false">IFERROR(VLOOKUP(TRIM('📥 Respostas'!AI54),'⚙️ Config'!$C$4:$D$11,2,0),"")</f>
        <v/>
      </c>
      <c r="AG54" s="14" t="str">
        <f aca="false">IFERROR(VLOOKUP(TRIM('📥 Respostas'!AJ54),'⚙️ Config'!$A$4:$B$13,2,0),"")</f>
        <v/>
      </c>
      <c r="AH54" s="14" t="str">
        <f aca="false">IFERROR(VLOOKUP(TRIM('📥 Respostas'!AK54),'⚙️ Config'!$A$4:$B$13,2,0),"")</f>
        <v/>
      </c>
      <c r="AI54" s="14" t="str">
        <f aca="false">IFERROR(VLOOKUP(TRIM('📥 Respostas'!AL54),'⚙️ Config'!$A$4:$B$13,2,0),"")</f>
        <v/>
      </c>
      <c r="AJ54" s="14" t="str">
        <f aca="false">IFERROR(VLOOKUP(TRIM('📥 Respostas'!AM54),'⚙️ Config'!$A$4:$B$13,2,0),"")</f>
        <v/>
      </c>
      <c r="AK54" s="14" t="str">
        <f aca="false">IFERROR(VLOOKUP(TRIM('📥 Respostas'!AN54),'⚙️ Config'!$A$4:$B$13,2,0),"")</f>
        <v/>
      </c>
      <c r="AL54" s="14" t="str">
        <f aca="false">IFERROR(VLOOKUP(TRIM('📥 Respostas'!AO54),'⚙️ Config'!$A$4:$B$13,2,0),"")</f>
        <v/>
      </c>
      <c r="AM54" s="14" t="str">
        <f aca="false">IFERROR(VLOOKUP(TRIM('📥 Respostas'!AP54),'⚙️ Config'!$A$4:$B$13,2,0),"")</f>
        <v/>
      </c>
      <c r="AN54" s="14" t="str">
        <f aca="false">IFERROR(VLOOKUP(TRIM('📥 Respostas'!AQ54),'⚙️ Config'!$A$4:$B$13,2,0),"")</f>
        <v/>
      </c>
      <c r="AO54" s="14" t="str">
        <f aca="false">IFERROR(VLOOKUP(TRIM('📥 Respostas'!AR54),'⚙️ Config'!$A$4:$B$13,2,0),"")</f>
        <v/>
      </c>
      <c r="AP54" s="14" t="str">
        <f aca="false">IFERROR(VLOOKUP(TRIM('📥 Respostas'!AS54),'⚙️ Config'!$A$4:$B$13,2,0),"")</f>
        <v/>
      </c>
      <c r="AQ54" s="14" t="str">
        <f aca="false">IFERROR(VLOOKUP(TRIM('📥 Respostas'!AT54),'⚙️ Config'!$A$4:$B$13,2,0),"")</f>
        <v/>
      </c>
      <c r="AR54" s="14" t="str">
        <f aca="false">IFERROR(VLOOKUP(TRIM('📥 Respostas'!AU54),'⚙️ Config'!$A$4:$B$13,2,0),"")</f>
        <v/>
      </c>
    </row>
    <row r="55" customFormat="false" ht="15" hidden="false" customHeight="false" outlineLevel="0" collapsed="false">
      <c r="A55" s="15" t="str">
        <f aca="false">IF(ISBLANK('📥 Respostas'!D55),"",ROW()-3)</f>
        <v/>
      </c>
      <c r="B55" s="15" t="n">
        <f aca="false">'📥 Respostas'!D55</f>
        <v>0</v>
      </c>
      <c r="C55" s="5" t="n">
        <f aca="false">'📥 Respostas'!C55</f>
        <v>0</v>
      </c>
      <c r="D55" s="14" t="str">
        <f aca="false">IFERROR(VLOOKUP(TRIM('📥 Respostas'!G55),'⚙️ Config'!$A$4:$B$13,2,0),"")</f>
        <v/>
      </c>
      <c r="E55" s="14" t="str">
        <f aca="false">IFERROR(VLOOKUP(TRIM('📥 Respostas'!H55),'⚙️ Config'!$A$4:$B$13,2,0),"")</f>
        <v/>
      </c>
      <c r="F55" s="14" t="str">
        <f aca="false">IFERROR(VLOOKUP(TRIM('📥 Respostas'!I55),'⚙️ Config'!$A$4:$B$13,2,0),"")</f>
        <v/>
      </c>
      <c r="G55" s="14" t="str">
        <f aca="false">IFERROR(VLOOKUP(TRIM('📥 Respostas'!J55),'⚙️ Config'!$A$4:$B$13,2,0),"")</f>
        <v/>
      </c>
      <c r="H55" s="14" t="str">
        <f aca="false">IFERROR(VLOOKUP(TRIM('📥 Respostas'!K55),'⚙️ Config'!$A$4:$B$13,2,0),"")</f>
        <v/>
      </c>
      <c r="I55" s="14" t="str">
        <f aca="false">IFERROR(VLOOKUP(TRIM('📥 Respostas'!L55),'⚙️ Config'!$A$4:$B$13,2,0),"")</f>
        <v/>
      </c>
      <c r="J55" s="14" t="str">
        <f aca="false">IFERROR(VLOOKUP(TRIM('📥 Respostas'!M55),'⚙️ Config'!$A$4:$B$13,2,0),"")</f>
        <v/>
      </c>
      <c r="K55" s="14" t="str">
        <f aca="false">IFERROR(VLOOKUP(TRIM('📥 Respostas'!N55),'⚙️ Config'!$A$4:$B$13,2,0),"")</f>
        <v/>
      </c>
      <c r="L55" s="14" t="str">
        <f aca="false">IFERROR(VLOOKUP(TRIM('📥 Respostas'!O55),'⚙️ Config'!$A$4:$B$13,2,0),"")</f>
        <v/>
      </c>
      <c r="M55" s="14" t="str">
        <f aca="false">IFERROR(VLOOKUP(TRIM('📥 Respostas'!P55),'⚙️ Config'!$A$4:$B$13,2,0),"")</f>
        <v/>
      </c>
      <c r="N55" s="14" t="str">
        <f aca="false">IFERROR(VLOOKUP(TRIM('📥 Respostas'!Q55),'⚙️ Config'!$A$4:$B$13,2,0),"")</f>
        <v/>
      </c>
      <c r="O55" s="14" t="str">
        <f aca="false">IFERROR(VLOOKUP(TRIM('📥 Respostas'!R55),'⚙️ Config'!$A$4:$B$13,2,0),"")</f>
        <v/>
      </c>
      <c r="P55" s="14" t="str">
        <f aca="false">IFERROR(VLOOKUP(TRIM('📥 Respostas'!S55),'⚙️ Config'!$A$4:$B$13,2,0),"")</f>
        <v/>
      </c>
      <c r="Q55" s="14" t="str">
        <f aca="false">IFERROR(VLOOKUP(TRIM('📥 Respostas'!T55),'⚙️ Config'!$A$4:$B$13,2,0),"")</f>
        <v/>
      </c>
      <c r="R55" s="14" t="str">
        <f aca="false">IFERROR(VLOOKUP(TRIM('📥 Respostas'!U55),'⚙️ Config'!$A$4:$B$13,2,0),"")</f>
        <v/>
      </c>
      <c r="S55" s="14" t="str">
        <f aca="false">IFERROR(VLOOKUP(TRIM('📥 Respostas'!V55),'⚙️ Config'!$A$4:$B$13,2,0),"")</f>
        <v/>
      </c>
      <c r="T55" s="14" t="str">
        <f aca="false">IFERROR(VLOOKUP(TRIM('📥 Respostas'!W55),'⚙️ Config'!$A$4:$B$13,2,0),"")</f>
        <v/>
      </c>
      <c r="U55" s="14" t="str">
        <f aca="false">IFERROR(VLOOKUP(TRIM('📥 Respostas'!X55),'⚙️ Config'!$A$4:$B$13,2,0),"")</f>
        <v/>
      </c>
      <c r="V55" s="14" t="str">
        <f aca="false">IFERROR(VLOOKUP(TRIM('📥 Respostas'!Y55),'⚙️ Config'!$A$4:$B$13,2,0),"")</f>
        <v/>
      </c>
      <c r="W55" s="14" t="str">
        <f aca="false">IFERROR(VLOOKUP(TRIM('📥 Respostas'!Z55),'⚙️ Config'!$A$4:$B$13,2,0),"")</f>
        <v/>
      </c>
      <c r="X55" s="14" t="str">
        <f aca="false">IFERROR(VLOOKUP(TRIM('📥 Respostas'!AA55),'⚙️ Config'!$A$4:$B$13,2,0),"")</f>
        <v/>
      </c>
      <c r="Y55" s="14" t="str">
        <f aca="false">IFERROR(VLOOKUP(TRIM('📥 Respostas'!AB55),'⚙️ Config'!$A$4:$B$13,2,0),"")</f>
        <v/>
      </c>
      <c r="Z55" s="14" t="str">
        <f aca="false">IFERROR(VLOOKUP(TRIM('📥 Respostas'!AC55),'⚙️ Config'!$A$4:$B$13,2,0),"")</f>
        <v/>
      </c>
      <c r="AA55" s="14" t="str">
        <f aca="false">IFERROR(VLOOKUP(TRIM('📥 Respostas'!AD55),'⚙️ Config'!$A$4:$B$13,2,0),"")</f>
        <v/>
      </c>
      <c r="AB55" s="14" t="str">
        <f aca="false">IFERROR(VLOOKUP(TRIM('📥 Respostas'!AE55),'⚙️ Config'!$A$4:$B$13,2,0),"")</f>
        <v/>
      </c>
      <c r="AC55" s="14" t="str">
        <f aca="false">IFERROR(VLOOKUP(TRIM('📥 Respostas'!AF55),'⚙️ Config'!$A$4:$B$13,2,0),"")</f>
        <v/>
      </c>
      <c r="AD55" s="14" t="str">
        <f aca="false">IFERROR(VLOOKUP(TRIM('📥 Respostas'!AG55),'⚙️ Config'!$A$4:$B$13,2,0),"")</f>
        <v/>
      </c>
      <c r="AE55" s="14" t="str">
        <f aca="false">IFERROR(VLOOKUP(TRIM('📥 Respostas'!AH55),'⚙️ Config'!$A$4:$B$13,2,0),"")</f>
        <v/>
      </c>
      <c r="AF55" s="14" t="str">
        <f aca="false">IFERROR(VLOOKUP(TRIM('📥 Respostas'!AI55),'⚙️ Config'!$C$4:$D$11,2,0),"")</f>
        <v/>
      </c>
      <c r="AG55" s="14" t="str">
        <f aca="false">IFERROR(VLOOKUP(TRIM('📥 Respostas'!AJ55),'⚙️ Config'!$A$4:$B$13,2,0),"")</f>
        <v/>
      </c>
      <c r="AH55" s="14" t="str">
        <f aca="false">IFERROR(VLOOKUP(TRIM('📥 Respostas'!AK55),'⚙️ Config'!$A$4:$B$13,2,0),"")</f>
        <v/>
      </c>
      <c r="AI55" s="14" t="str">
        <f aca="false">IFERROR(VLOOKUP(TRIM('📥 Respostas'!AL55),'⚙️ Config'!$A$4:$B$13,2,0),"")</f>
        <v/>
      </c>
      <c r="AJ55" s="14" t="str">
        <f aca="false">IFERROR(VLOOKUP(TRIM('📥 Respostas'!AM55),'⚙️ Config'!$A$4:$B$13,2,0),"")</f>
        <v/>
      </c>
      <c r="AK55" s="14" t="str">
        <f aca="false">IFERROR(VLOOKUP(TRIM('📥 Respostas'!AN55),'⚙️ Config'!$A$4:$B$13,2,0),"")</f>
        <v/>
      </c>
      <c r="AL55" s="14" t="str">
        <f aca="false">IFERROR(VLOOKUP(TRIM('📥 Respostas'!AO55),'⚙️ Config'!$A$4:$B$13,2,0),"")</f>
        <v/>
      </c>
      <c r="AM55" s="14" t="str">
        <f aca="false">IFERROR(VLOOKUP(TRIM('📥 Respostas'!AP55),'⚙️ Config'!$A$4:$B$13,2,0),"")</f>
        <v/>
      </c>
      <c r="AN55" s="14" t="str">
        <f aca="false">IFERROR(VLOOKUP(TRIM('📥 Respostas'!AQ55),'⚙️ Config'!$A$4:$B$13,2,0),"")</f>
        <v/>
      </c>
      <c r="AO55" s="14" t="str">
        <f aca="false">IFERROR(VLOOKUP(TRIM('📥 Respostas'!AR55),'⚙️ Config'!$A$4:$B$13,2,0),"")</f>
        <v/>
      </c>
      <c r="AP55" s="14" t="str">
        <f aca="false">IFERROR(VLOOKUP(TRIM('📥 Respostas'!AS55),'⚙️ Config'!$A$4:$B$13,2,0),"")</f>
        <v/>
      </c>
      <c r="AQ55" s="14" t="str">
        <f aca="false">IFERROR(VLOOKUP(TRIM('📥 Respostas'!AT55),'⚙️ Config'!$A$4:$B$13,2,0),"")</f>
        <v/>
      </c>
      <c r="AR55" s="14" t="str">
        <f aca="false">IFERROR(VLOOKUP(TRIM('📥 Respostas'!AU55),'⚙️ Config'!$A$4:$B$13,2,0),"")</f>
        <v/>
      </c>
    </row>
    <row r="56" customFormat="false" ht="15" hidden="false" customHeight="false" outlineLevel="0" collapsed="false">
      <c r="A56" s="12" t="str">
        <f aca="false">IF(ISBLANK('📥 Respostas'!D56),"",ROW()-3)</f>
        <v/>
      </c>
      <c r="B56" s="12" t="n">
        <f aca="false">'📥 Respostas'!D56</f>
        <v>0</v>
      </c>
      <c r="C56" s="13" t="n">
        <f aca="false">'📥 Respostas'!C56</f>
        <v>0</v>
      </c>
      <c r="D56" s="14" t="str">
        <f aca="false">IFERROR(VLOOKUP(TRIM('📥 Respostas'!G56),'⚙️ Config'!$A$4:$B$13,2,0),"")</f>
        <v/>
      </c>
      <c r="E56" s="14" t="str">
        <f aca="false">IFERROR(VLOOKUP(TRIM('📥 Respostas'!H56),'⚙️ Config'!$A$4:$B$13,2,0),"")</f>
        <v/>
      </c>
      <c r="F56" s="14" t="str">
        <f aca="false">IFERROR(VLOOKUP(TRIM('📥 Respostas'!I56),'⚙️ Config'!$A$4:$B$13,2,0),"")</f>
        <v/>
      </c>
      <c r="G56" s="14" t="str">
        <f aca="false">IFERROR(VLOOKUP(TRIM('📥 Respostas'!J56),'⚙️ Config'!$A$4:$B$13,2,0),"")</f>
        <v/>
      </c>
      <c r="H56" s="14" t="str">
        <f aca="false">IFERROR(VLOOKUP(TRIM('📥 Respostas'!K56),'⚙️ Config'!$A$4:$B$13,2,0),"")</f>
        <v/>
      </c>
      <c r="I56" s="14" t="str">
        <f aca="false">IFERROR(VLOOKUP(TRIM('📥 Respostas'!L56),'⚙️ Config'!$A$4:$B$13,2,0),"")</f>
        <v/>
      </c>
      <c r="J56" s="14" t="str">
        <f aca="false">IFERROR(VLOOKUP(TRIM('📥 Respostas'!M56),'⚙️ Config'!$A$4:$B$13,2,0),"")</f>
        <v/>
      </c>
      <c r="K56" s="14" t="str">
        <f aca="false">IFERROR(VLOOKUP(TRIM('📥 Respostas'!N56),'⚙️ Config'!$A$4:$B$13,2,0),"")</f>
        <v/>
      </c>
      <c r="L56" s="14" t="str">
        <f aca="false">IFERROR(VLOOKUP(TRIM('📥 Respostas'!O56),'⚙️ Config'!$A$4:$B$13,2,0),"")</f>
        <v/>
      </c>
      <c r="M56" s="14" t="str">
        <f aca="false">IFERROR(VLOOKUP(TRIM('📥 Respostas'!P56),'⚙️ Config'!$A$4:$B$13,2,0),"")</f>
        <v/>
      </c>
      <c r="N56" s="14" t="str">
        <f aca="false">IFERROR(VLOOKUP(TRIM('📥 Respostas'!Q56),'⚙️ Config'!$A$4:$B$13,2,0),"")</f>
        <v/>
      </c>
      <c r="O56" s="14" t="str">
        <f aca="false">IFERROR(VLOOKUP(TRIM('📥 Respostas'!R56),'⚙️ Config'!$A$4:$B$13,2,0),"")</f>
        <v/>
      </c>
      <c r="P56" s="14" t="str">
        <f aca="false">IFERROR(VLOOKUP(TRIM('📥 Respostas'!S56),'⚙️ Config'!$A$4:$B$13,2,0),"")</f>
        <v/>
      </c>
      <c r="Q56" s="14" t="str">
        <f aca="false">IFERROR(VLOOKUP(TRIM('📥 Respostas'!T56),'⚙️ Config'!$A$4:$B$13,2,0),"")</f>
        <v/>
      </c>
      <c r="R56" s="14" t="str">
        <f aca="false">IFERROR(VLOOKUP(TRIM('📥 Respostas'!U56),'⚙️ Config'!$A$4:$B$13,2,0),"")</f>
        <v/>
      </c>
      <c r="S56" s="14" t="str">
        <f aca="false">IFERROR(VLOOKUP(TRIM('📥 Respostas'!V56),'⚙️ Config'!$A$4:$B$13,2,0),"")</f>
        <v/>
      </c>
      <c r="T56" s="14" t="str">
        <f aca="false">IFERROR(VLOOKUP(TRIM('📥 Respostas'!W56),'⚙️ Config'!$A$4:$B$13,2,0),"")</f>
        <v/>
      </c>
      <c r="U56" s="14" t="str">
        <f aca="false">IFERROR(VLOOKUP(TRIM('📥 Respostas'!X56),'⚙️ Config'!$A$4:$B$13,2,0),"")</f>
        <v/>
      </c>
      <c r="V56" s="14" t="str">
        <f aca="false">IFERROR(VLOOKUP(TRIM('📥 Respostas'!Y56),'⚙️ Config'!$A$4:$B$13,2,0),"")</f>
        <v/>
      </c>
      <c r="W56" s="14" t="str">
        <f aca="false">IFERROR(VLOOKUP(TRIM('📥 Respostas'!Z56),'⚙️ Config'!$A$4:$B$13,2,0),"")</f>
        <v/>
      </c>
      <c r="X56" s="14" t="str">
        <f aca="false">IFERROR(VLOOKUP(TRIM('📥 Respostas'!AA56),'⚙️ Config'!$A$4:$B$13,2,0),"")</f>
        <v/>
      </c>
      <c r="Y56" s="14" t="str">
        <f aca="false">IFERROR(VLOOKUP(TRIM('📥 Respostas'!AB56),'⚙️ Config'!$A$4:$B$13,2,0),"")</f>
        <v/>
      </c>
      <c r="Z56" s="14" t="str">
        <f aca="false">IFERROR(VLOOKUP(TRIM('📥 Respostas'!AC56),'⚙️ Config'!$A$4:$B$13,2,0),"")</f>
        <v/>
      </c>
      <c r="AA56" s="14" t="str">
        <f aca="false">IFERROR(VLOOKUP(TRIM('📥 Respostas'!AD56),'⚙️ Config'!$A$4:$B$13,2,0),"")</f>
        <v/>
      </c>
      <c r="AB56" s="14" t="str">
        <f aca="false">IFERROR(VLOOKUP(TRIM('📥 Respostas'!AE56),'⚙️ Config'!$A$4:$B$13,2,0),"")</f>
        <v/>
      </c>
      <c r="AC56" s="14" t="str">
        <f aca="false">IFERROR(VLOOKUP(TRIM('📥 Respostas'!AF56),'⚙️ Config'!$A$4:$B$13,2,0),"")</f>
        <v/>
      </c>
      <c r="AD56" s="14" t="str">
        <f aca="false">IFERROR(VLOOKUP(TRIM('📥 Respostas'!AG56),'⚙️ Config'!$A$4:$B$13,2,0),"")</f>
        <v/>
      </c>
      <c r="AE56" s="14" t="str">
        <f aca="false">IFERROR(VLOOKUP(TRIM('📥 Respostas'!AH56),'⚙️ Config'!$A$4:$B$13,2,0),"")</f>
        <v/>
      </c>
      <c r="AF56" s="14" t="str">
        <f aca="false">IFERROR(VLOOKUP(TRIM('📥 Respostas'!AI56),'⚙️ Config'!$C$4:$D$11,2,0),"")</f>
        <v/>
      </c>
      <c r="AG56" s="14" t="str">
        <f aca="false">IFERROR(VLOOKUP(TRIM('📥 Respostas'!AJ56),'⚙️ Config'!$A$4:$B$13,2,0),"")</f>
        <v/>
      </c>
      <c r="AH56" s="14" t="str">
        <f aca="false">IFERROR(VLOOKUP(TRIM('📥 Respostas'!AK56),'⚙️ Config'!$A$4:$B$13,2,0),"")</f>
        <v/>
      </c>
      <c r="AI56" s="14" t="str">
        <f aca="false">IFERROR(VLOOKUP(TRIM('📥 Respostas'!AL56),'⚙️ Config'!$A$4:$B$13,2,0),"")</f>
        <v/>
      </c>
      <c r="AJ56" s="14" t="str">
        <f aca="false">IFERROR(VLOOKUP(TRIM('📥 Respostas'!AM56),'⚙️ Config'!$A$4:$B$13,2,0),"")</f>
        <v/>
      </c>
      <c r="AK56" s="14" t="str">
        <f aca="false">IFERROR(VLOOKUP(TRIM('📥 Respostas'!AN56),'⚙️ Config'!$A$4:$B$13,2,0),"")</f>
        <v/>
      </c>
      <c r="AL56" s="14" t="str">
        <f aca="false">IFERROR(VLOOKUP(TRIM('📥 Respostas'!AO56),'⚙️ Config'!$A$4:$B$13,2,0),"")</f>
        <v/>
      </c>
      <c r="AM56" s="14" t="str">
        <f aca="false">IFERROR(VLOOKUP(TRIM('📥 Respostas'!AP56),'⚙️ Config'!$A$4:$B$13,2,0),"")</f>
        <v/>
      </c>
      <c r="AN56" s="14" t="str">
        <f aca="false">IFERROR(VLOOKUP(TRIM('📥 Respostas'!AQ56),'⚙️ Config'!$A$4:$B$13,2,0),"")</f>
        <v/>
      </c>
      <c r="AO56" s="14" t="str">
        <f aca="false">IFERROR(VLOOKUP(TRIM('📥 Respostas'!AR56),'⚙️ Config'!$A$4:$B$13,2,0),"")</f>
        <v/>
      </c>
      <c r="AP56" s="14" t="str">
        <f aca="false">IFERROR(VLOOKUP(TRIM('📥 Respostas'!AS56),'⚙️ Config'!$A$4:$B$13,2,0),"")</f>
        <v/>
      </c>
      <c r="AQ56" s="14" t="str">
        <f aca="false">IFERROR(VLOOKUP(TRIM('📥 Respostas'!AT56),'⚙️ Config'!$A$4:$B$13,2,0),"")</f>
        <v/>
      </c>
      <c r="AR56" s="14" t="str">
        <f aca="false">IFERROR(VLOOKUP(TRIM('📥 Respostas'!AU56),'⚙️ Config'!$A$4:$B$13,2,0),"")</f>
        <v/>
      </c>
    </row>
    <row r="57" customFormat="false" ht="15" hidden="false" customHeight="false" outlineLevel="0" collapsed="false">
      <c r="A57" s="15" t="str">
        <f aca="false">IF(ISBLANK('📥 Respostas'!D57),"",ROW()-3)</f>
        <v/>
      </c>
      <c r="B57" s="15" t="n">
        <f aca="false">'📥 Respostas'!D57</f>
        <v>0</v>
      </c>
      <c r="C57" s="5" t="n">
        <f aca="false">'📥 Respostas'!C57</f>
        <v>0</v>
      </c>
      <c r="D57" s="14" t="str">
        <f aca="false">IFERROR(VLOOKUP(TRIM('📥 Respostas'!G57),'⚙️ Config'!$A$4:$B$13,2,0),"")</f>
        <v/>
      </c>
      <c r="E57" s="14" t="str">
        <f aca="false">IFERROR(VLOOKUP(TRIM('📥 Respostas'!H57),'⚙️ Config'!$A$4:$B$13,2,0),"")</f>
        <v/>
      </c>
      <c r="F57" s="14" t="str">
        <f aca="false">IFERROR(VLOOKUP(TRIM('📥 Respostas'!I57),'⚙️ Config'!$A$4:$B$13,2,0),"")</f>
        <v/>
      </c>
      <c r="G57" s="14" t="str">
        <f aca="false">IFERROR(VLOOKUP(TRIM('📥 Respostas'!J57),'⚙️ Config'!$A$4:$B$13,2,0),"")</f>
        <v/>
      </c>
      <c r="H57" s="14" t="str">
        <f aca="false">IFERROR(VLOOKUP(TRIM('📥 Respostas'!K57),'⚙️ Config'!$A$4:$B$13,2,0),"")</f>
        <v/>
      </c>
      <c r="I57" s="14" t="str">
        <f aca="false">IFERROR(VLOOKUP(TRIM('📥 Respostas'!L57),'⚙️ Config'!$A$4:$B$13,2,0),"")</f>
        <v/>
      </c>
      <c r="J57" s="14" t="str">
        <f aca="false">IFERROR(VLOOKUP(TRIM('📥 Respostas'!M57),'⚙️ Config'!$A$4:$B$13,2,0),"")</f>
        <v/>
      </c>
      <c r="K57" s="14" t="str">
        <f aca="false">IFERROR(VLOOKUP(TRIM('📥 Respostas'!N57),'⚙️ Config'!$A$4:$B$13,2,0),"")</f>
        <v/>
      </c>
      <c r="L57" s="14" t="str">
        <f aca="false">IFERROR(VLOOKUP(TRIM('📥 Respostas'!O57),'⚙️ Config'!$A$4:$B$13,2,0),"")</f>
        <v/>
      </c>
      <c r="M57" s="14" t="str">
        <f aca="false">IFERROR(VLOOKUP(TRIM('📥 Respostas'!P57),'⚙️ Config'!$A$4:$B$13,2,0),"")</f>
        <v/>
      </c>
      <c r="N57" s="14" t="str">
        <f aca="false">IFERROR(VLOOKUP(TRIM('📥 Respostas'!Q57),'⚙️ Config'!$A$4:$B$13,2,0),"")</f>
        <v/>
      </c>
      <c r="O57" s="14" t="str">
        <f aca="false">IFERROR(VLOOKUP(TRIM('📥 Respostas'!R57),'⚙️ Config'!$A$4:$B$13,2,0),"")</f>
        <v/>
      </c>
      <c r="P57" s="14" t="str">
        <f aca="false">IFERROR(VLOOKUP(TRIM('📥 Respostas'!S57),'⚙️ Config'!$A$4:$B$13,2,0),"")</f>
        <v/>
      </c>
      <c r="Q57" s="14" t="str">
        <f aca="false">IFERROR(VLOOKUP(TRIM('📥 Respostas'!T57),'⚙️ Config'!$A$4:$B$13,2,0),"")</f>
        <v/>
      </c>
      <c r="R57" s="14" t="str">
        <f aca="false">IFERROR(VLOOKUP(TRIM('📥 Respostas'!U57),'⚙️ Config'!$A$4:$B$13,2,0),"")</f>
        <v/>
      </c>
      <c r="S57" s="14" t="str">
        <f aca="false">IFERROR(VLOOKUP(TRIM('📥 Respostas'!V57),'⚙️ Config'!$A$4:$B$13,2,0),"")</f>
        <v/>
      </c>
      <c r="T57" s="14" t="str">
        <f aca="false">IFERROR(VLOOKUP(TRIM('📥 Respostas'!W57),'⚙️ Config'!$A$4:$B$13,2,0),"")</f>
        <v/>
      </c>
      <c r="U57" s="14" t="str">
        <f aca="false">IFERROR(VLOOKUP(TRIM('📥 Respostas'!X57),'⚙️ Config'!$A$4:$B$13,2,0),"")</f>
        <v/>
      </c>
      <c r="V57" s="14" t="str">
        <f aca="false">IFERROR(VLOOKUP(TRIM('📥 Respostas'!Y57),'⚙️ Config'!$A$4:$B$13,2,0),"")</f>
        <v/>
      </c>
      <c r="W57" s="14" t="str">
        <f aca="false">IFERROR(VLOOKUP(TRIM('📥 Respostas'!Z57),'⚙️ Config'!$A$4:$B$13,2,0),"")</f>
        <v/>
      </c>
      <c r="X57" s="14" t="str">
        <f aca="false">IFERROR(VLOOKUP(TRIM('📥 Respostas'!AA57),'⚙️ Config'!$A$4:$B$13,2,0),"")</f>
        <v/>
      </c>
      <c r="Y57" s="14" t="str">
        <f aca="false">IFERROR(VLOOKUP(TRIM('📥 Respostas'!AB57),'⚙️ Config'!$A$4:$B$13,2,0),"")</f>
        <v/>
      </c>
      <c r="Z57" s="14" t="str">
        <f aca="false">IFERROR(VLOOKUP(TRIM('📥 Respostas'!AC57),'⚙️ Config'!$A$4:$B$13,2,0),"")</f>
        <v/>
      </c>
      <c r="AA57" s="14" t="str">
        <f aca="false">IFERROR(VLOOKUP(TRIM('📥 Respostas'!AD57),'⚙️ Config'!$A$4:$B$13,2,0),"")</f>
        <v/>
      </c>
      <c r="AB57" s="14" t="str">
        <f aca="false">IFERROR(VLOOKUP(TRIM('📥 Respostas'!AE57),'⚙️ Config'!$A$4:$B$13,2,0),"")</f>
        <v/>
      </c>
      <c r="AC57" s="14" t="str">
        <f aca="false">IFERROR(VLOOKUP(TRIM('📥 Respostas'!AF57),'⚙️ Config'!$A$4:$B$13,2,0),"")</f>
        <v/>
      </c>
      <c r="AD57" s="14" t="str">
        <f aca="false">IFERROR(VLOOKUP(TRIM('📥 Respostas'!AG57),'⚙️ Config'!$A$4:$B$13,2,0),"")</f>
        <v/>
      </c>
      <c r="AE57" s="14" t="str">
        <f aca="false">IFERROR(VLOOKUP(TRIM('📥 Respostas'!AH57),'⚙️ Config'!$A$4:$B$13,2,0),"")</f>
        <v/>
      </c>
      <c r="AF57" s="14" t="str">
        <f aca="false">IFERROR(VLOOKUP(TRIM('📥 Respostas'!AI57),'⚙️ Config'!$C$4:$D$11,2,0),"")</f>
        <v/>
      </c>
      <c r="AG57" s="14" t="str">
        <f aca="false">IFERROR(VLOOKUP(TRIM('📥 Respostas'!AJ57),'⚙️ Config'!$A$4:$B$13,2,0),"")</f>
        <v/>
      </c>
      <c r="AH57" s="14" t="str">
        <f aca="false">IFERROR(VLOOKUP(TRIM('📥 Respostas'!AK57),'⚙️ Config'!$A$4:$B$13,2,0),"")</f>
        <v/>
      </c>
      <c r="AI57" s="14" t="str">
        <f aca="false">IFERROR(VLOOKUP(TRIM('📥 Respostas'!AL57),'⚙️ Config'!$A$4:$B$13,2,0),"")</f>
        <v/>
      </c>
      <c r="AJ57" s="14" t="str">
        <f aca="false">IFERROR(VLOOKUP(TRIM('📥 Respostas'!AM57),'⚙️ Config'!$A$4:$B$13,2,0),"")</f>
        <v/>
      </c>
      <c r="AK57" s="14" t="str">
        <f aca="false">IFERROR(VLOOKUP(TRIM('📥 Respostas'!AN57),'⚙️ Config'!$A$4:$B$13,2,0),"")</f>
        <v/>
      </c>
      <c r="AL57" s="14" t="str">
        <f aca="false">IFERROR(VLOOKUP(TRIM('📥 Respostas'!AO57),'⚙️ Config'!$A$4:$B$13,2,0),"")</f>
        <v/>
      </c>
      <c r="AM57" s="14" t="str">
        <f aca="false">IFERROR(VLOOKUP(TRIM('📥 Respostas'!AP57),'⚙️ Config'!$A$4:$B$13,2,0),"")</f>
        <v/>
      </c>
      <c r="AN57" s="14" t="str">
        <f aca="false">IFERROR(VLOOKUP(TRIM('📥 Respostas'!AQ57),'⚙️ Config'!$A$4:$B$13,2,0),"")</f>
        <v/>
      </c>
      <c r="AO57" s="14" t="str">
        <f aca="false">IFERROR(VLOOKUP(TRIM('📥 Respostas'!AR57),'⚙️ Config'!$A$4:$B$13,2,0),"")</f>
        <v/>
      </c>
      <c r="AP57" s="14" t="str">
        <f aca="false">IFERROR(VLOOKUP(TRIM('📥 Respostas'!AS57),'⚙️ Config'!$A$4:$B$13,2,0),"")</f>
        <v/>
      </c>
      <c r="AQ57" s="14" t="str">
        <f aca="false">IFERROR(VLOOKUP(TRIM('📥 Respostas'!AT57),'⚙️ Config'!$A$4:$B$13,2,0),"")</f>
        <v/>
      </c>
      <c r="AR57" s="14" t="str">
        <f aca="false">IFERROR(VLOOKUP(TRIM('📥 Respostas'!AU57),'⚙️ Config'!$A$4:$B$13,2,0),"")</f>
        <v/>
      </c>
    </row>
    <row r="58" customFormat="false" ht="15" hidden="false" customHeight="false" outlineLevel="0" collapsed="false">
      <c r="A58" s="12" t="str">
        <f aca="false">IF(ISBLANK('📥 Respostas'!D58),"",ROW()-3)</f>
        <v/>
      </c>
      <c r="B58" s="12" t="n">
        <f aca="false">'📥 Respostas'!D58</f>
        <v>0</v>
      </c>
      <c r="C58" s="13" t="n">
        <f aca="false">'📥 Respostas'!C58</f>
        <v>0</v>
      </c>
      <c r="D58" s="14" t="str">
        <f aca="false">IFERROR(VLOOKUP(TRIM('📥 Respostas'!G58),'⚙️ Config'!$A$4:$B$13,2,0),"")</f>
        <v/>
      </c>
      <c r="E58" s="14" t="str">
        <f aca="false">IFERROR(VLOOKUP(TRIM('📥 Respostas'!H58),'⚙️ Config'!$A$4:$B$13,2,0),"")</f>
        <v/>
      </c>
      <c r="F58" s="14" t="str">
        <f aca="false">IFERROR(VLOOKUP(TRIM('📥 Respostas'!I58),'⚙️ Config'!$A$4:$B$13,2,0),"")</f>
        <v/>
      </c>
      <c r="G58" s="14" t="str">
        <f aca="false">IFERROR(VLOOKUP(TRIM('📥 Respostas'!J58),'⚙️ Config'!$A$4:$B$13,2,0),"")</f>
        <v/>
      </c>
      <c r="H58" s="14" t="str">
        <f aca="false">IFERROR(VLOOKUP(TRIM('📥 Respostas'!K58),'⚙️ Config'!$A$4:$B$13,2,0),"")</f>
        <v/>
      </c>
      <c r="I58" s="14" t="str">
        <f aca="false">IFERROR(VLOOKUP(TRIM('📥 Respostas'!L58),'⚙️ Config'!$A$4:$B$13,2,0),"")</f>
        <v/>
      </c>
      <c r="J58" s="14" t="str">
        <f aca="false">IFERROR(VLOOKUP(TRIM('📥 Respostas'!M58),'⚙️ Config'!$A$4:$B$13,2,0),"")</f>
        <v/>
      </c>
      <c r="K58" s="14" t="str">
        <f aca="false">IFERROR(VLOOKUP(TRIM('📥 Respostas'!N58),'⚙️ Config'!$A$4:$B$13,2,0),"")</f>
        <v/>
      </c>
      <c r="L58" s="14" t="str">
        <f aca="false">IFERROR(VLOOKUP(TRIM('📥 Respostas'!O58),'⚙️ Config'!$A$4:$B$13,2,0),"")</f>
        <v/>
      </c>
      <c r="M58" s="14" t="str">
        <f aca="false">IFERROR(VLOOKUP(TRIM('📥 Respostas'!P58),'⚙️ Config'!$A$4:$B$13,2,0),"")</f>
        <v/>
      </c>
      <c r="N58" s="14" t="str">
        <f aca="false">IFERROR(VLOOKUP(TRIM('📥 Respostas'!Q58),'⚙️ Config'!$A$4:$B$13,2,0),"")</f>
        <v/>
      </c>
      <c r="O58" s="14" t="str">
        <f aca="false">IFERROR(VLOOKUP(TRIM('📥 Respostas'!R58),'⚙️ Config'!$A$4:$B$13,2,0),"")</f>
        <v/>
      </c>
      <c r="P58" s="14" t="str">
        <f aca="false">IFERROR(VLOOKUP(TRIM('📥 Respostas'!S58),'⚙️ Config'!$A$4:$B$13,2,0),"")</f>
        <v/>
      </c>
      <c r="Q58" s="14" t="str">
        <f aca="false">IFERROR(VLOOKUP(TRIM('📥 Respostas'!T58),'⚙️ Config'!$A$4:$B$13,2,0),"")</f>
        <v/>
      </c>
      <c r="R58" s="14" t="str">
        <f aca="false">IFERROR(VLOOKUP(TRIM('📥 Respostas'!U58),'⚙️ Config'!$A$4:$B$13,2,0),"")</f>
        <v/>
      </c>
      <c r="S58" s="14" t="str">
        <f aca="false">IFERROR(VLOOKUP(TRIM('📥 Respostas'!V58),'⚙️ Config'!$A$4:$B$13,2,0),"")</f>
        <v/>
      </c>
      <c r="T58" s="14" t="str">
        <f aca="false">IFERROR(VLOOKUP(TRIM('📥 Respostas'!W58),'⚙️ Config'!$A$4:$B$13,2,0),"")</f>
        <v/>
      </c>
      <c r="U58" s="14" t="str">
        <f aca="false">IFERROR(VLOOKUP(TRIM('📥 Respostas'!X58),'⚙️ Config'!$A$4:$B$13,2,0),"")</f>
        <v/>
      </c>
      <c r="V58" s="14" t="str">
        <f aca="false">IFERROR(VLOOKUP(TRIM('📥 Respostas'!Y58),'⚙️ Config'!$A$4:$B$13,2,0),"")</f>
        <v/>
      </c>
      <c r="W58" s="14" t="str">
        <f aca="false">IFERROR(VLOOKUP(TRIM('📥 Respostas'!Z58),'⚙️ Config'!$A$4:$B$13,2,0),"")</f>
        <v/>
      </c>
      <c r="X58" s="14" t="str">
        <f aca="false">IFERROR(VLOOKUP(TRIM('📥 Respostas'!AA58),'⚙️ Config'!$A$4:$B$13,2,0),"")</f>
        <v/>
      </c>
      <c r="Y58" s="14" t="str">
        <f aca="false">IFERROR(VLOOKUP(TRIM('📥 Respostas'!AB58),'⚙️ Config'!$A$4:$B$13,2,0),"")</f>
        <v/>
      </c>
      <c r="Z58" s="14" t="str">
        <f aca="false">IFERROR(VLOOKUP(TRIM('📥 Respostas'!AC58),'⚙️ Config'!$A$4:$B$13,2,0),"")</f>
        <v/>
      </c>
      <c r="AA58" s="14" t="str">
        <f aca="false">IFERROR(VLOOKUP(TRIM('📥 Respostas'!AD58),'⚙️ Config'!$A$4:$B$13,2,0),"")</f>
        <v/>
      </c>
      <c r="AB58" s="14" t="str">
        <f aca="false">IFERROR(VLOOKUP(TRIM('📥 Respostas'!AE58),'⚙️ Config'!$A$4:$B$13,2,0),"")</f>
        <v/>
      </c>
      <c r="AC58" s="14" t="str">
        <f aca="false">IFERROR(VLOOKUP(TRIM('📥 Respostas'!AF58),'⚙️ Config'!$A$4:$B$13,2,0),"")</f>
        <v/>
      </c>
      <c r="AD58" s="14" t="str">
        <f aca="false">IFERROR(VLOOKUP(TRIM('📥 Respostas'!AG58),'⚙️ Config'!$A$4:$B$13,2,0),"")</f>
        <v/>
      </c>
      <c r="AE58" s="14" t="str">
        <f aca="false">IFERROR(VLOOKUP(TRIM('📥 Respostas'!AH58),'⚙️ Config'!$A$4:$B$13,2,0),"")</f>
        <v/>
      </c>
      <c r="AF58" s="14" t="str">
        <f aca="false">IFERROR(VLOOKUP(TRIM('📥 Respostas'!AI58),'⚙️ Config'!$C$4:$D$11,2,0),"")</f>
        <v/>
      </c>
      <c r="AG58" s="14" t="str">
        <f aca="false">IFERROR(VLOOKUP(TRIM('📥 Respostas'!AJ58),'⚙️ Config'!$A$4:$B$13,2,0),"")</f>
        <v/>
      </c>
      <c r="AH58" s="14" t="str">
        <f aca="false">IFERROR(VLOOKUP(TRIM('📥 Respostas'!AK58),'⚙️ Config'!$A$4:$B$13,2,0),"")</f>
        <v/>
      </c>
      <c r="AI58" s="14" t="str">
        <f aca="false">IFERROR(VLOOKUP(TRIM('📥 Respostas'!AL58),'⚙️ Config'!$A$4:$B$13,2,0),"")</f>
        <v/>
      </c>
      <c r="AJ58" s="14" t="str">
        <f aca="false">IFERROR(VLOOKUP(TRIM('📥 Respostas'!AM58),'⚙️ Config'!$A$4:$B$13,2,0),"")</f>
        <v/>
      </c>
      <c r="AK58" s="14" t="str">
        <f aca="false">IFERROR(VLOOKUP(TRIM('📥 Respostas'!AN58),'⚙️ Config'!$A$4:$B$13,2,0),"")</f>
        <v/>
      </c>
      <c r="AL58" s="14" t="str">
        <f aca="false">IFERROR(VLOOKUP(TRIM('📥 Respostas'!AO58),'⚙️ Config'!$A$4:$B$13,2,0),"")</f>
        <v/>
      </c>
      <c r="AM58" s="14" t="str">
        <f aca="false">IFERROR(VLOOKUP(TRIM('📥 Respostas'!AP58),'⚙️ Config'!$A$4:$B$13,2,0),"")</f>
        <v/>
      </c>
      <c r="AN58" s="14" t="str">
        <f aca="false">IFERROR(VLOOKUP(TRIM('📥 Respostas'!AQ58),'⚙️ Config'!$A$4:$B$13,2,0),"")</f>
        <v/>
      </c>
      <c r="AO58" s="14" t="str">
        <f aca="false">IFERROR(VLOOKUP(TRIM('📥 Respostas'!AR58),'⚙️ Config'!$A$4:$B$13,2,0),"")</f>
        <v/>
      </c>
      <c r="AP58" s="14" t="str">
        <f aca="false">IFERROR(VLOOKUP(TRIM('📥 Respostas'!AS58),'⚙️ Config'!$A$4:$B$13,2,0),"")</f>
        <v/>
      </c>
      <c r="AQ58" s="14" t="str">
        <f aca="false">IFERROR(VLOOKUP(TRIM('📥 Respostas'!AT58),'⚙️ Config'!$A$4:$B$13,2,0),"")</f>
        <v/>
      </c>
      <c r="AR58" s="14" t="str">
        <f aca="false">IFERROR(VLOOKUP(TRIM('📥 Respostas'!AU58),'⚙️ Config'!$A$4:$B$13,2,0),"")</f>
        <v/>
      </c>
    </row>
    <row r="59" customFormat="false" ht="15" hidden="false" customHeight="false" outlineLevel="0" collapsed="false">
      <c r="A59" s="15" t="str">
        <f aca="false">IF(ISBLANK('📥 Respostas'!D59),"",ROW()-3)</f>
        <v/>
      </c>
      <c r="B59" s="15" t="n">
        <f aca="false">'📥 Respostas'!D59</f>
        <v>0</v>
      </c>
      <c r="C59" s="5" t="n">
        <f aca="false">'📥 Respostas'!C59</f>
        <v>0</v>
      </c>
      <c r="D59" s="14" t="str">
        <f aca="false">IFERROR(VLOOKUP(TRIM('📥 Respostas'!G59),'⚙️ Config'!$A$4:$B$13,2,0),"")</f>
        <v/>
      </c>
      <c r="E59" s="14" t="str">
        <f aca="false">IFERROR(VLOOKUP(TRIM('📥 Respostas'!H59),'⚙️ Config'!$A$4:$B$13,2,0),"")</f>
        <v/>
      </c>
      <c r="F59" s="14" t="str">
        <f aca="false">IFERROR(VLOOKUP(TRIM('📥 Respostas'!I59),'⚙️ Config'!$A$4:$B$13,2,0),"")</f>
        <v/>
      </c>
      <c r="G59" s="14" t="str">
        <f aca="false">IFERROR(VLOOKUP(TRIM('📥 Respostas'!J59),'⚙️ Config'!$A$4:$B$13,2,0),"")</f>
        <v/>
      </c>
      <c r="H59" s="14" t="str">
        <f aca="false">IFERROR(VLOOKUP(TRIM('📥 Respostas'!K59),'⚙️ Config'!$A$4:$B$13,2,0),"")</f>
        <v/>
      </c>
      <c r="I59" s="14" t="str">
        <f aca="false">IFERROR(VLOOKUP(TRIM('📥 Respostas'!L59),'⚙️ Config'!$A$4:$B$13,2,0),"")</f>
        <v/>
      </c>
      <c r="J59" s="14" t="str">
        <f aca="false">IFERROR(VLOOKUP(TRIM('📥 Respostas'!M59),'⚙️ Config'!$A$4:$B$13,2,0),"")</f>
        <v/>
      </c>
      <c r="K59" s="14" t="str">
        <f aca="false">IFERROR(VLOOKUP(TRIM('📥 Respostas'!N59),'⚙️ Config'!$A$4:$B$13,2,0),"")</f>
        <v/>
      </c>
      <c r="L59" s="14" t="str">
        <f aca="false">IFERROR(VLOOKUP(TRIM('📥 Respostas'!O59),'⚙️ Config'!$A$4:$B$13,2,0),"")</f>
        <v/>
      </c>
      <c r="M59" s="14" t="str">
        <f aca="false">IFERROR(VLOOKUP(TRIM('📥 Respostas'!P59),'⚙️ Config'!$A$4:$B$13,2,0),"")</f>
        <v/>
      </c>
      <c r="N59" s="14" t="str">
        <f aca="false">IFERROR(VLOOKUP(TRIM('📥 Respostas'!Q59),'⚙️ Config'!$A$4:$B$13,2,0),"")</f>
        <v/>
      </c>
      <c r="O59" s="14" t="str">
        <f aca="false">IFERROR(VLOOKUP(TRIM('📥 Respostas'!R59),'⚙️ Config'!$A$4:$B$13,2,0),"")</f>
        <v/>
      </c>
      <c r="P59" s="14" t="str">
        <f aca="false">IFERROR(VLOOKUP(TRIM('📥 Respostas'!S59),'⚙️ Config'!$A$4:$B$13,2,0),"")</f>
        <v/>
      </c>
      <c r="Q59" s="14" t="str">
        <f aca="false">IFERROR(VLOOKUP(TRIM('📥 Respostas'!T59),'⚙️ Config'!$A$4:$B$13,2,0),"")</f>
        <v/>
      </c>
      <c r="R59" s="14" t="str">
        <f aca="false">IFERROR(VLOOKUP(TRIM('📥 Respostas'!U59),'⚙️ Config'!$A$4:$B$13,2,0),"")</f>
        <v/>
      </c>
      <c r="S59" s="14" t="str">
        <f aca="false">IFERROR(VLOOKUP(TRIM('📥 Respostas'!V59),'⚙️ Config'!$A$4:$B$13,2,0),"")</f>
        <v/>
      </c>
      <c r="T59" s="14" t="str">
        <f aca="false">IFERROR(VLOOKUP(TRIM('📥 Respostas'!W59),'⚙️ Config'!$A$4:$B$13,2,0),"")</f>
        <v/>
      </c>
      <c r="U59" s="14" t="str">
        <f aca="false">IFERROR(VLOOKUP(TRIM('📥 Respostas'!X59),'⚙️ Config'!$A$4:$B$13,2,0),"")</f>
        <v/>
      </c>
      <c r="V59" s="14" t="str">
        <f aca="false">IFERROR(VLOOKUP(TRIM('📥 Respostas'!Y59),'⚙️ Config'!$A$4:$B$13,2,0),"")</f>
        <v/>
      </c>
      <c r="W59" s="14" t="str">
        <f aca="false">IFERROR(VLOOKUP(TRIM('📥 Respostas'!Z59),'⚙️ Config'!$A$4:$B$13,2,0),"")</f>
        <v/>
      </c>
      <c r="X59" s="14" t="str">
        <f aca="false">IFERROR(VLOOKUP(TRIM('📥 Respostas'!AA59),'⚙️ Config'!$A$4:$B$13,2,0),"")</f>
        <v/>
      </c>
      <c r="Y59" s="14" t="str">
        <f aca="false">IFERROR(VLOOKUP(TRIM('📥 Respostas'!AB59),'⚙️ Config'!$A$4:$B$13,2,0),"")</f>
        <v/>
      </c>
      <c r="Z59" s="14" t="str">
        <f aca="false">IFERROR(VLOOKUP(TRIM('📥 Respostas'!AC59),'⚙️ Config'!$A$4:$B$13,2,0),"")</f>
        <v/>
      </c>
      <c r="AA59" s="14" t="str">
        <f aca="false">IFERROR(VLOOKUP(TRIM('📥 Respostas'!AD59),'⚙️ Config'!$A$4:$B$13,2,0),"")</f>
        <v/>
      </c>
      <c r="AB59" s="14" t="str">
        <f aca="false">IFERROR(VLOOKUP(TRIM('📥 Respostas'!AE59),'⚙️ Config'!$A$4:$B$13,2,0),"")</f>
        <v/>
      </c>
      <c r="AC59" s="14" t="str">
        <f aca="false">IFERROR(VLOOKUP(TRIM('📥 Respostas'!AF59),'⚙️ Config'!$A$4:$B$13,2,0),"")</f>
        <v/>
      </c>
      <c r="AD59" s="14" t="str">
        <f aca="false">IFERROR(VLOOKUP(TRIM('📥 Respostas'!AG59),'⚙️ Config'!$A$4:$B$13,2,0),"")</f>
        <v/>
      </c>
      <c r="AE59" s="14" t="str">
        <f aca="false">IFERROR(VLOOKUP(TRIM('📥 Respostas'!AH59),'⚙️ Config'!$A$4:$B$13,2,0),"")</f>
        <v/>
      </c>
      <c r="AF59" s="14" t="str">
        <f aca="false">IFERROR(VLOOKUP(TRIM('📥 Respostas'!AI59),'⚙️ Config'!$C$4:$D$11,2,0),"")</f>
        <v/>
      </c>
      <c r="AG59" s="14" t="str">
        <f aca="false">IFERROR(VLOOKUP(TRIM('📥 Respostas'!AJ59),'⚙️ Config'!$A$4:$B$13,2,0),"")</f>
        <v/>
      </c>
      <c r="AH59" s="14" t="str">
        <f aca="false">IFERROR(VLOOKUP(TRIM('📥 Respostas'!AK59),'⚙️ Config'!$A$4:$B$13,2,0),"")</f>
        <v/>
      </c>
      <c r="AI59" s="14" t="str">
        <f aca="false">IFERROR(VLOOKUP(TRIM('📥 Respostas'!AL59),'⚙️ Config'!$A$4:$B$13,2,0),"")</f>
        <v/>
      </c>
      <c r="AJ59" s="14" t="str">
        <f aca="false">IFERROR(VLOOKUP(TRIM('📥 Respostas'!AM59),'⚙️ Config'!$A$4:$B$13,2,0),"")</f>
        <v/>
      </c>
      <c r="AK59" s="14" t="str">
        <f aca="false">IFERROR(VLOOKUP(TRIM('📥 Respostas'!AN59),'⚙️ Config'!$A$4:$B$13,2,0),"")</f>
        <v/>
      </c>
      <c r="AL59" s="14" t="str">
        <f aca="false">IFERROR(VLOOKUP(TRIM('📥 Respostas'!AO59),'⚙️ Config'!$A$4:$B$13,2,0),"")</f>
        <v/>
      </c>
      <c r="AM59" s="14" t="str">
        <f aca="false">IFERROR(VLOOKUP(TRIM('📥 Respostas'!AP59),'⚙️ Config'!$A$4:$B$13,2,0),"")</f>
        <v/>
      </c>
      <c r="AN59" s="14" t="str">
        <f aca="false">IFERROR(VLOOKUP(TRIM('📥 Respostas'!AQ59),'⚙️ Config'!$A$4:$B$13,2,0),"")</f>
        <v/>
      </c>
      <c r="AO59" s="14" t="str">
        <f aca="false">IFERROR(VLOOKUP(TRIM('📥 Respostas'!AR59),'⚙️ Config'!$A$4:$B$13,2,0),"")</f>
        <v/>
      </c>
      <c r="AP59" s="14" t="str">
        <f aca="false">IFERROR(VLOOKUP(TRIM('📥 Respostas'!AS59),'⚙️ Config'!$A$4:$B$13,2,0),"")</f>
        <v/>
      </c>
      <c r="AQ59" s="14" t="str">
        <f aca="false">IFERROR(VLOOKUP(TRIM('📥 Respostas'!AT59),'⚙️ Config'!$A$4:$B$13,2,0),"")</f>
        <v/>
      </c>
      <c r="AR59" s="14" t="str">
        <f aca="false">IFERROR(VLOOKUP(TRIM('📥 Respostas'!AU59),'⚙️ Config'!$A$4:$B$13,2,0),"")</f>
        <v/>
      </c>
    </row>
    <row r="60" customFormat="false" ht="15" hidden="false" customHeight="false" outlineLevel="0" collapsed="false">
      <c r="A60" s="12" t="str">
        <f aca="false">IF(ISBLANK('📥 Respostas'!D60),"",ROW()-3)</f>
        <v/>
      </c>
      <c r="B60" s="12" t="n">
        <f aca="false">'📥 Respostas'!D60</f>
        <v>0</v>
      </c>
      <c r="C60" s="13" t="n">
        <f aca="false">'📥 Respostas'!C60</f>
        <v>0</v>
      </c>
      <c r="D60" s="14" t="str">
        <f aca="false">IFERROR(VLOOKUP(TRIM('📥 Respostas'!G60),'⚙️ Config'!$A$4:$B$13,2,0),"")</f>
        <v/>
      </c>
      <c r="E60" s="14" t="str">
        <f aca="false">IFERROR(VLOOKUP(TRIM('📥 Respostas'!H60),'⚙️ Config'!$A$4:$B$13,2,0),"")</f>
        <v/>
      </c>
      <c r="F60" s="14" t="str">
        <f aca="false">IFERROR(VLOOKUP(TRIM('📥 Respostas'!I60),'⚙️ Config'!$A$4:$B$13,2,0),"")</f>
        <v/>
      </c>
      <c r="G60" s="14" t="str">
        <f aca="false">IFERROR(VLOOKUP(TRIM('📥 Respostas'!J60),'⚙️ Config'!$A$4:$B$13,2,0),"")</f>
        <v/>
      </c>
      <c r="H60" s="14" t="str">
        <f aca="false">IFERROR(VLOOKUP(TRIM('📥 Respostas'!K60),'⚙️ Config'!$A$4:$B$13,2,0),"")</f>
        <v/>
      </c>
      <c r="I60" s="14" t="str">
        <f aca="false">IFERROR(VLOOKUP(TRIM('📥 Respostas'!L60),'⚙️ Config'!$A$4:$B$13,2,0),"")</f>
        <v/>
      </c>
      <c r="J60" s="14" t="str">
        <f aca="false">IFERROR(VLOOKUP(TRIM('📥 Respostas'!M60),'⚙️ Config'!$A$4:$B$13,2,0),"")</f>
        <v/>
      </c>
      <c r="K60" s="14" t="str">
        <f aca="false">IFERROR(VLOOKUP(TRIM('📥 Respostas'!N60),'⚙️ Config'!$A$4:$B$13,2,0),"")</f>
        <v/>
      </c>
      <c r="L60" s="14" t="str">
        <f aca="false">IFERROR(VLOOKUP(TRIM('📥 Respostas'!O60),'⚙️ Config'!$A$4:$B$13,2,0),"")</f>
        <v/>
      </c>
      <c r="M60" s="14" t="str">
        <f aca="false">IFERROR(VLOOKUP(TRIM('📥 Respostas'!P60),'⚙️ Config'!$A$4:$B$13,2,0),"")</f>
        <v/>
      </c>
      <c r="N60" s="14" t="str">
        <f aca="false">IFERROR(VLOOKUP(TRIM('📥 Respostas'!Q60),'⚙️ Config'!$A$4:$B$13,2,0),"")</f>
        <v/>
      </c>
      <c r="O60" s="14" t="str">
        <f aca="false">IFERROR(VLOOKUP(TRIM('📥 Respostas'!R60),'⚙️ Config'!$A$4:$B$13,2,0),"")</f>
        <v/>
      </c>
      <c r="P60" s="14" t="str">
        <f aca="false">IFERROR(VLOOKUP(TRIM('📥 Respostas'!S60),'⚙️ Config'!$A$4:$B$13,2,0),"")</f>
        <v/>
      </c>
      <c r="Q60" s="14" t="str">
        <f aca="false">IFERROR(VLOOKUP(TRIM('📥 Respostas'!T60),'⚙️ Config'!$A$4:$B$13,2,0),"")</f>
        <v/>
      </c>
      <c r="R60" s="14" t="str">
        <f aca="false">IFERROR(VLOOKUP(TRIM('📥 Respostas'!U60),'⚙️ Config'!$A$4:$B$13,2,0),"")</f>
        <v/>
      </c>
      <c r="S60" s="14" t="str">
        <f aca="false">IFERROR(VLOOKUP(TRIM('📥 Respostas'!V60),'⚙️ Config'!$A$4:$B$13,2,0),"")</f>
        <v/>
      </c>
      <c r="T60" s="14" t="str">
        <f aca="false">IFERROR(VLOOKUP(TRIM('📥 Respostas'!W60),'⚙️ Config'!$A$4:$B$13,2,0),"")</f>
        <v/>
      </c>
      <c r="U60" s="14" t="str">
        <f aca="false">IFERROR(VLOOKUP(TRIM('📥 Respostas'!X60),'⚙️ Config'!$A$4:$B$13,2,0),"")</f>
        <v/>
      </c>
      <c r="V60" s="14" t="str">
        <f aca="false">IFERROR(VLOOKUP(TRIM('📥 Respostas'!Y60),'⚙️ Config'!$A$4:$B$13,2,0),"")</f>
        <v/>
      </c>
      <c r="W60" s="14" t="str">
        <f aca="false">IFERROR(VLOOKUP(TRIM('📥 Respostas'!Z60),'⚙️ Config'!$A$4:$B$13,2,0),"")</f>
        <v/>
      </c>
      <c r="X60" s="14" t="str">
        <f aca="false">IFERROR(VLOOKUP(TRIM('📥 Respostas'!AA60),'⚙️ Config'!$A$4:$B$13,2,0),"")</f>
        <v/>
      </c>
      <c r="Y60" s="14" t="str">
        <f aca="false">IFERROR(VLOOKUP(TRIM('📥 Respostas'!AB60),'⚙️ Config'!$A$4:$B$13,2,0),"")</f>
        <v/>
      </c>
      <c r="Z60" s="14" t="str">
        <f aca="false">IFERROR(VLOOKUP(TRIM('📥 Respostas'!AC60),'⚙️ Config'!$A$4:$B$13,2,0),"")</f>
        <v/>
      </c>
      <c r="AA60" s="14" t="str">
        <f aca="false">IFERROR(VLOOKUP(TRIM('📥 Respostas'!AD60),'⚙️ Config'!$A$4:$B$13,2,0),"")</f>
        <v/>
      </c>
      <c r="AB60" s="14" t="str">
        <f aca="false">IFERROR(VLOOKUP(TRIM('📥 Respostas'!AE60),'⚙️ Config'!$A$4:$B$13,2,0),"")</f>
        <v/>
      </c>
      <c r="AC60" s="14" t="str">
        <f aca="false">IFERROR(VLOOKUP(TRIM('📥 Respostas'!AF60),'⚙️ Config'!$A$4:$B$13,2,0),"")</f>
        <v/>
      </c>
      <c r="AD60" s="14" t="str">
        <f aca="false">IFERROR(VLOOKUP(TRIM('📥 Respostas'!AG60),'⚙️ Config'!$A$4:$B$13,2,0),"")</f>
        <v/>
      </c>
      <c r="AE60" s="14" t="str">
        <f aca="false">IFERROR(VLOOKUP(TRIM('📥 Respostas'!AH60),'⚙️ Config'!$A$4:$B$13,2,0),"")</f>
        <v/>
      </c>
      <c r="AF60" s="14" t="str">
        <f aca="false">IFERROR(VLOOKUP(TRIM('📥 Respostas'!AI60),'⚙️ Config'!$C$4:$D$11,2,0),"")</f>
        <v/>
      </c>
      <c r="AG60" s="14" t="str">
        <f aca="false">IFERROR(VLOOKUP(TRIM('📥 Respostas'!AJ60),'⚙️ Config'!$A$4:$B$13,2,0),"")</f>
        <v/>
      </c>
      <c r="AH60" s="14" t="str">
        <f aca="false">IFERROR(VLOOKUP(TRIM('📥 Respostas'!AK60),'⚙️ Config'!$A$4:$B$13,2,0),"")</f>
        <v/>
      </c>
      <c r="AI60" s="14" t="str">
        <f aca="false">IFERROR(VLOOKUP(TRIM('📥 Respostas'!AL60),'⚙️ Config'!$A$4:$B$13,2,0),"")</f>
        <v/>
      </c>
      <c r="AJ60" s="14" t="str">
        <f aca="false">IFERROR(VLOOKUP(TRIM('📥 Respostas'!AM60),'⚙️ Config'!$A$4:$B$13,2,0),"")</f>
        <v/>
      </c>
      <c r="AK60" s="14" t="str">
        <f aca="false">IFERROR(VLOOKUP(TRIM('📥 Respostas'!AN60),'⚙️ Config'!$A$4:$B$13,2,0),"")</f>
        <v/>
      </c>
      <c r="AL60" s="14" t="str">
        <f aca="false">IFERROR(VLOOKUP(TRIM('📥 Respostas'!AO60),'⚙️ Config'!$A$4:$B$13,2,0),"")</f>
        <v/>
      </c>
      <c r="AM60" s="14" t="str">
        <f aca="false">IFERROR(VLOOKUP(TRIM('📥 Respostas'!AP60),'⚙️ Config'!$A$4:$B$13,2,0),"")</f>
        <v/>
      </c>
      <c r="AN60" s="14" t="str">
        <f aca="false">IFERROR(VLOOKUP(TRIM('📥 Respostas'!AQ60),'⚙️ Config'!$A$4:$B$13,2,0),"")</f>
        <v/>
      </c>
      <c r="AO60" s="14" t="str">
        <f aca="false">IFERROR(VLOOKUP(TRIM('📥 Respostas'!AR60),'⚙️ Config'!$A$4:$B$13,2,0),"")</f>
        <v/>
      </c>
      <c r="AP60" s="14" t="str">
        <f aca="false">IFERROR(VLOOKUP(TRIM('📥 Respostas'!AS60),'⚙️ Config'!$A$4:$B$13,2,0),"")</f>
        <v/>
      </c>
      <c r="AQ60" s="14" t="str">
        <f aca="false">IFERROR(VLOOKUP(TRIM('📥 Respostas'!AT60),'⚙️ Config'!$A$4:$B$13,2,0),"")</f>
        <v/>
      </c>
      <c r="AR60" s="14" t="str">
        <f aca="false">IFERROR(VLOOKUP(TRIM('📥 Respostas'!AU60),'⚙️ Config'!$A$4:$B$13,2,0),"")</f>
        <v/>
      </c>
    </row>
    <row r="61" customFormat="false" ht="15" hidden="false" customHeight="false" outlineLevel="0" collapsed="false">
      <c r="A61" s="15" t="str">
        <f aca="false">IF(ISBLANK('📥 Respostas'!D61),"",ROW()-3)</f>
        <v/>
      </c>
      <c r="B61" s="15" t="n">
        <f aca="false">'📥 Respostas'!D61</f>
        <v>0</v>
      </c>
      <c r="C61" s="5" t="n">
        <f aca="false">'📥 Respostas'!C61</f>
        <v>0</v>
      </c>
      <c r="D61" s="14" t="str">
        <f aca="false">IFERROR(VLOOKUP(TRIM('📥 Respostas'!G61),'⚙️ Config'!$A$4:$B$13,2,0),"")</f>
        <v/>
      </c>
      <c r="E61" s="14" t="str">
        <f aca="false">IFERROR(VLOOKUP(TRIM('📥 Respostas'!H61),'⚙️ Config'!$A$4:$B$13,2,0),"")</f>
        <v/>
      </c>
      <c r="F61" s="14" t="str">
        <f aca="false">IFERROR(VLOOKUP(TRIM('📥 Respostas'!I61),'⚙️ Config'!$A$4:$B$13,2,0),"")</f>
        <v/>
      </c>
      <c r="G61" s="14" t="str">
        <f aca="false">IFERROR(VLOOKUP(TRIM('📥 Respostas'!J61),'⚙️ Config'!$A$4:$B$13,2,0),"")</f>
        <v/>
      </c>
      <c r="H61" s="14" t="str">
        <f aca="false">IFERROR(VLOOKUP(TRIM('📥 Respostas'!K61),'⚙️ Config'!$A$4:$B$13,2,0),"")</f>
        <v/>
      </c>
      <c r="I61" s="14" t="str">
        <f aca="false">IFERROR(VLOOKUP(TRIM('📥 Respostas'!L61),'⚙️ Config'!$A$4:$B$13,2,0),"")</f>
        <v/>
      </c>
      <c r="J61" s="14" t="str">
        <f aca="false">IFERROR(VLOOKUP(TRIM('📥 Respostas'!M61),'⚙️ Config'!$A$4:$B$13,2,0),"")</f>
        <v/>
      </c>
      <c r="K61" s="14" t="str">
        <f aca="false">IFERROR(VLOOKUP(TRIM('📥 Respostas'!N61),'⚙️ Config'!$A$4:$B$13,2,0),"")</f>
        <v/>
      </c>
      <c r="L61" s="14" t="str">
        <f aca="false">IFERROR(VLOOKUP(TRIM('📥 Respostas'!O61),'⚙️ Config'!$A$4:$B$13,2,0),"")</f>
        <v/>
      </c>
      <c r="M61" s="14" t="str">
        <f aca="false">IFERROR(VLOOKUP(TRIM('📥 Respostas'!P61),'⚙️ Config'!$A$4:$B$13,2,0),"")</f>
        <v/>
      </c>
      <c r="N61" s="14" t="str">
        <f aca="false">IFERROR(VLOOKUP(TRIM('📥 Respostas'!Q61),'⚙️ Config'!$A$4:$B$13,2,0),"")</f>
        <v/>
      </c>
      <c r="O61" s="14" t="str">
        <f aca="false">IFERROR(VLOOKUP(TRIM('📥 Respostas'!R61),'⚙️ Config'!$A$4:$B$13,2,0),"")</f>
        <v/>
      </c>
      <c r="P61" s="14" t="str">
        <f aca="false">IFERROR(VLOOKUP(TRIM('📥 Respostas'!S61),'⚙️ Config'!$A$4:$B$13,2,0),"")</f>
        <v/>
      </c>
      <c r="Q61" s="14" t="str">
        <f aca="false">IFERROR(VLOOKUP(TRIM('📥 Respostas'!T61),'⚙️ Config'!$A$4:$B$13,2,0),"")</f>
        <v/>
      </c>
      <c r="R61" s="14" t="str">
        <f aca="false">IFERROR(VLOOKUP(TRIM('📥 Respostas'!U61),'⚙️ Config'!$A$4:$B$13,2,0),"")</f>
        <v/>
      </c>
      <c r="S61" s="14" t="str">
        <f aca="false">IFERROR(VLOOKUP(TRIM('📥 Respostas'!V61),'⚙️ Config'!$A$4:$B$13,2,0),"")</f>
        <v/>
      </c>
      <c r="T61" s="14" t="str">
        <f aca="false">IFERROR(VLOOKUP(TRIM('📥 Respostas'!W61),'⚙️ Config'!$A$4:$B$13,2,0),"")</f>
        <v/>
      </c>
      <c r="U61" s="14" t="str">
        <f aca="false">IFERROR(VLOOKUP(TRIM('📥 Respostas'!X61),'⚙️ Config'!$A$4:$B$13,2,0),"")</f>
        <v/>
      </c>
      <c r="V61" s="14" t="str">
        <f aca="false">IFERROR(VLOOKUP(TRIM('📥 Respostas'!Y61),'⚙️ Config'!$A$4:$B$13,2,0),"")</f>
        <v/>
      </c>
      <c r="W61" s="14" t="str">
        <f aca="false">IFERROR(VLOOKUP(TRIM('📥 Respostas'!Z61),'⚙️ Config'!$A$4:$B$13,2,0),"")</f>
        <v/>
      </c>
      <c r="X61" s="14" t="str">
        <f aca="false">IFERROR(VLOOKUP(TRIM('📥 Respostas'!AA61),'⚙️ Config'!$A$4:$B$13,2,0),"")</f>
        <v/>
      </c>
      <c r="Y61" s="14" t="str">
        <f aca="false">IFERROR(VLOOKUP(TRIM('📥 Respostas'!AB61),'⚙️ Config'!$A$4:$B$13,2,0),"")</f>
        <v/>
      </c>
      <c r="Z61" s="14" t="str">
        <f aca="false">IFERROR(VLOOKUP(TRIM('📥 Respostas'!AC61),'⚙️ Config'!$A$4:$B$13,2,0),"")</f>
        <v/>
      </c>
      <c r="AA61" s="14" t="str">
        <f aca="false">IFERROR(VLOOKUP(TRIM('📥 Respostas'!AD61),'⚙️ Config'!$A$4:$B$13,2,0),"")</f>
        <v/>
      </c>
      <c r="AB61" s="14" t="str">
        <f aca="false">IFERROR(VLOOKUP(TRIM('📥 Respostas'!AE61),'⚙️ Config'!$A$4:$B$13,2,0),"")</f>
        <v/>
      </c>
      <c r="AC61" s="14" t="str">
        <f aca="false">IFERROR(VLOOKUP(TRIM('📥 Respostas'!AF61),'⚙️ Config'!$A$4:$B$13,2,0),"")</f>
        <v/>
      </c>
      <c r="AD61" s="14" t="str">
        <f aca="false">IFERROR(VLOOKUP(TRIM('📥 Respostas'!AG61),'⚙️ Config'!$A$4:$B$13,2,0),"")</f>
        <v/>
      </c>
      <c r="AE61" s="14" t="str">
        <f aca="false">IFERROR(VLOOKUP(TRIM('📥 Respostas'!AH61),'⚙️ Config'!$A$4:$B$13,2,0),"")</f>
        <v/>
      </c>
      <c r="AF61" s="14" t="str">
        <f aca="false">IFERROR(VLOOKUP(TRIM('📥 Respostas'!AI61),'⚙️ Config'!$C$4:$D$11,2,0),"")</f>
        <v/>
      </c>
      <c r="AG61" s="14" t="str">
        <f aca="false">IFERROR(VLOOKUP(TRIM('📥 Respostas'!AJ61),'⚙️ Config'!$A$4:$B$13,2,0),"")</f>
        <v/>
      </c>
      <c r="AH61" s="14" t="str">
        <f aca="false">IFERROR(VLOOKUP(TRIM('📥 Respostas'!AK61),'⚙️ Config'!$A$4:$B$13,2,0),"")</f>
        <v/>
      </c>
      <c r="AI61" s="14" t="str">
        <f aca="false">IFERROR(VLOOKUP(TRIM('📥 Respostas'!AL61),'⚙️ Config'!$A$4:$B$13,2,0),"")</f>
        <v/>
      </c>
      <c r="AJ61" s="14" t="str">
        <f aca="false">IFERROR(VLOOKUP(TRIM('📥 Respostas'!AM61),'⚙️ Config'!$A$4:$B$13,2,0),"")</f>
        <v/>
      </c>
      <c r="AK61" s="14" t="str">
        <f aca="false">IFERROR(VLOOKUP(TRIM('📥 Respostas'!AN61),'⚙️ Config'!$A$4:$B$13,2,0),"")</f>
        <v/>
      </c>
      <c r="AL61" s="14" t="str">
        <f aca="false">IFERROR(VLOOKUP(TRIM('📥 Respostas'!AO61),'⚙️ Config'!$A$4:$B$13,2,0),"")</f>
        <v/>
      </c>
      <c r="AM61" s="14" t="str">
        <f aca="false">IFERROR(VLOOKUP(TRIM('📥 Respostas'!AP61),'⚙️ Config'!$A$4:$B$13,2,0),"")</f>
        <v/>
      </c>
      <c r="AN61" s="14" t="str">
        <f aca="false">IFERROR(VLOOKUP(TRIM('📥 Respostas'!AQ61),'⚙️ Config'!$A$4:$B$13,2,0),"")</f>
        <v/>
      </c>
      <c r="AO61" s="14" t="str">
        <f aca="false">IFERROR(VLOOKUP(TRIM('📥 Respostas'!AR61),'⚙️ Config'!$A$4:$B$13,2,0),"")</f>
        <v/>
      </c>
      <c r="AP61" s="14" t="str">
        <f aca="false">IFERROR(VLOOKUP(TRIM('📥 Respostas'!AS61),'⚙️ Config'!$A$4:$B$13,2,0),"")</f>
        <v/>
      </c>
      <c r="AQ61" s="14" t="str">
        <f aca="false">IFERROR(VLOOKUP(TRIM('📥 Respostas'!AT61),'⚙️ Config'!$A$4:$B$13,2,0),"")</f>
        <v/>
      </c>
      <c r="AR61" s="14" t="str">
        <f aca="false">IFERROR(VLOOKUP(TRIM('📥 Respostas'!AU61),'⚙️ Config'!$A$4:$B$13,2,0),"")</f>
        <v/>
      </c>
    </row>
    <row r="62" customFormat="false" ht="15" hidden="false" customHeight="false" outlineLevel="0" collapsed="false">
      <c r="A62" s="12" t="str">
        <f aca="false">IF(ISBLANK('📥 Respostas'!D62),"",ROW()-3)</f>
        <v/>
      </c>
      <c r="B62" s="12" t="n">
        <f aca="false">'📥 Respostas'!D62</f>
        <v>0</v>
      </c>
      <c r="C62" s="13" t="n">
        <f aca="false">'📥 Respostas'!C62</f>
        <v>0</v>
      </c>
      <c r="D62" s="14" t="str">
        <f aca="false">IFERROR(VLOOKUP(TRIM('📥 Respostas'!G62),'⚙️ Config'!$A$4:$B$13,2,0),"")</f>
        <v/>
      </c>
      <c r="E62" s="14" t="str">
        <f aca="false">IFERROR(VLOOKUP(TRIM('📥 Respostas'!H62),'⚙️ Config'!$A$4:$B$13,2,0),"")</f>
        <v/>
      </c>
      <c r="F62" s="14" t="str">
        <f aca="false">IFERROR(VLOOKUP(TRIM('📥 Respostas'!I62),'⚙️ Config'!$A$4:$B$13,2,0),"")</f>
        <v/>
      </c>
      <c r="G62" s="14" t="str">
        <f aca="false">IFERROR(VLOOKUP(TRIM('📥 Respostas'!J62),'⚙️ Config'!$A$4:$B$13,2,0),"")</f>
        <v/>
      </c>
      <c r="H62" s="14" t="str">
        <f aca="false">IFERROR(VLOOKUP(TRIM('📥 Respostas'!K62),'⚙️ Config'!$A$4:$B$13,2,0),"")</f>
        <v/>
      </c>
      <c r="I62" s="14" t="str">
        <f aca="false">IFERROR(VLOOKUP(TRIM('📥 Respostas'!L62),'⚙️ Config'!$A$4:$B$13,2,0),"")</f>
        <v/>
      </c>
      <c r="J62" s="14" t="str">
        <f aca="false">IFERROR(VLOOKUP(TRIM('📥 Respostas'!M62),'⚙️ Config'!$A$4:$B$13,2,0),"")</f>
        <v/>
      </c>
      <c r="K62" s="14" t="str">
        <f aca="false">IFERROR(VLOOKUP(TRIM('📥 Respostas'!N62),'⚙️ Config'!$A$4:$B$13,2,0),"")</f>
        <v/>
      </c>
      <c r="L62" s="14" t="str">
        <f aca="false">IFERROR(VLOOKUP(TRIM('📥 Respostas'!O62),'⚙️ Config'!$A$4:$B$13,2,0),"")</f>
        <v/>
      </c>
      <c r="M62" s="14" t="str">
        <f aca="false">IFERROR(VLOOKUP(TRIM('📥 Respostas'!P62),'⚙️ Config'!$A$4:$B$13,2,0),"")</f>
        <v/>
      </c>
      <c r="N62" s="14" t="str">
        <f aca="false">IFERROR(VLOOKUP(TRIM('📥 Respostas'!Q62),'⚙️ Config'!$A$4:$B$13,2,0),"")</f>
        <v/>
      </c>
      <c r="O62" s="14" t="str">
        <f aca="false">IFERROR(VLOOKUP(TRIM('📥 Respostas'!R62),'⚙️ Config'!$A$4:$B$13,2,0),"")</f>
        <v/>
      </c>
      <c r="P62" s="14" t="str">
        <f aca="false">IFERROR(VLOOKUP(TRIM('📥 Respostas'!S62),'⚙️ Config'!$A$4:$B$13,2,0),"")</f>
        <v/>
      </c>
      <c r="Q62" s="14" t="str">
        <f aca="false">IFERROR(VLOOKUP(TRIM('📥 Respostas'!T62),'⚙️ Config'!$A$4:$B$13,2,0),"")</f>
        <v/>
      </c>
      <c r="R62" s="14" t="str">
        <f aca="false">IFERROR(VLOOKUP(TRIM('📥 Respostas'!U62),'⚙️ Config'!$A$4:$B$13,2,0),"")</f>
        <v/>
      </c>
      <c r="S62" s="14" t="str">
        <f aca="false">IFERROR(VLOOKUP(TRIM('📥 Respostas'!V62),'⚙️ Config'!$A$4:$B$13,2,0),"")</f>
        <v/>
      </c>
      <c r="T62" s="14" t="str">
        <f aca="false">IFERROR(VLOOKUP(TRIM('📥 Respostas'!W62),'⚙️ Config'!$A$4:$B$13,2,0),"")</f>
        <v/>
      </c>
      <c r="U62" s="14" t="str">
        <f aca="false">IFERROR(VLOOKUP(TRIM('📥 Respostas'!X62),'⚙️ Config'!$A$4:$B$13,2,0),"")</f>
        <v/>
      </c>
      <c r="V62" s="14" t="str">
        <f aca="false">IFERROR(VLOOKUP(TRIM('📥 Respostas'!Y62),'⚙️ Config'!$A$4:$B$13,2,0),"")</f>
        <v/>
      </c>
      <c r="W62" s="14" t="str">
        <f aca="false">IFERROR(VLOOKUP(TRIM('📥 Respostas'!Z62),'⚙️ Config'!$A$4:$B$13,2,0),"")</f>
        <v/>
      </c>
      <c r="X62" s="14" t="str">
        <f aca="false">IFERROR(VLOOKUP(TRIM('📥 Respostas'!AA62),'⚙️ Config'!$A$4:$B$13,2,0),"")</f>
        <v/>
      </c>
      <c r="Y62" s="14" t="str">
        <f aca="false">IFERROR(VLOOKUP(TRIM('📥 Respostas'!AB62),'⚙️ Config'!$A$4:$B$13,2,0),"")</f>
        <v/>
      </c>
      <c r="Z62" s="14" t="str">
        <f aca="false">IFERROR(VLOOKUP(TRIM('📥 Respostas'!AC62),'⚙️ Config'!$A$4:$B$13,2,0),"")</f>
        <v/>
      </c>
      <c r="AA62" s="14" t="str">
        <f aca="false">IFERROR(VLOOKUP(TRIM('📥 Respostas'!AD62),'⚙️ Config'!$A$4:$B$13,2,0),"")</f>
        <v/>
      </c>
      <c r="AB62" s="14" t="str">
        <f aca="false">IFERROR(VLOOKUP(TRIM('📥 Respostas'!AE62),'⚙️ Config'!$A$4:$B$13,2,0),"")</f>
        <v/>
      </c>
      <c r="AC62" s="14" t="str">
        <f aca="false">IFERROR(VLOOKUP(TRIM('📥 Respostas'!AF62),'⚙️ Config'!$A$4:$B$13,2,0),"")</f>
        <v/>
      </c>
      <c r="AD62" s="14" t="str">
        <f aca="false">IFERROR(VLOOKUP(TRIM('📥 Respostas'!AG62),'⚙️ Config'!$A$4:$B$13,2,0),"")</f>
        <v/>
      </c>
      <c r="AE62" s="14" t="str">
        <f aca="false">IFERROR(VLOOKUP(TRIM('📥 Respostas'!AH62),'⚙️ Config'!$A$4:$B$13,2,0),"")</f>
        <v/>
      </c>
      <c r="AF62" s="14" t="str">
        <f aca="false">IFERROR(VLOOKUP(TRIM('📥 Respostas'!AI62),'⚙️ Config'!$C$4:$D$11,2,0),"")</f>
        <v/>
      </c>
      <c r="AG62" s="14" t="str">
        <f aca="false">IFERROR(VLOOKUP(TRIM('📥 Respostas'!AJ62),'⚙️ Config'!$A$4:$B$13,2,0),"")</f>
        <v/>
      </c>
      <c r="AH62" s="14" t="str">
        <f aca="false">IFERROR(VLOOKUP(TRIM('📥 Respostas'!AK62),'⚙️ Config'!$A$4:$B$13,2,0),"")</f>
        <v/>
      </c>
      <c r="AI62" s="14" t="str">
        <f aca="false">IFERROR(VLOOKUP(TRIM('📥 Respostas'!AL62),'⚙️ Config'!$A$4:$B$13,2,0),"")</f>
        <v/>
      </c>
      <c r="AJ62" s="14" t="str">
        <f aca="false">IFERROR(VLOOKUP(TRIM('📥 Respostas'!AM62),'⚙️ Config'!$A$4:$B$13,2,0),"")</f>
        <v/>
      </c>
      <c r="AK62" s="14" t="str">
        <f aca="false">IFERROR(VLOOKUP(TRIM('📥 Respostas'!AN62),'⚙️ Config'!$A$4:$B$13,2,0),"")</f>
        <v/>
      </c>
      <c r="AL62" s="14" t="str">
        <f aca="false">IFERROR(VLOOKUP(TRIM('📥 Respostas'!AO62),'⚙️ Config'!$A$4:$B$13,2,0),"")</f>
        <v/>
      </c>
      <c r="AM62" s="14" t="str">
        <f aca="false">IFERROR(VLOOKUP(TRIM('📥 Respostas'!AP62),'⚙️ Config'!$A$4:$B$13,2,0),"")</f>
        <v/>
      </c>
      <c r="AN62" s="14" t="str">
        <f aca="false">IFERROR(VLOOKUP(TRIM('📥 Respostas'!AQ62),'⚙️ Config'!$A$4:$B$13,2,0),"")</f>
        <v/>
      </c>
      <c r="AO62" s="14" t="str">
        <f aca="false">IFERROR(VLOOKUP(TRIM('📥 Respostas'!AR62),'⚙️ Config'!$A$4:$B$13,2,0),"")</f>
        <v/>
      </c>
      <c r="AP62" s="14" t="str">
        <f aca="false">IFERROR(VLOOKUP(TRIM('📥 Respostas'!AS62),'⚙️ Config'!$A$4:$B$13,2,0),"")</f>
        <v/>
      </c>
      <c r="AQ62" s="14" t="str">
        <f aca="false">IFERROR(VLOOKUP(TRIM('📥 Respostas'!AT62),'⚙️ Config'!$A$4:$B$13,2,0),"")</f>
        <v/>
      </c>
      <c r="AR62" s="14" t="str">
        <f aca="false">IFERROR(VLOOKUP(TRIM('📥 Respostas'!AU62),'⚙️ Config'!$A$4:$B$13,2,0),"")</f>
        <v/>
      </c>
    </row>
    <row r="63" customFormat="false" ht="15" hidden="false" customHeight="false" outlineLevel="0" collapsed="false">
      <c r="A63" s="15" t="str">
        <f aca="false">IF(ISBLANK('📥 Respostas'!D63),"",ROW()-3)</f>
        <v/>
      </c>
      <c r="B63" s="15" t="n">
        <f aca="false">'📥 Respostas'!D63</f>
        <v>0</v>
      </c>
      <c r="C63" s="5" t="n">
        <f aca="false">'📥 Respostas'!C63</f>
        <v>0</v>
      </c>
      <c r="D63" s="14" t="str">
        <f aca="false">IFERROR(VLOOKUP(TRIM('📥 Respostas'!G63),'⚙️ Config'!$A$4:$B$13,2,0),"")</f>
        <v/>
      </c>
      <c r="E63" s="14" t="str">
        <f aca="false">IFERROR(VLOOKUP(TRIM('📥 Respostas'!H63),'⚙️ Config'!$A$4:$B$13,2,0),"")</f>
        <v/>
      </c>
      <c r="F63" s="14" t="str">
        <f aca="false">IFERROR(VLOOKUP(TRIM('📥 Respostas'!I63),'⚙️ Config'!$A$4:$B$13,2,0),"")</f>
        <v/>
      </c>
      <c r="G63" s="14" t="str">
        <f aca="false">IFERROR(VLOOKUP(TRIM('📥 Respostas'!J63),'⚙️ Config'!$A$4:$B$13,2,0),"")</f>
        <v/>
      </c>
      <c r="H63" s="14" t="str">
        <f aca="false">IFERROR(VLOOKUP(TRIM('📥 Respostas'!K63),'⚙️ Config'!$A$4:$B$13,2,0),"")</f>
        <v/>
      </c>
      <c r="I63" s="14" t="str">
        <f aca="false">IFERROR(VLOOKUP(TRIM('📥 Respostas'!L63),'⚙️ Config'!$A$4:$B$13,2,0),"")</f>
        <v/>
      </c>
      <c r="J63" s="14" t="str">
        <f aca="false">IFERROR(VLOOKUP(TRIM('📥 Respostas'!M63),'⚙️ Config'!$A$4:$B$13,2,0),"")</f>
        <v/>
      </c>
      <c r="K63" s="14" t="str">
        <f aca="false">IFERROR(VLOOKUP(TRIM('📥 Respostas'!N63),'⚙️ Config'!$A$4:$B$13,2,0),"")</f>
        <v/>
      </c>
      <c r="L63" s="14" t="str">
        <f aca="false">IFERROR(VLOOKUP(TRIM('📥 Respostas'!O63),'⚙️ Config'!$A$4:$B$13,2,0),"")</f>
        <v/>
      </c>
      <c r="M63" s="14" t="str">
        <f aca="false">IFERROR(VLOOKUP(TRIM('📥 Respostas'!P63),'⚙️ Config'!$A$4:$B$13,2,0),"")</f>
        <v/>
      </c>
      <c r="N63" s="14" t="str">
        <f aca="false">IFERROR(VLOOKUP(TRIM('📥 Respostas'!Q63),'⚙️ Config'!$A$4:$B$13,2,0),"")</f>
        <v/>
      </c>
      <c r="O63" s="14" t="str">
        <f aca="false">IFERROR(VLOOKUP(TRIM('📥 Respostas'!R63),'⚙️ Config'!$A$4:$B$13,2,0),"")</f>
        <v/>
      </c>
      <c r="P63" s="14" t="str">
        <f aca="false">IFERROR(VLOOKUP(TRIM('📥 Respostas'!S63),'⚙️ Config'!$A$4:$B$13,2,0),"")</f>
        <v/>
      </c>
      <c r="Q63" s="14" t="str">
        <f aca="false">IFERROR(VLOOKUP(TRIM('📥 Respostas'!T63),'⚙️ Config'!$A$4:$B$13,2,0),"")</f>
        <v/>
      </c>
      <c r="R63" s="14" t="str">
        <f aca="false">IFERROR(VLOOKUP(TRIM('📥 Respostas'!U63),'⚙️ Config'!$A$4:$B$13,2,0),"")</f>
        <v/>
      </c>
      <c r="S63" s="14" t="str">
        <f aca="false">IFERROR(VLOOKUP(TRIM('📥 Respostas'!V63),'⚙️ Config'!$A$4:$B$13,2,0),"")</f>
        <v/>
      </c>
      <c r="T63" s="14" t="str">
        <f aca="false">IFERROR(VLOOKUP(TRIM('📥 Respostas'!W63),'⚙️ Config'!$A$4:$B$13,2,0),"")</f>
        <v/>
      </c>
      <c r="U63" s="14" t="str">
        <f aca="false">IFERROR(VLOOKUP(TRIM('📥 Respostas'!X63),'⚙️ Config'!$A$4:$B$13,2,0),"")</f>
        <v/>
      </c>
      <c r="V63" s="14" t="str">
        <f aca="false">IFERROR(VLOOKUP(TRIM('📥 Respostas'!Y63),'⚙️ Config'!$A$4:$B$13,2,0),"")</f>
        <v/>
      </c>
      <c r="W63" s="14" t="str">
        <f aca="false">IFERROR(VLOOKUP(TRIM('📥 Respostas'!Z63),'⚙️ Config'!$A$4:$B$13,2,0),"")</f>
        <v/>
      </c>
      <c r="X63" s="14" t="str">
        <f aca="false">IFERROR(VLOOKUP(TRIM('📥 Respostas'!AA63),'⚙️ Config'!$A$4:$B$13,2,0),"")</f>
        <v/>
      </c>
      <c r="Y63" s="14" t="str">
        <f aca="false">IFERROR(VLOOKUP(TRIM('📥 Respostas'!AB63),'⚙️ Config'!$A$4:$B$13,2,0),"")</f>
        <v/>
      </c>
      <c r="Z63" s="14" t="str">
        <f aca="false">IFERROR(VLOOKUP(TRIM('📥 Respostas'!AC63),'⚙️ Config'!$A$4:$B$13,2,0),"")</f>
        <v/>
      </c>
      <c r="AA63" s="14" t="str">
        <f aca="false">IFERROR(VLOOKUP(TRIM('📥 Respostas'!AD63),'⚙️ Config'!$A$4:$B$13,2,0),"")</f>
        <v/>
      </c>
      <c r="AB63" s="14" t="str">
        <f aca="false">IFERROR(VLOOKUP(TRIM('📥 Respostas'!AE63),'⚙️ Config'!$A$4:$B$13,2,0),"")</f>
        <v/>
      </c>
      <c r="AC63" s="14" t="str">
        <f aca="false">IFERROR(VLOOKUP(TRIM('📥 Respostas'!AF63),'⚙️ Config'!$A$4:$B$13,2,0),"")</f>
        <v/>
      </c>
      <c r="AD63" s="14" t="str">
        <f aca="false">IFERROR(VLOOKUP(TRIM('📥 Respostas'!AG63),'⚙️ Config'!$A$4:$B$13,2,0),"")</f>
        <v/>
      </c>
      <c r="AE63" s="14" t="str">
        <f aca="false">IFERROR(VLOOKUP(TRIM('📥 Respostas'!AH63),'⚙️ Config'!$A$4:$B$13,2,0),"")</f>
        <v/>
      </c>
      <c r="AF63" s="14" t="str">
        <f aca="false">IFERROR(VLOOKUP(TRIM('📥 Respostas'!AI63),'⚙️ Config'!$C$4:$D$11,2,0),"")</f>
        <v/>
      </c>
      <c r="AG63" s="14" t="str">
        <f aca="false">IFERROR(VLOOKUP(TRIM('📥 Respostas'!AJ63),'⚙️ Config'!$A$4:$B$13,2,0),"")</f>
        <v/>
      </c>
      <c r="AH63" s="14" t="str">
        <f aca="false">IFERROR(VLOOKUP(TRIM('📥 Respostas'!AK63),'⚙️ Config'!$A$4:$B$13,2,0),"")</f>
        <v/>
      </c>
      <c r="AI63" s="14" t="str">
        <f aca="false">IFERROR(VLOOKUP(TRIM('📥 Respostas'!AL63),'⚙️ Config'!$A$4:$B$13,2,0),"")</f>
        <v/>
      </c>
      <c r="AJ63" s="14" t="str">
        <f aca="false">IFERROR(VLOOKUP(TRIM('📥 Respostas'!AM63),'⚙️ Config'!$A$4:$B$13,2,0),"")</f>
        <v/>
      </c>
      <c r="AK63" s="14" t="str">
        <f aca="false">IFERROR(VLOOKUP(TRIM('📥 Respostas'!AN63),'⚙️ Config'!$A$4:$B$13,2,0),"")</f>
        <v/>
      </c>
      <c r="AL63" s="14" t="str">
        <f aca="false">IFERROR(VLOOKUP(TRIM('📥 Respostas'!AO63),'⚙️ Config'!$A$4:$B$13,2,0),"")</f>
        <v/>
      </c>
      <c r="AM63" s="14" t="str">
        <f aca="false">IFERROR(VLOOKUP(TRIM('📥 Respostas'!AP63),'⚙️ Config'!$A$4:$B$13,2,0),"")</f>
        <v/>
      </c>
      <c r="AN63" s="14" t="str">
        <f aca="false">IFERROR(VLOOKUP(TRIM('📥 Respostas'!AQ63),'⚙️ Config'!$A$4:$B$13,2,0),"")</f>
        <v/>
      </c>
      <c r="AO63" s="14" t="str">
        <f aca="false">IFERROR(VLOOKUP(TRIM('📥 Respostas'!AR63),'⚙️ Config'!$A$4:$B$13,2,0),"")</f>
        <v/>
      </c>
      <c r="AP63" s="14" t="str">
        <f aca="false">IFERROR(VLOOKUP(TRIM('📥 Respostas'!AS63),'⚙️ Config'!$A$4:$B$13,2,0),"")</f>
        <v/>
      </c>
      <c r="AQ63" s="14" t="str">
        <f aca="false">IFERROR(VLOOKUP(TRIM('📥 Respostas'!AT63),'⚙️ Config'!$A$4:$B$13,2,0),"")</f>
        <v/>
      </c>
      <c r="AR63" s="14" t="str">
        <f aca="false">IFERROR(VLOOKUP(TRIM('📥 Respostas'!AU63),'⚙️ Config'!$A$4:$B$13,2,0),"")</f>
        <v/>
      </c>
    </row>
    <row r="64" customFormat="false" ht="15" hidden="false" customHeight="false" outlineLevel="0" collapsed="false">
      <c r="A64" s="12" t="str">
        <f aca="false">IF(ISBLANK('📥 Respostas'!D64),"",ROW()-3)</f>
        <v/>
      </c>
      <c r="B64" s="12" t="n">
        <f aca="false">'📥 Respostas'!D64</f>
        <v>0</v>
      </c>
      <c r="C64" s="13" t="n">
        <f aca="false">'📥 Respostas'!C64</f>
        <v>0</v>
      </c>
      <c r="D64" s="14" t="str">
        <f aca="false">IFERROR(VLOOKUP(TRIM('📥 Respostas'!G64),'⚙️ Config'!$A$4:$B$13,2,0),"")</f>
        <v/>
      </c>
      <c r="E64" s="14" t="str">
        <f aca="false">IFERROR(VLOOKUP(TRIM('📥 Respostas'!H64),'⚙️ Config'!$A$4:$B$13,2,0),"")</f>
        <v/>
      </c>
      <c r="F64" s="14" t="str">
        <f aca="false">IFERROR(VLOOKUP(TRIM('📥 Respostas'!I64),'⚙️ Config'!$A$4:$B$13,2,0),"")</f>
        <v/>
      </c>
      <c r="G64" s="14" t="str">
        <f aca="false">IFERROR(VLOOKUP(TRIM('📥 Respostas'!J64),'⚙️ Config'!$A$4:$B$13,2,0),"")</f>
        <v/>
      </c>
      <c r="H64" s="14" t="str">
        <f aca="false">IFERROR(VLOOKUP(TRIM('📥 Respostas'!K64),'⚙️ Config'!$A$4:$B$13,2,0),"")</f>
        <v/>
      </c>
      <c r="I64" s="14" t="str">
        <f aca="false">IFERROR(VLOOKUP(TRIM('📥 Respostas'!L64),'⚙️ Config'!$A$4:$B$13,2,0),"")</f>
        <v/>
      </c>
      <c r="J64" s="14" t="str">
        <f aca="false">IFERROR(VLOOKUP(TRIM('📥 Respostas'!M64),'⚙️ Config'!$A$4:$B$13,2,0),"")</f>
        <v/>
      </c>
      <c r="K64" s="14" t="str">
        <f aca="false">IFERROR(VLOOKUP(TRIM('📥 Respostas'!N64),'⚙️ Config'!$A$4:$B$13,2,0),"")</f>
        <v/>
      </c>
      <c r="L64" s="14" t="str">
        <f aca="false">IFERROR(VLOOKUP(TRIM('📥 Respostas'!O64),'⚙️ Config'!$A$4:$B$13,2,0),"")</f>
        <v/>
      </c>
      <c r="M64" s="14" t="str">
        <f aca="false">IFERROR(VLOOKUP(TRIM('📥 Respostas'!P64),'⚙️ Config'!$A$4:$B$13,2,0),"")</f>
        <v/>
      </c>
      <c r="N64" s="14" t="str">
        <f aca="false">IFERROR(VLOOKUP(TRIM('📥 Respostas'!Q64),'⚙️ Config'!$A$4:$B$13,2,0),"")</f>
        <v/>
      </c>
      <c r="O64" s="14" t="str">
        <f aca="false">IFERROR(VLOOKUP(TRIM('📥 Respostas'!R64),'⚙️ Config'!$A$4:$B$13,2,0),"")</f>
        <v/>
      </c>
      <c r="P64" s="14" t="str">
        <f aca="false">IFERROR(VLOOKUP(TRIM('📥 Respostas'!S64),'⚙️ Config'!$A$4:$B$13,2,0),"")</f>
        <v/>
      </c>
      <c r="Q64" s="14" t="str">
        <f aca="false">IFERROR(VLOOKUP(TRIM('📥 Respostas'!T64),'⚙️ Config'!$A$4:$B$13,2,0),"")</f>
        <v/>
      </c>
      <c r="R64" s="14" t="str">
        <f aca="false">IFERROR(VLOOKUP(TRIM('📥 Respostas'!U64),'⚙️ Config'!$A$4:$B$13,2,0),"")</f>
        <v/>
      </c>
      <c r="S64" s="14" t="str">
        <f aca="false">IFERROR(VLOOKUP(TRIM('📥 Respostas'!V64),'⚙️ Config'!$A$4:$B$13,2,0),"")</f>
        <v/>
      </c>
      <c r="T64" s="14" t="str">
        <f aca="false">IFERROR(VLOOKUP(TRIM('📥 Respostas'!W64),'⚙️ Config'!$A$4:$B$13,2,0),"")</f>
        <v/>
      </c>
      <c r="U64" s="14" t="str">
        <f aca="false">IFERROR(VLOOKUP(TRIM('📥 Respostas'!X64),'⚙️ Config'!$A$4:$B$13,2,0),"")</f>
        <v/>
      </c>
      <c r="V64" s="14" t="str">
        <f aca="false">IFERROR(VLOOKUP(TRIM('📥 Respostas'!Y64),'⚙️ Config'!$A$4:$B$13,2,0),"")</f>
        <v/>
      </c>
      <c r="W64" s="14" t="str">
        <f aca="false">IFERROR(VLOOKUP(TRIM('📥 Respostas'!Z64),'⚙️ Config'!$A$4:$B$13,2,0),"")</f>
        <v/>
      </c>
      <c r="X64" s="14" t="str">
        <f aca="false">IFERROR(VLOOKUP(TRIM('📥 Respostas'!AA64),'⚙️ Config'!$A$4:$B$13,2,0),"")</f>
        <v/>
      </c>
      <c r="Y64" s="14" t="str">
        <f aca="false">IFERROR(VLOOKUP(TRIM('📥 Respostas'!AB64),'⚙️ Config'!$A$4:$B$13,2,0),"")</f>
        <v/>
      </c>
      <c r="Z64" s="14" t="str">
        <f aca="false">IFERROR(VLOOKUP(TRIM('📥 Respostas'!AC64),'⚙️ Config'!$A$4:$B$13,2,0),"")</f>
        <v/>
      </c>
      <c r="AA64" s="14" t="str">
        <f aca="false">IFERROR(VLOOKUP(TRIM('📥 Respostas'!AD64),'⚙️ Config'!$A$4:$B$13,2,0),"")</f>
        <v/>
      </c>
      <c r="AB64" s="14" t="str">
        <f aca="false">IFERROR(VLOOKUP(TRIM('📥 Respostas'!AE64),'⚙️ Config'!$A$4:$B$13,2,0),"")</f>
        <v/>
      </c>
      <c r="AC64" s="14" t="str">
        <f aca="false">IFERROR(VLOOKUP(TRIM('📥 Respostas'!AF64),'⚙️ Config'!$A$4:$B$13,2,0),"")</f>
        <v/>
      </c>
      <c r="AD64" s="14" t="str">
        <f aca="false">IFERROR(VLOOKUP(TRIM('📥 Respostas'!AG64),'⚙️ Config'!$A$4:$B$13,2,0),"")</f>
        <v/>
      </c>
      <c r="AE64" s="14" t="str">
        <f aca="false">IFERROR(VLOOKUP(TRIM('📥 Respostas'!AH64),'⚙️ Config'!$A$4:$B$13,2,0),"")</f>
        <v/>
      </c>
      <c r="AF64" s="14" t="str">
        <f aca="false">IFERROR(VLOOKUP(TRIM('📥 Respostas'!AI64),'⚙️ Config'!$C$4:$D$11,2,0),"")</f>
        <v/>
      </c>
      <c r="AG64" s="14" t="str">
        <f aca="false">IFERROR(VLOOKUP(TRIM('📥 Respostas'!AJ64),'⚙️ Config'!$A$4:$B$13,2,0),"")</f>
        <v/>
      </c>
      <c r="AH64" s="14" t="str">
        <f aca="false">IFERROR(VLOOKUP(TRIM('📥 Respostas'!AK64),'⚙️ Config'!$A$4:$B$13,2,0),"")</f>
        <v/>
      </c>
      <c r="AI64" s="14" t="str">
        <f aca="false">IFERROR(VLOOKUP(TRIM('📥 Respostas'!AL64),'⚙️ Config'!$A$4:$B$13,2,0),"")</f>
        <v/>
      </c>
      <c r="AJ64" s="14" t="str">
        <f aca="false">IFERROR(VLOOKUP(TRIM('📥 Respostas'!AM64),'⚙️ Config'!$A$4:$B$13,2,0),"")</f>
        <v/>
      </c>
      <c r="AK64" s="14" t="str">
        <f aca="false">IFERROR(VLOOKUP(TRIM('📥 Respostas'!AN64),'⚙️ Config'!$A$4:$B$13,2,0),"")</f>
        <v/>
      </c>
      <c r="AL64" s="14" t="str">
        <f aca="false">IFERROR(VLOOKUP(TRIM('📥 Respostas'!AO64),'⚙️ Config'!$A$4:$B$13,2,0),"")</f>
        <v/>
      </c>
      <c r="AM64" s="14" t="str">
        <f aca="false">IFERROR(VLOOKUP(TRIM('📥 Respostas'!AP64),'⚙️ Config'!$A$4:$B$13,2,0),"")</f>
        <v/>
      </c>
      <c r="AN64" s="14" t="str">
        <f aca="false">IFERROR(VLOOKUP(TRIM('📥 Respostas'!AQ64),'⚙️ Config'!$A$4:$B$13,2,0),"")</f>
        <v/>
      </c>
      <c r="AO64" s="14" t="str">
        <f aca="false">IFERROR(VLOOKUP(TRIM('📥 Respostas'!AR64),'⚙️ Config'!$A$4:$B$13,2,0),"")</f>
        <v/>
      </c>
      <c r="AP64" s="14" t="str">
        <f aca="false">IFERROR(VLOOKUP(TRIM('📥 Respostas'!AS64),'⚙️ Config'!$A$4:$B$13,2,0),"")</f>
        <v/>
      </c>
      <c r="AQ64" s="14" t="str">
        <f aca="false">IFERROR(VLOOKUP(TRIM('📥 Respostas'!AT64),'⚙️ Config'!$A$4:$B$13,2,0),"")</f>
        <v/>
      </c>
      <c r="AR64" s="14" t="str">
        <f aca="false">IFERROR(VLOOKUP(TRIM('📥 Respostas'!AU64),'⚙️ Config'!$A$4:$B$13,2,0),"")</f>
        <v/>
      </c>
    </row>
    <row r="65" customFormat="false" ht="15" hidden="false" customHeight="false" outlineLevel="0" collapsed="false">
      <c r="A65" s="15" t="str">
        <f aca="false">IF(ISBLANK('📥 Respostas'!D65),"",ROW()-3)</f>
        <v/>
      </c>
      <c r="B65" s="15" t="n">
        <f aca="false">'📥 Respostas'!D65</f>
        <v>0</v>
      </c>
      <c r="C65" s="5" t="n">
        <f aca="false">'📥 Respostas'!C65</f>
        <v>0</v>
      </c>
      <c r="D65" s="14" t="str">
        <f aca="false">IFERROR(VLOOKUP(TRIM('📥 Respostas'!G65),'⚙️ Config'!$A$4:$B$13,2,0),"")</f>
        <v/>
      </c>
      <c r="E65" s="14" t="str">
        <f aca="false">IFERROR(VLOOKUP(TRIM('📥 Respostas'!H65),'⚙️ Config'!$A$4:$B$13,2,0),"")</f>
        <v/>
      </c>
      <c r="F65" s="14" t="str">
        <f aca="false">IFERROR(VLOOKUP(TRIM('📥 Respostas'!I65),'⚙️ Config'!$A$4:$B$13,2,0),"")</f>
        <v/>
      </c>
      <c r="G65" s="14" t="str">
        <f aca="false">IFERROR(VLOOKUP(TRIM('📥 Respostas'!J65),'⚙️ Config'!$A$4:$B$13,2,0),"")</f>
        <v/>
      </c>
      <c r="H65" s="14" t="str">
        <f aca="false">IFERROR(VLOOKUP(TRIM('📥 Respostas'!K65),'⚙️ Config'!$A$4:$B$13,2,0),"")</f>
        <v/>
      </c>
      <c r="I65" s="14" t="str">
        <f aca="false">IFERROR(VLOOKUP(TRIM('📥 Respostas'!L65),'⚙️ Config'!$A$4:$B$13,2,0),"")</f>
        <v/>
      </c>
      <c r="J65" s="14" t="str">
        <f aca="false">IFERROR(VLOOKUP(TRIM('📥 Respostas'!M65),'⚙️ Config'!$A$4:$B$13,2,0),"")</f>
        <v/>
      </c>
      <c r="K65" s="14" t="str">
        <f aca="false">IFERROR(VLOOKUP(TRIM('📥 Respostas'!N65),'⚙️ Config'!$A$4:$B$13,2,0),"")</f>
        <v/>
      </c>
      <c r="L65" s="14" t="str">
        <f aca="false">IFERROR(VLOOKUP(TRIM('📥 Respostas'!O65),'⚙️ Config'!$A$4:$B$13,2,0),"")</f>
        <v/>
      </c>
      <c r="M65" s="14" t="str">
        <f aca="false">IFERROR(VLOOKUP(TRIM('📥 Respostas'!P65),'⚙️ Config'!$A$4:$B$13,2,0),"")</f>
        <v/>
      </c>
      <c r="N65" s="14" t="str">
        <f aca="false">IFERROR(VLOOKUP(TRIM('📥 Respostas'!Q65),'⚙️ Config'!$A$4:$B$13,2,0),"")</f>
        <v/>
      </c>
      <c r="O65" s="14" t="str">
        <f aca="false">IFERROR(VLOOKUP(TRIM('📥 Respostas'!R65),'⚙️ Config'!$A$4:$B$13,2,0),"")</f>
        <v/>
      </c>
      <c r="P65" s="14" t="str">
        <f aca="false">IFERROR(VLOOKUP(TRIM('📥 Respostas'!S65),'⚙️ Config'!$A$4:$B$13,2,0),"")</f>
        <v/>
      </c>
      <c r="Q65" s="14" t="str">
        <f aca="false">IFERROR(VLOOKUP(TRIM('📥 Respostas'!T65),'⚙️ Config'!$A$4:$B$13,2,0),"")</f>
        <v/>
      </c>
      <c r="R65" s="14" t="str">
        <f aca="false">IFERROR(VLOOKUP(TRIM('📥 Respostas'!U65),'⚙️ Config'!$A$4:$B$13,2,0),"")</f>
        <v/>
      </c>
      <c r="S65" s="14" t="str">
        <f aca="false">IFERROR(VLOOKUP(TRIM('📥 Respostas'!V65),'⚙️ Config'!$A$4:$B$13,2,0),"")</f>
        <v/>
      </c>
      <c r="T65" s="14" t="str">
        <f aca="false">IFERROR(VLOOKUP(TRIM('📥 Respostas'!W65),'⚙️ Config'!$A$4:$B$13,2,0),"")</f>
        <v/>
      </c>
      <c r="U65" s="14" t="str">
        <f aca="false">IFERROR(VLOOKUP(TRIM('📥 Respostas'!X65),'⚙️ Config'!$A$4:$B$13,2,0),"")</f>
        <v/>
      </c>
      <c r="V65" s="14" t="str">
        <f aca="false">IFERROR(VLOOKUP(TRIM('📥 Respostas'!Y65),'⚙️ Config'!$A$4:$B$13,2,0),"")</f>
        <v/>
      </c>
      <c r="W65" s="14" t="str">
        <f aca="false">IFERROR(VLOOKUP(TRIM('📥 Respostas'!Z65),'⚙️ Config'!$A$4:$B$13,2,0),"")</f>
        <v/>
      </c>
      <c r="X65" s="14" t="str">
        <f aca="false">IFERROR(VLOOKUP(TRIM('📥 Respostas'!AA65),'⚙️ Config'!$A$4:$B$13,2,0),"")</f>
        <v/>
      </c>
      <c r="Y65" s="14" t="str">
        <f aca="false">IFERROR(VLOOKUP(TRIM('📥 Respostas'!AB65),'⚙️ Config'!$A$4:$B$13,2,0),"")</f>
        <v/>
      </c>
      <c r="Z65" s="14" t="str">
        <f aca="false">IFERROR(VLOOKUP(TRIM('📥 Respostas'!AC65),'⚙️ Config'!$A$4:$B$13,2,0),"")</f>
        <v/>
      </c>
      <c r="AA65" s="14" t="str">
        <f aca="false">IFERROR(VLOOKUP(TRIM('📥 Respostas'!AD65),'⚙️ Config'!$A$4:$B$13,2,0),"")</f>
        <v/>
      </c>
      <c r="AB65" s="14" t="str">
        <f aca="false">IFERROR(VLOOKUP(TRIM('📥 Respostas'!AE65),'⚙️ Config'!$A$4:$B$13,2,0),"")</f>
        <v/>
      </c>
      <c r="AC65" s="14" t="str">
        <f aca="false">IFERROR(VLOOKUP(TRIM('📥 Respostas'!AF65),'⚙️ Config'!$A$4:$B$13,2,0),"")</f>
        <v/>
      </c>
      <c r="AD65" s="14" t="str">
        <f aca="false">IFERROR(VLOOKUP(TRIM('📥 Respostas'!AG65),'⚙️ Config'!$A$4:$B$13,2,0),"")</f>
        <v/>
      </c>
      <c r="AE65" s="14" t="str">
        <f aca="false">IFERROR(VLOOKUP(TRIM('📥 Respostas'!AH65),'⚙️ Config'!$A$4:$B$13,2,0),"")</f>
        <v/>
      </c>
      <c r="AF65" s="14" t="str">
        <f aca="false">IFERROR(VLOOKUP(TRIM('📥 Respostas'!AI65),'⚙️ Config'!$C$4:$D$11,2,0),"")</f>
        <v/>
      </c>
      <c r="AG65" s="14" t="str">
        <f aca="false">IFERROR(VLOOKUP(TRIM('📥 Respostas'!AJ65),'⚙️ Config'!$A$4:$B$13,2,0),"")</f>
        <v/>
      </c>
      <c r="AH65" s="14" t="str">
        <f aca="false">IFERROR(VLOOKUP(TRIM('📥 Respostas'!AK65),'⚙️ Config'!$A$4:$B$13,2,0),"")</f>
        <v/>
      </c>
      <c r="AI65" s="14" t="str">
        <f aca="false">IFERROR(VLOOKUP(TRIM('📥 Respostas'!AL65),'⚙️ Config'!$A$4:$B$13,2,0),"")</f>
        <v/>
      </c>
      <c r="AJ65" s="14" t="str">
        <f aca="false">IFERROR(VLOOKUP(TRIM('📥 Respostas'!AM65),'⚙️ Config'!$A$4:$B$13,2,0),"")</f>
        <v/>
      </c>
      <c r="AK65" s="14" t="str">
        <f aca="false">IFERROR(VLOOKUP(TRIM('📥 Respostas'!AN65),'⚙️ Config'!$A$4:$B$13,2,0),"")</f>
        <v/>
      </c>
      <c r="AL65" s="14" t="str">
        <f aca="false">IFERROR(VLOOKUP(TRIM('📥 Respostas'!AO65),'⚙️ Config'!$A$4:$B$13,2,0),"")</f>
        <v/>
      </c>
      <c r="AM65" s="14" t="str">
        <f aca="false">IFERROR(VLOOKUP(TRIM('📥 Respostas'!AP65),'⚙️ Config'!$A$4:$B$13,2,0),"")</f>
        <v/>
      </c>
      <c r="AN65" s="14" t="str">
        <f aca="false">IFERROR(VLOOKUP(TRIM('📥 Respostas'!AQ65),'⚙️ Config'!$A$4:$B$13,2,0),"")</f>
        <v/>
      </c>
      <c r="AO65" s="14" t="str">
        <f aca="false">IFERROR(VLOOKUP(TRIM('📥 Respostas'!AR65),'⚙️ Config'!$A$4:$B$13,2,0),"")</f>
        <v/>
      </c>
      <c r="AP65" s="14" t="str">
        <f aca="false">IFERROR(VLOOKUP(TRIM('📥 Respostas'!AS65),'⚙️ Config'!$A$4:$B$13,2,0),"")</f>
        <v/>
      </c>
      <c r="AQ65" s="14" t="str">
        <f aca="false">IFERROR(VLOOKUP(TRIM('📥 Respostas'!AT65),'⚙️ Config'!$A$4:$B$13,2,0),"")</f>
        <v/>
      </c>
      <c r="AR65" s="14" t="str">
        <f aca="false">IFERROR(VLOOKUP(TRIM('📥 Respostas'!AU65),'⚙️ Config'!$A$4:$B$13,2,0),"")</f>
        <v/>
      </c>
    </row>
    <row r="66" customFormat="false" ht="15" hidden="false" customHeight="false" outlineLevel="0" collapsed="false">
      <c r="A66" s="12" t="str">
        <f aca="false">IF(ISBLANK('📥 Respostas'!D66),"",ROW()-3)</f>
        <v/>
      </c>
      <c r="B66" s="12" t="n">
        <f aca="false">'📥 Respostas'!D66</f>
        <v>0</v>
      </c>
      <c r="C66" s="13" t="n">
        <f aca="false">'📥 Respostas'!C66</f>
        <v>0</v>
      </c>
      <c r="D66" s="14" t="str">
        <f aca="false">IFERROR(VLOOKUP(TRIM('📥 Respostas'!G66),'⚙️ Config'!$A$4:$B$13,2,0),"")</f>
        <v/>
      </c>
      <c r="E66" s="14" t="str">
        <f aca="false">IFERROR(VLOOKUP(TRIM('📥 Respostas'!H66),'⚙️ Config'!$A$4:$B$13,2,0),"")</f>
        <v/>
      </c>
      <c r="F66" s="14" t="str">
        <f aca="false">IFERROR(VLOOKUP(TRIM('📥 Respostas'!I66),'⚙️ Config'!$A$4:$B$13,2,0),"")</f>
        <v/>
      </c>
      <c r="G66" s="14" t="str">
        <f aca="false">IFERROR(VLOOKUP(TRIM('📥 Respostas'!J66),'⚙️ Config'!$A$4:$B$13,2,0),"")</f>
        <v/>
      </c>
      <c r="H66" s="14" t="str">
        <f aca="false">IFERROR(VLOOKUP(TRIM('📥 Respostas'!K66),'⚙️ Config'!$A$4:$B$13,2,0),"")</f>
        <v/>
      </c>
      <c r="I66" s="14" t="str">
        <f aca="false">IFERROR(VLOOKUP(TRIM('📥 Respostas'!L66),'⚙️ Config'!$A$4:$B$13,2,0),"")</f>
        <v/>
      </c>
      <c r="J66" s="14" t="str">
        <f aca="false">IFERROR(VLOOKUP(TRIM('📥 Respostas'!M66),'⚙️ Config'!$A$4:$B$13,2,0),"")</f>
        <v/>
      </c>
      <c r="K66" s="14" t="str">
        <f aca="false">IFERROR(VLOOKUP(TRIM('📥 Respostas'!N66),'⚙️ Config'!$A$4:$B$13,2,0),"")</f>
        <v/>
      </c>
      <c r="L66" s="14" t="str">
        <f aca="false">IFERROR(VLOOKUP(TRIM('📥 Respostas'!O66),'⚙️ Config'!$A$4:$B$13,2,0),"")</f>
        <v/>
      </c>
      <c r="M66" s="14" t="str">
        <f aca="false">IFERROR(VLOOKUP(TRIM('📥 Respostas'!P66),'⚙️ Config'!$A$4:$B$13,2,0),"")</f>
        <v/>
      </c>
      <c r="N66" s="14" t="str">
        <f aca="false">IFERROR(VLOOKUP(TRIM('📥 Respostas'!Q66),'⚙️ Config'!$A$4:$B$13,2,0),"")</f>
        <v/>
      </c>
      <c r="O66" s="14" t="str">
        <f aca="false">IFERROR(VLOOKUP(TRIM('📥 Respostas'!R66),'⚙️ Config'!$A$4:$B$13,2,0),"")</f>
        <v/>
      </c>
      <c r="P66" s="14" t="str">
        <f aca="false">IFERROR(VLOOKUP(TRIM('📥 Respostas'!S66),'⚙️ Config'!$A$4:$B$13,2,0),"")</f>
        <v/>
      </c>
      <c r="Q66" s="14" t="str">
        <f aca="false">IFERROR(VLOOKUP(TRIM('📥 Respostas'!T66),'⚙️ Config'!$A$4:$B$13,2,0),"")</f>
        <v/>
      </c>
      <c r="R66" s="14" t="str">
        <f aca="false">IFERROR(VLOOKUP(TRIM('📥 Respostas'!U66),'⚙️ Config'!$A$4:$B$13,2,0),"")</f>
        <v/>
      </c>
      <c r="S66" s="14" t="str">
        <f aca="false">IFERROR(VLOOKUP(TRIM('📥 Respostas'!V66),'⚙️ Config'!$A$4:$B$13,2,0),"")</f>
        <v/>
      </c>
      <c r="T66" s="14" t="str">
        <f aca="false">IFERROR(VLOOKUP(TRIM('📥 Respostas'!W66),'⚙️ Config'!$A$4:$B$13,2,0),"")</f>
        <v/>
      </c>
      <c r="U66" s="14" t="str">
        <f aca="false">IFERROR(VLOOKUP(TRIM('📥 Respostas'!X66),'⚙️ Config'!$A$4:$B$13,2,0),"")</f>
        <v/>
      </c>
      <c r="V66" s="14" t="str">
        <f aca="false">IFERROR(VLOOKUP(TRIM('📥 Respostas'!Y66),'⚙️ Config'!$A$4:$B$13,2,0),"")</f>
        <v/>
      </c>
      <c r="W66" s="14" t="str">
        <f aca="false">IFERROR(VLOOKUP(TRIM('📥 Respostas'!Z66),'⚙️ Config'!$A$4:$B$13,2,0),"")</f>
        <v/>
      </c>
      <c r="X66" s="14" t="str">
        <f aca="false">IFERROR(VLOOKUP(TRIM('📥 Respostas'!AA66),'⚙️ Config'!$A$4:$B$13,2,0),"")</f>
        <v/>
      </c>
      <c r="Y66" s="14" t="str">
        <f aca="false">IFERROR(VLOOKUP(TRIM('📥 Respostas'!AB66),'⚙️ Config'!$A$4:$B$13,2,0),"")</f>
        <v/>
      </c>
      <c r="Z66" s="14" t="str">
        <f aca="false">IFERROR(VLOOKUP(TRIM('📥 Respostas'!AC66),'⚙️ Config'!$A$4:$B$13,2,0),"")</f>
        <v/>
      </c>
      <c r="AA66" s="14" t="str">
        <f aca="false">IFERROR(VLOOKUP(TRIM('📥 Respostas'!AD66),'⚙️ Config'!$A$4:$B$13,2,0),"")</f>
        <v/>
      </c>
      <c r="AB66" s="14" t="str">
        <f aca="false">IFERROR(VLOOKUP(TRIM('📥 Respostas'!AE66),'⚙️ Config'!$A$4:$B$13,2,0),"")</f>
        <v/>
      </c>
      <c r="AC66" s="14" t="str">
        <f aca="false">IFERROR(VLOOKUP(TRIM('📥 Respostas'!AF66),'⚙️ Config'!$A$4:$B$13,2,0),"")</f>
        <v/>
      </c>
      <c r="AD66" s="14" t="str">
        <f aca="false">IFERROR(VLOOKUP(TRIM('📥 Respostas'!AG66),'⚙️ Config'!$A$4:$B$13,2,0),"")</f>
        <v/>
      </c>
      <c r="AE66" s="14" t="str">
        <f aca="false">IFERROR(VLOOKUP(TRIM('📥 Respostas'!AH66),'⚙️ Config'!$A$4:$B$13,2,0),"")</f>
        <v/>
      </c>
      <c r="AF66" s="14" t="str">
        <f aca="false">IFERROR(VLOOKUP(TRIM('📥 Respostas'!AI66),'⚙️ Config'!$C$4:$D$11,2,0),"")</f>
        <v/>
      </c>
      <c r="AG66" s="14" t="str">
        <f aca="false">IFERROR(VLOOKUP(TRIM('📥 Respostas'!AJ66),'⚙️ Config'!$A$4:$B$13,2,0),"")</f>
        <v/>
      </c>
      <c r="AH66" s="14" t="str">
        <f aca="false">IFERROR(VLOOKUP(TRIM('📥 Respostas'!AK66),'⚙️ Config'!$A$4:$B$13,2,0),"")</f>
        <v/>
      </c>
      <c r="AI66" s="14" t="str">
        <f aca="false">IFERROR(VLOOKUP(TRIM('📥 Respostas'!AL66),'⚙️ Config'!$A$4:$B$13,2,0),"")</f>
        <v/>
      </c>
      <c r="AJ66" s="14" t="str">
        <f aca="false">IFERROR(VLOOKUP(TRIM('📥 Respostas'!AM66),'⚙️ Config'!$A$4:$B$13,2,0),"")</f>
        <v/>
      </c>
      <c r="AK66" s="14" t="str">
        <f aca="false">IFERROR(VLOOKUP(TRIM('📥 Respostas'!AN66),'⚙️ Config'!$A$4:$B$13,2,0),"")</f>
        <v/>
      </c>
      <c r="AL66" s="14" t="str">
        <f aca="false">IFERROR(VLOOKUP(TRIM('📥 Respostas'!AO66),'⚙️ Config'!$A$4:$B$13,2,0),"")</f>
        <v/>
      </c>
      <c r="AM66" s="14" t="str">
        <f aca="false">IFERROR(VLOOKUP(TRIM('📥 Respostas'!AP66),'⚙️ Config'!$A$4:$B$13,2,0),"")</f>
        <v/>
      </c>
      <c r="AN66" s="14" t="str">
        <f aca="false">IFERROR(VLOOKUP(TRIM('📥 Respostas'!AQ66),'⚙️ Config'!$A$4:$B$13,2,0),"")</f>
        <v/>
      </c>
      <c r="AO66" s="14" t="str">
        <f aca="false">IFERROR(VLOOKUP(TRIM('📥 Respostas'!AR66),'⚙️ Config'!$A$4:$B$13,2,0),"")</f>
        <v/>
      </c>
      <c r="AP66" s="14" t="str">
        <f aca="false">IFERROR(VLOOKUP(TRIM('📥 Respostas'!AS66),'⚙️ Config'!$A$4:$B$13,2,0),"")</f>
        <v/>
      </c>
      <c r="AQ66" s="14" t="str">
        <f aca="false">IFERROR(VLOOKUP(TRIM('📥 Respostas'!AT66),'⚙️ Config'!$A$4:$B$13,2,0),"")</f>
        <v/>
      </c>
      <c r="AR66" s="14" t="str">
        <f aca="false">IFERROR(VLOOKUP(TRIM('📥 Respostas'!AU66),'⚙️ Config'!$A$4:$B$13,2,0),"")</f>
        <v/>
      </c>
    </row>
    <row r="67" customFormat="false" ht="15" hidden="false" customHeight="false" outlineLevel="0" collapsed="false">
      <c r="A67" s="15" t="str">
        <f aca="false">IF(ISBLANK('📥 Respostas'!D67),"",ROW()-3)</f>
        <v/>
      </c>
      <c r="B67" s="15" t="n">
        <f aca="false">'📥 Respostas'!D67</f>
        <v>0</v>
      </c>
      <c r="C67" s="5" t="n">
        <f aca="false">'📥 Respostas'!C67</f>
        <v>0</v>
      </c>
      <c r="D67" s="14" t="str">
        <f aca="false">IFERROR(VLOOKUP(TRIM('📥 Respostas'!G67),'⚙️ Config'!$A$4:$B$13,2,0),"")</f>
        <v/>
      </c>
      <c r="E67" s="14" t="str">
        <f aca="false">IFERROR(VLOOKUP(TRIM('📥 Respostas'!H67),'⚙️ Config'!$A$4:$B$13,2,0),"")</f>
        <v/>
      </c>
      <c r="F67" s="14" t="str">
        <f aca="false">IFERROR(VLOOKUP(TRIM('📥 Respostas'!I67),'⚙️ Config'!$A$4:$B$13,2,0),"")</f>
        <v/>
      </c>
      <c r="G67" s="14" t="str">
        <f aca="false">IFERROR(VLOOKUP(TRIM('📥 Respostas'!J67),'⚙️ Config'!$A$4:$B$13,2,0),"")</f>
        <v/>
      </c>
      <c r="H67" s="14" t="str">
        <f aca="false">IFERROR(VLOOKUP(TRIM('📥 Respostas'!K67),'⚙️ Config'!$A$4:$B$13,2,0),"")</f>
        <v/>
      </c>
      <c r="I67" s="14" t="str">
        <f aca="false">IFERROR(VLOOKUP(TRIM('📥 Respostas'!L67),'⚙️ Config'!$A$4:$B$13,2,0),"")</f>
        <v/>
      </c>
      <c r="J67" s="14" t="str">
        <f aca="false">IFERROR(VLOOKUP(TRIM('📥 Respostas'!M67),'⚙️ Config'!$A$4:$B$13,2,0),"")</f>
        <v/>
      </c>
      <c r="K67" s="14" t="str">
        <f aca="false">IFERROR(VLOOKUP(TRIM('📥 Respostas'!N67),'⚙️ Config'!$A$4:$B$13,2,0),"")</f>
        <v/>
      </c>
      <c r="L67" s="14" t="str">
        <f aca="false">IFERROR(VLOOKUP(TRIM('📥 Respostas'!O67),'⚙️ Config'!$A$4:$B$13,2,0),"")</f>
        <v/>
      </c>
      <c r="M67" s="14" t="str">
        <f aca="false">IFERROR(VLOOKUP(TRIM('📥 Respostas'!P67),'⚙️ Config'!$A$4:$B$13,2,0),"")</f>
        <v/>
      </c>
      <c r="N67" s="14" t="str">
        <f aca="false">IFERROR(VLOOKUP(TRIM('📥 Respostas'!Q67),'⚙️ Config'!$A$4:$B$13,2,0),"")</f>
        <v/>
      </c>
      <c r="O67" s="14" t="str">
        <f aca="false">IFERROR(VLOOKUP(TRIM('📥 Respostas'!R67),'⚙️ Config'!$A$4:$B$13,2,0),"")</f>
        <v/>
      </c>
      <c r="P67" s="14" t="str">
        <f aca="false">IFERROR(VLOOKUP(TRIM('📥 Respostas'!S67),'⚙️ Config'!$A$4:$B$13,2,0),"")</f>
        <v/>
      </c>
      <c r="Q67" s="14" t="str">
        <f aca="false">IFERROR(VLOOKUP(TRIM('📥 Respostas'!T67),'⚙️ Config'!$A$4:$B$13,2,0),"")</f>
        <v/>
      </c>
      <c r="R67" s="14" t="str">
        <f aca="false">IFERROR(VLOOKUP(TRIM('📥 Respostas'!U67),'⚙️ Config'!$A$4:$B$13,2,0),"")</f>
        <v/>
      </c>
      <c r="S67" s="14" t="str">
        <f aca="false">IFERROR(VLOOKUP(TRIM('📥 Respostas'!V67),'⚙️ Config'!$A$4:$B$13,2,0),"")</f>
        <v/>
      </c>
      <c r="T67" s="14" t="str">
        <f aca="false">IFERROR(VLOOKUP(TRIM('📥 Respostas'!W67),'⚙️ Config'!$A$4:$B$13,2,0),"")</f>
        <v/>
      </c>
      <c r="U67" s="14" t="str">
        <f aca="false">IFERROR(VLOOKUP(TRIM('📥 Respostas'!X67),'⚙️ Config'!$A$4:$B$13,2,0),"")</f>
        <v/>
      </c>
      <c r="V67" s="14" t="str">
        <f aca="false">IFERROR(VLOOKUP(TRIM('📥 Respostas'!Y67),'⚙️ Config'!$A$4:$B$13,2,0),"")</f>
        <v/>
      </c>
      <c r="W67" s="14" t="str">
        <f aca="false">IFERROR(VLOOKUP(TRIM('📥 Respostas'!Z67),'⚙️ Config'!$A$4:$B$13,2,0),"")</f>
        <v/>
      </c>
      <c r="X67" s="14" t="str">
        <f aca="false">IFERROR(VLOOKUP(TRIM('📥 Respostas'!AA67),'⚙️ Config'!$A$4:$B$13,2,0),"")</f>
        <v/>
      </c>
      <c r="Y67" s="14" t="str">
        <f aca="false">IFERROR(VLOOKUP(TRIM('📥 Respostas'!AB67),'⚙️ Config'!$A$4:$B$13,2,0),"")</f>
        <v/>
      </c>
      <c r="Z67" s="14" t="str">
        <f aca="false">IFERROR(VLOOKUP(TRIM('📥 Respostas'!AC67),'⚙️ Config'!$A$4:$B$13,2,0),"")</f>
        <v/>
      </c>
      <c r="AA67" s="14" t="str">
        <f aca="false">IFERROR(VLOOKUP(TRIM('📥 Respostas'!AD67),'⚙️ Config'!$A$4:$B$13,2,0),"")</f>
        <v/>
      </c>
      <c r="AB67" s="14" t="str">
        <f aca="false">IFERROR(VLOOKUP(TRIM('📥 Respostas'!AE67),'⚙️ Config'!$A$4:$B$13,2,0),"")</f>
        <v/>
      </c>
      <c r="AC67" s="14" t="str">
        <f aca="false">IFERROR(VLOOKUP(TRIM('📥 Respostas'!AF67),'⚙️ Config'!$A$4:$B$13,2,0),"")</f>
        <v/>
      </c>
      <c r="AD67" s="14" t="str">
        <f aca="false">IFERROR(VLOOKUP(TRIM('📥 Respostas'!AG67),'⚙️ Config'!$A$4:$B$13,2,0),"")</f>
        <v/>
      </c>
      <c r="AE67" s="14" t="str">
        <f aca="false">IFERROR(VLOOKUP(TRIM('📥 Respostas'!AH67),'⚙️ Config'!$A$4:$B$13,2,0),"")</f>
        <v/>
      </c>
      <c r="AF67" s="14" t="str">
        <f aca="false">IFERROR(VLOOKUP(TRIM('📥 Respostas'!AI67),'⚙️ Config'!$C$4:$D$11,2,0),"")</f>
        <v/>
      </c>
      <c r="AG67" s="14" t="str">
        <f aca="false">IFERROR(VLOOKUP(TRIM('📥 Respostas'!AJ67),'⚙️ Config'!$A$4:$B$13,2,0),"")</f>
        <v/>
      </c>
      <c r="AH67" s="14" t="str">
        <f aca="false">IFERROR(VLOOKUP(TRIM('📥 Respostas'!AK67),'⚙️ Config'!$A$4:$B$13,2,0),"")</f>
        <v/>
      </c>
      <c r="AI67" s="14" t="str">
        <f aca="false">IFERROR(VLOOKUP(TRIM('📥 Respostas'!AL67),'⚙️ Config'!$A$4:$B$13,2,0),"")</f>
        <v/>
      </c>
      <c r="AJ67" s="14" t="str">
        <f aca="false">IFERROR(VLOOKUP(TRIM('📥 Respostas'!AM67),'⚙️ Config'!$A$4:$B$13,2,0),"")</f>
        <v/>
      </c>
      <c r="AK67" s="14" t="str">
        <f aca="false">IFERROR(VLOOKUP(TRIM('📥 Respostas'!AN67),'⚙️ Config'!$A$4:$B$13,2,0),"")</f>
        <v/>
      </c>
      <c r="AL67" s="14" t="str">
        <f aca="false">IFERROR(VLOOKUP(TRIM('📥 Respostas'!AO67),'⚙️ Config'!$A$4:$B$13,2,0),"")</f>
        <v/>
      </c>
      <c r="AM67" s="14" t="str">
        <f aca="false">IFERROR(VLOOKUP(TRIM('📥 Respostas'!AP67),'⚙️ Config'!$A$4:$B$13,2,0),"")</f>
        <v/>
      </c>
      <c r="AN67" s="14" t="str">
        <f aca="false">IFERROR(VLOOKUP(TRIM('📥 Respostas'!AQ67),'⚙️ Config'!$A$4:$B$13,2,0),"")</f>
        <v/>
      </c>
      <c r="AO67" s="14" t="str">
        <f aca="false">IFERROR(VLOOKUP(TRIM('📥 Respostas'!AR67),'⚙️ Config'!$A$4:$B$13,2,0),"")</f>
        <v/>
      </c>
      <c r="AP67" s="14" t="str">
        <f aca="false">IFERROR(VLOOKUP(TRIM('📥 Respostas'!AS67),'⚙️ Config'!$A$4:$B$13,2,0),"")</f>
        <v/>
      </c>
      <c r="AQ67" s="14" t="str">
        <f aca="false">IFERROR(VLOOKUP(TRIM('📥 Respostas'!AT67),'⚙️ Config'!$A$4:$B$13,2,0),"")</f>
        <v/>
      </c>
      <c r="AR67" s="14" t="str">
        <f aca="false">IFERROR(VLOOKUP(TRIM('📥 Respostas'!AU67),'⚙️ Config'!$A$4:$B$13,2,0),"")</f>
        <v/>
      </c>
    </row>
    <row r="68" customFormat="false" ht="15" hidden="false" customHeight="false" outlineLevel="0" collapsed="false">
      <c r="A68" s="12" t="str">
        <f aca="false">IF(ISBLANK('📥 Respostas'!D68),"",ROW()-3)</f>
        <v/>
      </c>
      <c r="B68" s="12" t="n">
        <f aca="false">'📥 Respostas'!D68</f>
        <v>0</v>
      </c>
      <c r="C68" s="13" t="n">
        <f aca="false">'📥 Respostas'!C68</f>
        <v>0</v>
      </c>
      <c r="D68" s="14" t="str">
        <f aca="false">IFERROR(VLOOKUP(TRIM('📥 Respostas'!G68),'⚙️ Config'!$A$4:$B$13,2,0),"")</f>
        <v/>
      </c>
      <c r="E68" s="14" t="str">
        <f aca="false">IFERROR(VLOOKUP(TRIM('📥 Respostas'!H68),'⚙️ Config'!$A$4:$B$13,2,0),"")</f>
        <v/>
      </c>
      <c r="F68" s="14" t="str">
        <f aca="false">IFERROR(VLOOKUP(TRIM('📥 Respostas'!I68),'⚙️ Config'!$A$4:$B$13,2,0),"")</f>
        <v/>
      </c>
      <c r="G68" s="14" t="str">
        <f aca="false">IFERROR(VLOOKUP(TRIM('📥 Respostas'!J68),'⚙️ Config'!$A$4:$B$13,2,0),"")</f>
        <v/>
      </c>
      <c r="H68" s="14" t="str">
        <f aca="false">IFERROR(VLOOKUP(TRIM('📥 Respostas'!K68),'⚙️ Config'!$A$4:$B$13,2,0),"")</f>
        <v/>
      </c>
      <c r="I68" s="14" t="str">
        <f aca="false">IFERROR(VLOOKUP(TRIM('📥 Respostas'!L68),'⚙️ Config'!$A$4:$B$13,2,0),"")</f>
        <v/>
      </c>
      <c r="J68" s="14" t="str">
        <f aca="false">IFERROR(VLOOKUP(TRIM('📥 Respostas'!M68),'⚙️ Config'!$A$4:$B$13,2,0),"")</f>
        <v/>
      </c>
      <c r="K68" s="14" t="str">
        <f aca="false">IFERROR(VLOOKUP(TRIM('📥 Respostas'!N68),'⚙️ Config'!$A$4:$B$13,2,0),"")</f>
        <v/>
      </c>
      <c r="L68" s="14" t="str">
        <f aca="false">IFERROR(VLOOKUP(TRIM('📥 Respostas'!O68),'⚙️ Config'!$A$4:$B$13,2,0),"")</f>
        <v/>
      </c>
      <c r="M68" s="14" t="str">
        <f aca="false">IFERROR(VLOOKUP(TRIM('📥 Respostas'!P68),'⚙️ Config'!$A$4:$B$13,2,0),"")</f>
        <v/>
      </c>
      <c r="N68" s="14" t="str">
        <f aca="false">IFERROR(VLOOKUP(TRIM('📥 Respostas'!Q68),'⚙️ Config'!$A$4:$B$13,2,0),"")</f>
        <v/>
      </c>
      <c r="O68" s="14" t="str">
        <f aca="false">IFERROR(VLOOKUP(TRIM('📥 Respostas'!R68),'⚙️ Config'!$A$4:$B$13,2,0),"")</f>
        <v/>
      </c>
      <c r="P68" s="14" t="str">
        <f aca="false">IFERROR(VLOOKUP(TRIM('📥 Respostas'!S68),'⚙️ Config'!$A$4:$B$13,2,0),"")</f>
        <v/>
      </c>
      <c r="Q68" s="14" t="str">
        <f aca="false">IFERROR(VLOOKUP(TRIM('📥 Respostas'!T68),'⚙️ Config'!$A$4:$B$13,2,0),"")</f>
        <v/>
      </c>
      <c r="R68" s="14" t="str">
        <f aca="false">IFERROR(VLOOKUP(TRIM('📥 Respostas'!U68),'⚙️ Config'!$A$4:$B$13,2,0),"")</f>
        <v/>
      </c>
      <c r="S68" s="14" t="str">
        <f aca="false">IFERROR(VLOOKUP(TRIM('📥 Respostas'!V68),'⚙️ Config'!$A$4:$B$13,2,0),"")</f>
        <v/>
      </c>
      <c r="T68" s="14" t="str">
        <f aca="false">IFERROR(VLOOKUP(TRIM('📥 Respostas'!W68),'⚙️ Config'!$A$4:$B$13,2,0),"")</f>
        <v/>
      </c>
      <c r="U68" s="14" t="str">
        <f aca="false">IFERROR(VLOOKUP(TRIM('📥 Respostas'!X68),'⚙️ Config'!$A$4:$B$13,2,0),"")</f>
        <v/>
      </c>
      <c r="V68" s="14" t="str">
        <f aca="false">IFERROR(VLOOKUP(TRIM('📥 Respostas'!Y68),'⚙️ Config'!$A$4:$B$13,2,0),"")</f>
        <v/>
      </c>
      <c r="W68" s="14" t="str">
        <f aca="false">IFERROR(VLOOKUP(TRIM('📥 Respostas'!Z68),'⚙️ Config'!$A$4:$B$13,2,0),"")</f>
        <v/>
      </c>
      <c r="X68" s="14" t="str">
        <f aca="false">IFERROR(VLOOKUP(TRIM('📥 Respostas'!AA68),'⚙️ Config'!$A$4:$B$13,2,0),"")</f>
        <v/>
      </c>
      <c r="Y68" s="14" t="str">
        <f aca="false">IFERROR(VLOOKUP(TRIM('📥 Respostas'!AB68),'⚙️ Config'!$A$4:$B$13,2,0),"")</f>
        <v/>
      </c>
      <c r="Z68" s="14" t="str">
        <f aca="false">IFERROR(VLOOKUP(TRIM('📥 Respostas'!AC68),'⚙️ Config'!$A$4:$B$13,2,0),"")</f>
        <v/>
      </c>
      <c r="AA68" s="14" t="str">
        <f aca="false">IFERROR(VLOOKUP(TRIM('📥 Respostas'!AD68),'⚙️ Config'!$A$4:$B$13,2,0),"")</f>
        <v/>
      </c>
      <c r="AB68" s="14" t="str">
        <f aca="false">IFERROR(VLOOKUP(TRIM('📥 Respostas'!AE68),'⚙️ Config'!$A$4:$B$13,2,0),"")</f>
        <v/>
      </c>
      <c r="AC68" s="14" t="str">
        <f aca="false">IFERROR(VLOOKUP(TRIM('📥 Respostas'!AF68),'⚙️ Config'!$A$4:$B$13,2,0),"")</f>
        <v/>
      </c>
      <c r="AD68" s="14" t="str">
        <f aca="false">IFERROR(VLOOKUP(TRIM('📥 Respostas'!AG68),'⚙️ Config'!$A$4:$B$13,2,0),"")</f>
        <v/>
      </c>
      <c r="AE68" s="14" t="str">
        <f aca="false">IFERROR(VLOOKUP(TRIM('📥 Respostas'!AH68),'⚙️ Config'!$A$4:$B$13,2,0),"")</f>
        <v/>
      </c>
      <c r="AF68" s="14" t="str">
        <f aca="false">IFERROR(VLOOKUP(TRIM('📥 Respostas'!AI68),'⚙️ Config'!$C$4:$D$11,2,0),"")</f>
        <v/>
      </c>
      <c r="AG68" s="14" t="str">
        <f aca="false">IFERROR(VLOOKUP(TRIM('📥 Respostas'!AJ68),'⚙️ Config'!$A$4:$B$13,2,0),"")</f>
        <v/>
      </c>
      <c r="AH68" s="14" t="str">
        <f aca="false">IFERROR(VLOOKUP(TRIM('📥 Respostas'!AK68),'⚙️ Config'!$A$4:$B$13,2,0),"")</f>
        <v/>
      </c>
      <c r="AI68" s="14" t="str">
        <f aca="false">IFERROR(VLOOKUP(TRIM('📥 Respostas'!AL68),'⚙️ Config'!$A$4:$B$13,2,0),"")</f>
        <v/>
      </c>
      <c r="AJ68" s="14" t="str">
        <f aca="false">IFERROR(VLOOKUP(TRIM('📥 Respostas'!AM68),'⚙️ Config'!$A$4:$B$13,2,0),"")</f>
        <v/>
      </c>
      <c r="AK68" s="14" t="str">
        <f aca="false">IFERROR(VLOOKUP(TRIM('📥 Respostas'!AN68),'⚙️ Config'!$A$4:$B$13,2,0),"")</f>
        <v/>
      </c>
      <c r="AL68" s="14" t="str">
        <f aca="false">IFERROR(VLOOKUP(TRIM('📥 Respostas'!AO68),'⚙️ Config'!$A$4:$B$13,2,0),"")</f>
        <v/>
      </c>
      <c r="AM68" s="14" t="str">
        <f aca="false">IFERROR(VLOOKUP(TRIM('📥 Respostas'!AP68),'⚙️ Config'!$A$4:$B$13,2,0),"")</f>
        <v/>
      </c>
      <c r="AN68" s="14" t="str">
        <f aca="false">IFERROR(VLOOKUP(TRIM('📥 Respostas'!AQ68),'⚙️ Config'!$A$4:$B$13,2,0),"")</f>
        <v/>
      </c>
      <c r="AO68" s="14" t="str">
        <f aca="false">IFERROR(VLOOKUP(TRIM('📥 Respostas'!AR68),'⚙️ Config'!$A$4:$B$13,2,0),"")</f>
        <v/>
      </c>
      <c r="AP68" s="14" t="str">
        <f aca="false">IFERROR(VLOOKUP(TRIM('📥 Respostas'!AS68),'⚙️ Config'!$A$4:$B$13,2,0),"")</f>
        <v/>
      </c>
      <c r="AQ68" s="14" t="str">
        <f aca="false">IFERROR(VLOOKUP(TRIM('📥 Respostas'!AT68),'⚙️ Config'!$A$4:$B$13,2,0),"")</f>
        <v/>
      </c>
      <c r="AR68" s="14" t="str">
        <f aca="false">IFERROR(VLOOKUP(TRIM('📥 Respostas'!AU68),'⚙️ Config'!$A$4:$B$13,2,0),"")</f>
        <v/>
      </c>
    </row>
    <row r="69" customFormat="false" ht="15" hidden="false" customHeight="false" outlineLevel="0" collapsed="false">
      <c r="A69" s="15" t="str">
        <f aca="false">IF(ISBLANK('📥 Respostas'!D69),"",ROW()-3)</f>
        <v/>
      </c>
      <c r="B69" s="15" t="n">
        <f aca="false">'📥 Respostas'!D69</f>
        <v>0</v>
      </c>
      <c r="C69" s="5" t="n">
        <f aca="false">'📥 Respostas'!C69</f>
        <v>0</v>
      </c>
      <c r="D69" s="14" t="str">
        <f aca="false">IFERROR(VLOOKUP(TRIM('📥 Respostas'!G69),'⚙️ Config'!$A$4:$B$13,2,0),"")</f>
        <v/>
      </c>
      <c r="E69" s="14" t="str">
        <f aca="false">IFERROR(VLOOKUP(TRIM('📥 Respostas'!H69),'⚙️ Config'!$A$4:$B$13,2,0),"")</f>
        <v/>
      </c>
      <c r="F69" s="14" t="str">
        <f aca="false">IFERROR(VLOOKUP(TRIM('📥 Respostas'!I69),'⚙️ Config'!$A$4:$B$13,2,0),"")</f>
        <v/>
      </c>
      <c r="G69" s="14" t="str">
        <f aca="false">IFERROR(VLOOKUP(TRIM('📥 Respostas'!J69),'⚙️ Config'!$A$4:$B$13,2,0),"")</f>
        <v/>
      </c>
      <c r="H69" s="14" t="str">
        <f aca="false">IFERROR(VLOOKUP(TRIM('📥 Respostas'!K69),'⚙️ Config'!$A$4:$B$13,2,0),"")</f>
        <v/>
      </c>
      <c r="I69" s="14" t="str">
        <f aca="false">IFERROR(VLOOKUP(TRIM('📥 Respostas'!L69),'⚙️ Config'!$A$4:$B$13,2,0),"")</f>
        <v/>
      </c>
      <c r="J69" s="14" t="str">
        <f aca="false">IFERROR(VLOOKUP(TRIM('📥 Respostas'!M69),'⚙️ Config'!$A$4:$B$13,2,0),"")</f>
        <v/>
      </c>
      <c r="K69" s="14" t="str">
        <f aca="false">IFERROR(VLOOKUP(TRIM('📥 Respostas'!N69),'⚙️ Config'!$A$4:$B$13,2,0),"")</f>
        <v/>
      </c>
      <c r="L69" s="14" t="str">
        <f aca="false">IFERROR(VLOOKUP(TRIM('📥 Respostas'!O69),'⚙️ Config'!$A$4:$B$13,2,0),"")</f>
        <v/>
      </c>
      <c r="M69" s="14" t="str">
        <f aca="false">IFERROR(VLOOKUP(TRIM('📥 Respostas'!P69),'⚙️ Config'!$A$4:$B$13,2,0),"")</f>
        <v/>
      </c>
      <c r="N69" s="14" t="str">
        <f aca="false">IFERROR(VLOOKUP(TRIM('📥 Respostas'!Q69),'⚙️ Config'!$A$4:$B$13,2,0),"")</f>
        <v/>
      </c>
      <c r="O69" s="14" t="str">
        <f aca="false">IFERROR(VLOOKUP(TRIM('📥 Respostas'!R69),'⚙️ Config'!$A$4:$B$13,2,0),"")</f>
        <v/>
      </c>
      <c r="P69" s="14" t="str">
        <f aca="false">IFERROR(VLOOKUP(TRIM('📥 Respostas'!S69),'⚙️ Config'!$A$4:$B$13,2,0),"")</f>
        <v/>
      </c>
      <c r="Q69" s="14" t="str">
        <f aca="false">IFERROR(VLOOKUP(TRIM('📥 Respostas'!T69),'⚙️ Config'!$A$4:$B$13,2,0),"")</f>
        <v/>
      </c>
      <c r="R69" s="14" t="str">
        <f aca="false">IFERROR(VLOOKUP(TRIM('📥 Respostas'!U69),'⚙️ Config'!$A$4:$B$13,2,0),"")</f>
        <v/>
      </c>
      <c r="S69" s="14" t="str">
        <f aca="false">IFERROR(VLOOKUP(TRIM('📥 Respostas'!V69),'⚙️ Config'!$A$4:$B$13,2,0),"")</f>
        <v/>
      </c>
      <c r="T69" s="14" t="str">
        <f aca="false">IFERROR(VLOOKUP(TRIM('📥 Respostas'!W69),'⚙️ Config'!$A$4:$B$13,2,0),"")</f>
        <v/>
      </c>
      <c r="U69" s="14" t="str">
        <f aca="false">IFERROR(VLOOKUP(TRIM('📥 Respostas'!X69),'⚙️ Config'!$A$4:$B$13,2,0),"")</f>
        <v/>
      </c>
      <c r="V69" s="14" t="str">
        <f aca="false">IFERROR(VLOOKUP(TRIM('📥 Respostas'!Y69),'⚙️ Config'!$A$4:$B$13,2,0),"")</f>
        <v/>
      </c>
      <c r="W69" s="14" t="str">
        <f aca="false">IFERROR(VLOOKUP(TRIM('📥 Respostas'!Z69),'⚙️ Config'!$A$4:$B$13,2,0),"")</f>
        <v/>
      </c>
      <c r="X69" s="14" t="str">
        <f aca="false">IFERROR(VLOOKUP(TRIM('📥 Respostas'!AA69),'⚙️ Config'!$A$4:$B$13,2,0),"")</f>
        <v/>
      </c>
      <c r="Y69" s="14" t="str">
        <f aca="false">IFERROR(VLOOKUP(TRIM('📥 Respostas'!AB69),'⚙️ Config'!$A$4:$B$13,2,0),"")</f>
        <v/>
      </c>
      <c r="Z69" s="14" t="str">
        <f aca="false">IFERROR(VLOOKUP(TRIM('📥 Respostas'!AC69),'⚙️ Config'!$A$4:$B$13,2,0),"")</f>
        <v/>
      </c>
      <c r="AA69" s="14" t="str">
        <f aca="false">IFERROR(VLOOKUP(TRIM('📥 Respostas'!AD69),'⚙️ Config'!$A$4:$B$13,2,0),"")</f>
        <v/>
      </c>
      <c r="AB69" s="14" t="str">
        <f aca="false">IFERROR(VLOOKUP(TRIM('📥 Respostas'!AE69),'⚙️ Config'!$A$4:$B$13,2,0),"")</f>
        <v/>
      </c>
      <c r="AC69" s="14" t="str">
        <f aca="false">IFERROR(VLOOKUP(TRIM('📥 Respostas'!AF69),'⚙️ Config'!$A$4:$B$13,2,0),"")</f>
        <v/>
      </c>
      <c r="AD69" s="14" t="str">
        <f aca="false">IFERROR(VLOOKUP(TRIM('📥 Respostas'!AG69),'⚙️ Config'!$A$4:$B$13,2,0),"")</f>
        <v/>
      </c>
      <c r="AE69" s="14" t="str">
        <f aca="false">IFERROR(VLOOKUP(TRIM('📥 Respostas'!AH69),'⚙️ Config'!$A$4:$B$13,2,0),"")</f>
        <v/>
      </c>
      <c r="AF69" s="14" t="str">
        <f aca="false">IFERROR(VLOOKUP(TRIM('📥 Respostas'!AI69),'⚙️ Config'!$C$4:$D$11,2,0),"")</f>
        <v/>
      </c>
      <c r="AG69" s="14" t="str">
        <f aca="false">IFERROR(VLOOKUP(TRIM('📥 Respostas'!AJ69),'⚙️ Config'!$A$4:$B$13,2,0),"")</f>
        <v/>
      </c>
      <c r="AH69" s="14" t="str">
        <f aca="false">IFERROR(VLOOKUP(TRIM('📥 Respostas'!AK69),'⚙️ Config'!$A$4:$B$13,2,0),"")</f>
        <v/>
      </c>
      <c r="AI69" s="14" t="str">
        <f aca="false">IFERROR(VLOOKUP(TRIM('📥 Respostas'!AL69),'⚙️ Config'!$A$4:$B$13,2,0),"")</f>
        <v/>
      </c>
      <c r="AJ69" s="14" t="str">
        <f aca="false">IFERROR(VLOOKUP(TRIM('📥 Respostas'!AM69),'⚙️ Config'!$A$4:$B$13,2,0),"")</f>
        <v/>
      </c>
      <c r="AK69" s="14" t="str">
        <f aca="false">IFERROR(VLOOKUP(TRIM('📥 Respostas'!AN69),'⚙️ Config'!$A$4:$B$13,2,0),"")</f>
        <v/>
      </c>
      <c r="AL69" s="14" t="str">
        <f aca="false">IFERROR(VLOOKUP(TRIM('📥 Respostas'!AO69),'⚙️ Config'!$A$4:$B$13,2,0),"")</f>
        <v/>
      </c>
      <c r="AM69" s="14" t="str">
        <f aca="false">IFERROR(VLOOKUP(TRIM('📥 Respostas'!AP69),'⚙️ Config'!$A$4:$B$13,2,0),"")</f>
        <v/>
      </c>
      <c r="AN69" s="14" t="str">
        <f aca="false">IFERROR(VLOOKUP(TRIM('📥 Respostas'!AQ69),'⚙️ Config'!$A$4:$B$13,2,0),"")</f>
        <v/>
      </c>
      <c r="AO69" s="14" t="str">
        <f aca="false">IFERROR(VLOOKUP(TRIM('📥 Respostas'!AR69),'⚙️ Config'!$A$4:$B$13,2,0),"")</f>
        <v/>
      </c>
      <c r="AP69" s="14" t="str">
        <f aca="false">IFERROR(VLOOKUP(TRIM('📥 Respostas'!AS69),'⚙️ Config'!$A$4:$B$13,2,0),"")</f>
        <v/>
      </c>
      <c r="AQ69" s="14" t="str">
        <f aca="false">IFERROR(VLOOKUP(TRIM('📥 Respostas'!AT69),'⚙️ Config'!$A$4:$B$13,2,0),"")</f>
        <v/>
      </c>
      <c r="AR69" s="14" t="str">
        <f aca="false">IFERROR(VLOOKUP(TRIM('📥 Respostas'!AU69),'⚙️ Config'!$A$4:$B$13,2,0),"")</f>
        <v/>
      </c>
    </row>
    <row r="70" customFormat="false" ht="15" hidden="false" customHeight="false" outlineLevel="0" collapsed="false">
      <c r="A70" s="12" t="str">
        <f aca="false">IF(ISBLANK('📥 Respostas'!D70),"",ROW()-3)</f>
        <v/>
      </c>
      <c r="B70" s="12" t="n">
        <f aca="false">'📥 Respostas'!D70</f>
        <v>0</v>
      </c>
      <c r="C70" s="13" t="n">
        <f aca="false">'📥 Respostas'!C70</f>
        <v>0</v>
      </c>
      <c r="D70" s="14" t="str">
        <f aca="false">IFERROR(VLOOKUP(TRIM('📥 Respostas'!G70),'⚙️ Config'!$A$4:$B$13,2,0),"")</f>
        <v/>
      </c>
      <c r="E70" s="14" t="str">
        <f aca="false">IFERROR(VLOOKUP(TRIM('📥 Respostas'!H70),'⚙️ Config'!$A$4:$B$13,2,0),"")</f>
        <v/>
      </c>
      <c r="F70" s="14" t="str">
        <f aca="false">IFERROR(VLOOKUP(TRIM('📥 Respostas'!I70),'⚙️ Config'!$A$4:$B$13,2,0),"")</f>
        <v/>
      </c>
      <c r="G70" s="14" t="str">
        <f aca="false">IFERROR(VLOOKUP(TRIM('📥 Respostas'!J70),'⚙️ Config'!$A$4:$B$13,2,0),"")</f>
        <v/>
      </c>
      <c r="H70" s="14" t="str">
        <f aca="false">IFERROR(VLOOKUP(TRIM('📥 Respostas'!K70),'⚙️ Config'!$A$4:$B$13,2,0),"")</f>
        <v/>
      </c>
      <c r="I70" s="14" t="str">
        <f aca="false">IFERROR(VLOOKUP(TRIM('📥 Respostas'!L70),'⚙️ Config'!$A$4:$B$13,2,0),"")</f>
        <v/>
      </c>
      <c r="J70" s="14" t="str">
        <f aca="false">IFERROR(VLOOKUP(TRIM('📥 Respostas'!M70),'⚙️ Config'!$A$4:$B$13,2,0),"")</f>
        <v/>
      </c>
      <c r="K70" s="14" t="str">
        <f aca="false">IFERROR(VLOOKUP(TRIM('📥 Respostas'!N70),'⚙️ Config'!$A$4:$B$13,2,0),"")</f>
        <v/>
      </c>
      <c r="L70" s="14" t="str">
        <f aca="false">IFERROR(VLOOKUP(TRIM('📥 Respostas'!O70),'⚙️ Config'!$A$4:$B$13,2,0),"")</f>
        <v/>
      </c>
      <c r="M70" s="14" t="str">
        <f aca="false">IFERROR(VLOOKUP(TRIM('📥 Respostas'!P70),'⚙️ Config'!$A$4:$B$13,2,0),"")</f>
        <v/>
      </c>
      <c r="N70" s="14" t="str">
        <f aca="false">IFERROR(VLOOKUP(TRIM('📥 Respostas'!Q70),'⚙️ Config'!$A$4:$B$13,2,0),"")</f>
        <v/>
      </c>
      <c r="O70" s="14" t="str">
        <f aca="false">IFERROR(VLOOKUP(TRIM('📥 Respostas'!R70),'⚙️ Config'!$A$4:$B$13,2,0),"")</f>
        <v/>
      </c>
      <c r="P70" s="14" t="str">
        <f aca="false">IFERROR(VLOOKUP(TRIM('📥 Respostas'!S70),'⚙️ Config'!$A$4:$B$13,2,0),"")</f>
        <v/>
      </c>
      <c r="Q70" s="14" t="str">
        <f aca="false">IFERROR(VLOOKUP(TRIM('📥 Respostas'!T70),'⚙️ Config'!$A$4:$B$13,2,0),"")</f>
        <v/>
      </c>
      <c r="R70" s="14" t="str">
        <f aca="false">IFERROR(VLOOKUP(TRIM('📥 Respostas'!U70),'⚙️ Config'!$A$4:$B$13,2,0),"")</f>
        <v/>
      </c>
      <c r="S70" s="14" t="str">
        <f aca="false">IFERROR(VLOOKUP(TRIM('📥 Respostas'!V70),'⚙️ Config'!$A$4:$B$13,2,0),"")</f>
        <v/>
      </c>
      <c r="T70" s="14" t="str">
        <f aca="false">IFERROR(VLOOKUP(TRIM('📥 Respostas'!W70),'⚙️ Config'!$A$4:$B$13,2,0),"")</f>
        <v/>
      </c>
      <c r="U70" s="14" t="str">
        <f aca="false">IFERROR(VLOOKUP(TRIM('📥 Respostas'!X70),'⚙️ Config'!$A$4:$B$13,2,0),"")</f>
        <v/>
      </c>
      <c r="V70" s="14" t="str">
        <f aca="false">IFERROR(VLOOKUP(TRIM('📥 Respostas'!Y70),'⚙️ Config'!$A$4:$B$13,2,0),"")</f>
        <v/>
      </c>
      <c r="W70" s="14" t="str">
        <f aca="false">IFERROR(VLOOKUP(TRIM('📥 Respostas'!Z70),'⚙️ Config'!$A$4:$B$13,2,0),"")</f>
        <v/>
      </c>
      <c r="X70" s="14" t="str">
        <f aca="false">IFERROR(VLOOKUP(TRIM('📥 Respostas'!AA70),'⚙️ Config'!$A$4:$B$13,2,0),"")</f>
        <v/>
      </c>
      <c r="Y70" s="14" t="str">
        <f aca="false">IFERROR(VLOOKUP(TRIM('📥 Respostas'!AB70),'⚙️ Config'!$A$4:$B$13,2,0),"")</f>
        <v/>
      </c>
      <c r="Z70" s="14" t="str">
        <f aca="false">IFERROR(VLOOKUP(TRIM('📥 Respostas'!AC70),'⚙️ Config'!$A$4:$B$13,2,0),"")</f>
        <v/>
      </c>
      <c r="AA70" s="14" t="str">
        <f aca="false">IFERROR(VLOOKUP(TRIM('📥 Respostas'!AD70),'⚙️ Config'!$A$4:$B$13,2,0),"")</f>
        <v/>
      </c>
      <c r="AB70" s="14" t="str">
        <f aca="false">IFERROR(VLOOKUP(TRIM('📥 Respostas'!AE70),'⚙️ Config'!$A$4:$B$13,2,0),"")</f>
        <v/>
      </c>
      <c r="AC70" s="14" t="str">
        <f aca="false">IFERROR(VLOOKUP(TRIM('📥 Respostas'!AF70),'⚙️ Config'!$A$4:$B$13,2,0),"")</f>
        <v/>
      </c>
      <c r="AD70" s="14" t="str">
        <f aca="false">IFERROR(VLOOKUP(TRIM('📥 Respostas'!AG70),'⚙️ Config'!$A$4:$B$13,2,0),"")</f>
        <v/>
      </c>
      <c r="AE70" s="14" t="str">
        <f aca="false">IFERROR(VLOOKUP(TRIM('📥 Respostas'!AH70),'⚙️ Config'!$A$4:$B$13,2,0),"")</f>
        <v/>
      </c>
      <c r="AF70" s="14" t="str">
        <f aca="false">IFERROR(VLOOKUP(TRIM('📥 Respostas'!AI70),'⚙️ Config'!$C$4:$D$11,2,0),"")</f>
        <v/>
      </c>
      <c r="AG70" s="14" t="str">
        <f aca="false">IFERROR(VLOOKUP(TRIM('📥 Respostas'!AJ70),'⚙️ Config'!$A$4:$B$13,2,0),"")</f>
        <v/>
      </c>
      <c r="AH70" s="14" t="str">
        <f aca="false">IFERROR(VLOOKUP(TRIM('📥 Respostas'!AK70),'⚙️ Config'!$A$4:$B$13,2,0),"")</f>
        <v/>
      </c>
      <c r="AI70" s="14" t="str">
        <f aca="false">IFERROR(VLOOKUP(TRIM('📥 Respostas'!AL70),'⚙️ Config'!$A$4:$B$13,2,0),"")</f>
        <v/>
      </c>
      <c r="AJ70" s="14" t="str">
        <f aca="false">IFERROR(VLOOKUP(TRIM('📥 Respostas'!AM70),'⚙️ Config'!$A$4:$B$13,2,0),"")</f>
        <v/>
      </c>
      <c r="AK70" s="14" t="str">
        <f aca="false">IFERROR(VLOOKUP(TRIM('📥 Respostas'!AN70),'⚙️ Config'!$A$4:$B$13,2,0),"")</f>
        <v/>
      </c>
      <c r="AL70" s="14" t="str">
        <f aca="false">IFERROR(VLOOKUP(TRIM('📥 Respostas'!AO70),'⚙️ Config'!$A$4:$B$13,2,0),"")</f>
        <v/>
      </c>
      <c r="AM70" s="14" t="str">
        <f aca="false">IFERROR(VLOOKUP(TRIM('📥 Respostas'!AP70),'⚙️ Config'!$A$4:$B$13,2,0),"")</f>
        <v/>
      </c>
      <c r="AN70" s="14" t="str">
        <f aca="false">IFERROR(VLOOKUP(TRIM('📥 Respostas'!AQ70),'⚙️ Config'!$A$4:$B$13,2,0),"")</f>
        <v/>
      </c>
      <c r="AO70" s="14" t="str">
        <f aca="false">IFERROR(VLOOKUP(TRIM('📥 Respostas'!AR70),'⚙️ Config'!$A$4:$B$13,2,0),"")</f>
        <v/>
      </c>
      <c r="AP70" s="14" t="str">
        <f aca="false">IFERROR(VLOOKUP(TRIM('📥 Respostas'!AS70),'⚙️ Config'!$A$4:$B$13,2,0),"")</f>
        <v/>
      </c>
      <c r="AQ70" s="14" t="str">
        <f aca="false">IFERROR(VLOOKUP(TRIM('📥 Respostas'!AT70),'⚙️ Config'!$A$4:$B$13,2,0),"")</f>
        <v/>
      </c>
      <c r="AR70" s="14" t="str">
        <f aca="false">IFERROR(VLOOKUP(TRIM('📥 Respostas'!AU70),'⚙️ Config'!$A$4:$B$13,2,0),"")</f>
        <v/>
      </c>
    </row>
    <row r="71" customFormat="false" ht="15" hidden="false" customHeight="false" outlineLevel="0" collapsed="false">
      <c r="A71" s="15" t="str">
        <f aca="false">IF(ISBLANK('📥 Respostas'!D71),"",ROW()-3)</f>
        <v/>
      </c>
      <c r="B71" s="15" t="n">
        <f aca="false">'📥 Respostas'!D71</f>
        <v>0</v>
      </c>
      <c r="C71" s="5" t="n">
        <f aca="false">'📥 Respostas'!C71</f>
        <v>0</v>
      </c>
      <c r="D71" s="14" t="str">
        <f aca="false">IFERROR(VLOOKUP(TRIM('📥 Respostas'!G71),'⚙️ Config'!$A$4:$B$13,2,0),"")</f>
        <v/>
      </c>
      <c r="E71" s="14" t="str">
        <f aca="false">IFERROR(VLOOKUP(TRIM('📥 Respostas'!H71),'⚙️ Config'!$A$4:$B$13,2,0),"")</f>
        <v/>
      </c>
      <c r="F71" s="14" t="str">
        <f aca="false">IFERROR(VLOOKUP(TRIM('📥 Respostas'!I71),'⚙️ Config'!$A$4:$B$13,2,0),"")</f>
        <v/>
      </c>
      <c r="G71" s="14" t="str">
        <f aca="false">IFERROR(VLOOKUP(TRIM('📥 Respostas'!J71),'⚙️ Config'!$A$4:$B$13,2,0),"")</f>
        <v/>
      </c>
      <c r="H71" s="14" t="str">
        <f aca="false">IFERROR(VLOOKUP(TRIM('📥 Respostas'!K71),'⚙️ Config'!$A$4:$B$13,2,0),"")</f>
        <v/>
      </c>
      <c r="I71" s="14" t="str">
        <f aca="false">IFERROR(VLOOKUP(TRIM('📥 Respostas'!L71),'⚙️ Config'!$A$4:$B$13,2,0),"")</f>
        <v/>
      </c>
      <c r="J71" s="14" t="str">
        <f aca="false">IFERROR(VLOOKUP(TRIM('📥 Respostas'!M71),'⚙️ Config'!$A$4:$B$13,2,0),"")</f>
        <v/>
      </c>
      <c r="K71" s="14" t="str">
        <f aca="false">IFERROR(VLOOKUP(TRIM('📥 Respostas'!N71),'⚙️ Config'!$A$4:$B$13,2,0),"")</f>
        <v/>
      </c>
      <c r="L71" s="14" t="str">
        <f aca="false">IFERROR(VLOOKUP(TRIM('📥 Respostas'!O71),'⚙️ Config'!$A$4:$B$13,2,0),"")</f>
        <v/>
      </c>
      <c r="M71" s="14" t="str">
        <f aca="false">IFERROR(VLOOKUP(TRIM('📥 Respostas'!P71),'⚙️ Config'!$A$4:$B$13,2,0),"")</f>
        <v/>
      </c>
      <c r="N71" s="14" t="str">
        <f aca="false">IFERROR(VLOOKUP(TRIM('📥 Respostas'!Q71),'⚙️ Config'!$A$4:$B$13,2,0),"")</f>
        <v/>
      </c>
      <c r="O71" s="14" t="str">
        <f aca="false">IFERROR(VLOOKUP(TRIM('📥 Respostas'!R71),'⚙️ Config'!$A$4:$B$13,2,0),"")</f>
        <v/>
      </c>
      <c r="P71" s="14" t="str">
        <f aca="false">IFERROR(VLOOKUP(TRIM('📥 Respostas'!S71),'⚙️ Config'!$A$4:$B$13,2,0),"")</f>
        <v/>
      </c>
      <c r="Q71" s="14" t="str">
        <f aca="false">IFERROR(VLOOKUP(TRIM('📥 Respostas'!T71),'⚙️ Config'!$A$4:$B$13,2,0),"")</f>
        <v/>
      </c>
      <c r="R71" s="14" t="str">
        <f aca="false">IFERROR(VLOOKUP(TRIM('📥 Respostas'!U71),'⚙️ Config'!$A$4:$B$13,2,0),"")</f>
        <v/>
      </c>
      <c r="S71" s="14" t="str">
        <f aca="false">IFERROR(VLOOKUP(TRIM('📥 Respostas'!V71),'⚙️ Config'!$A$4:$B$13,2,0),"")</f>
        <v/>
      </c>
      <c r="T71" s="14" t="str">
        <f aca="false">IFERROR(VLOOKUP(TRIM('📥 Respostas'!W71),'⚙️ Config'!$A$4:$B$13,2,0),"")</f>
        <v/>
      </c>
      <c r="U71" s="14" t="str">
        <f aca="false">IFERROR(VLOOKUP(TRIM('📥 Respostas'!X71),'⚙️ Config'!$A$4:$B$13,2,0),"")</f>
        <v/>
      </c>
      <c r="V71" s="14" t="str">
        <f aca="false">IFERROR(VLOOKUP(TRIM('📥 Respostas'!Y71),'⚙️ Config'!$A$4:$B$13,2,0),"")</f>
        <v/>
      </c>
      <c r="W71" s="14" t="str">
        <f aca="false">IFERROR(VLOOKUP(TRIM('📥 Respostas'!Z71),'⚙️ Config'!$A$4:$B$13,2,0),"")</f>
        <v/>
      </c>
      <c r="X71" s="14" t="str">
        <f aca="false">IFERROR(VLOOKUP(TRIM('📥 Respostas'!AA71),'⚙️ Config'!$A$4:$B$13,2,0),"")</f>
        <v/>
      </c>
      <c r="Y71" s="14" t="str">
        <f aca="false">IFERROR(VLOOKUP(TRIM('📥 Respostas'!AB71),'⚙️ Config'!$A$4:$B$13,2,0),"")</f>
        <v/>
      </c>
      <c r="Z71" s="14" t="str">
        <f aca="false">IFERROR(VLOOKUP(TRIM('📥 Respostas'!AC71),'⚙️ Config'!$A$4:$B$13,2,0),"")</f>
        <v/>
      </c>
      <c r="AA71" s="14" t="str">
        <f aca="false">IFERROR(VLOOKUP(TRIM('📥 Respostas'!AD71),'⚙️ Config'!$A$4:$B$13,2,0),"")</f>
        <v/>
      </c>
      <c r="AB71" s="14" t="str">
        <f aca="false">IFERROR(VLOOKUP(TRIM('📥 Respostas'!AE71),'⚙️ Config'!$A$4:$B$13,2,0),"")</f>
        <v/>
      </c>
      <c r="AC71" s="14" t="str">
        <f aca="false">IFERROR(VLOOKUP(TRIM('📥 Respostas'!AF71),'⚙️ Config'!$A$4:$B$13,2,0),"")</f>
        <v/>
      </c>
      <c r="AD71" s="14" t="str">
        <f aca="false">IFERROR(VLOOKUP(TRIM('📥 Respostas'!AG71),'⚙️ Config'!$A$4:$B$13,2,0),"")</f>
        <v/>
      </c>
      <c r="AE71" s="14" t="str">
        <f aca="false">IFERROR(VLOOKUP(TRIM('📥 Respostas'!AH71),'⚙️ Config'!$A$4:$B$13,2,0),"")</f>
        <v/>
      </c>
      <c r="AF71" s="14" t="str">
        <f aca="false">IFERROR(VLOOKUP(TRIM('📥 Respostas'!AI71),'⚙️ Config'!$C$4:$D$11,2,0),"")</f>
        <v/>
      </c>
      <c r="AG71" s="14" t="str">
        <f aca="false">IFERROR(VLOOKUP(TRIM('📥 Respostas'!AJ71),'⚙️ Config'!$A$4:$B$13,2,0),"")</f>
        <v/>
      </c>
      <c r="AH71" s="14" t="str">
        <f aca="false">IFERROR(VLOOKUP(TRIM('📥 Respostas'!AK71),'⚙️ Config'!$A$4:$B$13,2,0),"")</f>
        <v/>
      </c>
      <c r="AI71" s="14" t="str">
        <f aca="false">IFERROR(VLOOKUP(TRIM('📥 Respostas'!AL71),'⚙️ Config'!$A$4:$B$13,2,0),"")</f>
        <v/>
      </c>
      <c r="AJ71" s="14" t="str">
        <f aca="false">IFERROR(VLOOKUP(TRIM('📥 Respostas'!AM71),'⚙️ Config'!$A$4:$B$13,2,0),"")</f>
        <v/>
      </c>
      <c r="AK71" s="14" t="str">
        <f aca="false">IFERROR(VLOOKUP(TRIM('📥 Respostas'!AN71),'⚙️ Config'!$A$4:$B$13,2,0),"")</f>
        <v/>
      </c>
      <c r="AL71" s="14" t="str">
        <f aca="false">IFERROR(VLOOKUP(TRIM('📥 Respostas'!AO71),'⚙️ Config'!$A$4:$B$13,2,0),"")</f>
        <v/>
      </c>
      <c r="AM71" s="14" t="str">
        <f aca="false">IFERROR(VLOOKUP(TRIM('📥 Respostas'!AP71),'⚙️ Config'!$A$4:$B$13,2,0),"")</f>
        <v/>
      </c>
      <c r="AN71" s="14" t="str">
        <f aca="false">IFERROR(VLOOKUP(TRIM('📥 Respostas'!AQ71),'⚙️ Config'!$A$4:$B$13,2,0),"")</f>
        <v/>
      </c>
      <c r="AO71" s="14" t="str">
        <f aca="false">IFERROR(VLOOKUP(TRIM('📥 Respostas'!AR71),'⚙️ Config'!$A$4:$B$13,2,0),"")</f>
        <v/>
      </c>
      <c r="AP71" s="14" t="str">
        <f aca="false">IFERROR(VLOOKUP(TRIM('📥 Respostas'!AS71),'⚙️ Config'!$A$4:$B$13,2,0),"")</f>
        <v/>
      </c>
      <c r="AQ71" s="14" t="str">
        <f aca="false">IFERROR(VLOOKUP(TRIM('📥 Respostas'!AT71),'⚙️ Config'!$A$4:$B$13,2,0),"")</f>
        <v/>
      </c>
      <c r="AR71" s="14" t="str">
        <f aca="false">IFERROR(VLOOKUP(TRIM('📥 Respostas'!AU71),'⚙️ Config'!$A$4:$B$13,2,0),"")</f>
        <v/>
      </c>
    </row>
    <row r="72" customFormat="false" ht="15" hidden="false" customHeight="false" outlineLevel="0" collapsed="false">
      <c r="A72" s="12" t="str">
        <f aca="false">IF(ISBLANK('📥 Respostas'!D72),"",ROW()-3)</f>
        <v/>
      </c>
      <c r="B72" s="12" t="n">
        <f aca="false">'📥 Respostas'!D72</f>
        <v>0</v>
      </c>
      <c r="C72" s="13" t="n">
        <f aca="false">'📥 Respostas'!C72</f>
        <v>0</v>
      </c>
      <c r="D72" s="14" t="str">
        <f aca="false">IFERROR(VLOOKUP(TRIM('📥 Respostas'!G72),'⚙️ Config'!$A$4:$B$13,2,0),"")</f>
        <v/>
      </c>
      <c r="E72" s="14" t="str">
        <f aca="false">IFERROR(VLOOKUP(TRIM('📥 Respostas'!H72),'⚙️ Config'!$A$4:$B$13,2,0),"")</f>
        <v/>
      </c>
      <c r="F72" s="14" t="str">
        <f aca="false">IFERROR(VLOOKUP(TRIM('📥 Respostas'!I72),'⚙️ Config'!$A$4:$B$13,2,0),"")</f>
        <v/>
      </c>
      <c r="G72" s="14" t="str">
        <f aca="false">IFERROR(VLOOKUP(TRIM('📥 Respostas'!J72),'⚙️ Config'!$A$4:$B$13,2,0),"")</f>
        <v/>
      </c>
      <c r="H72" s="14" t="str">
        <f aca="false">IFERROR(VLOOKUP(TRIM('📥 Respostas'!K72),'⚙️ Config'!$A$4:$B$13,2,0),"")</f>
        <v/>
      </c>
      <c r="I72" s="14" t="str">
        <f aca="false">IFERROR(VLOOKUP(TRIM('📥 Respostas'!L72),'⚙️ Config'!$A$4:$B$13,2,0),"")</f>
        <v/>
      </c>
      <c r="J72" s="14" t="str">
        <f aca="false">IFERROR(VLOOKUP(TRIM('📥 Respostas'!M72),'⚙️ Config'!$A$4:$B$13,2,0),"")</f>
        <v/>
      </c>
      <c r="K72" s="14" t="str">
        <f aca="false">IFERROR(VLOOKUP(TRIM('📥 Respostas'!N72),'⚙️ Config'!$A$4:$B$13,2,0),"")</f>
        <v/>
      </c>
      <c r="L72" s="14" t="str">
        <f aca="false">IFERROR(VLOOKUP(TRIM('📥 Respostas'!O72),'⚙️ Config'!$A$4:$B$13,2,0),"")</f>
        <v/>
      </c>
      <c r="M72" s="14" t="str">
        <f aca="false">IFERROR(VLOOKUP(TRIM('📥 Respostas'!P72),'⚙️ Config'!$A$4:$B$13,2,0),"")</f>
        <v/>
      </c>
      <c r="N72" s="14" t="str">
        <f aca="false">IFERROR(VLOOKUP(TRIM('📥 Respostas'!Q72),'⚙️ Config'!$A$4:$B$13,2,0),"")</f>
        <v/>
      </c>
      <c r="O72" s="14" t="str">
        <f aca="false">IFERROR(VLOOKUP(TRIM('📥 Respostas'!R72),'⚙️ Config'!$A$4:$B$13,2,0),"")</f>
        <v/>
      </c>
      <c r="P72" s="14" t="str">
        <f aca="false">IFERROR(VLOOKUP(TRIM('📥 Respostas'!S72),'⚙️ Config'!$A$4:$B$13,2,0),"")</f>
        <v/>
      </c>
      <c r="Q72" s="14" t="str">
        <f aca="false">IFERROR(VLOOKUP(TRIM('📥 Respostas'!T72),'⚙️ Config'!$A$4:$B$13,2,0),"")</f>
        <v/>
      </c>
      <c r="R72" s="14" t="str">
        <f aca="false">IFERROR(VLOOKUP(TRIM('📥 Respostas'!U72),'⚙️ Config'!$A$4:$B$13,2,0),"")</f>
        <v/>
      </c>
      <c r="S72" s="14" t="str">
        <f aca="false">IFERROR(VLOOKUP(TRIM('📥 Respostas'!V72),'⚙️ Config'!$A$4:$B$13,2,0),"")</f>
        <v/>
      </c>
      <c r="T72" s="14" t="str">
        <f aca="false">IFERROR(VLOOKUP(TRIM('📥 Respostas'!W72),'⚙️ Config'!$A$4:$B$13,2,0),"")</f>
        <v/>
      </c>
      <c r="U72" s="14" t="str">
        <f aca="false">IFERROR(VLOOKUP(TRIM('📥 Respostas'!X72),'⚙️ Config'!$A$4:$B$13,2,0),"")</f>
        <v/>
      </c>
      <c r="V72" s="14" t="str">
        <f aca="false">IFERROR(VLOOKUP(TRIM('📥 Respostas'!Y72),'⚙️ Config'!$A$4:$B$13,2,0),"")</f>
        <v/>
      </c>
      <c r="W72" s="14" t="str">
        <f aca="false">IFERROR(VLOOKUP(TRIM('📥 Respostas'!Z72),'⚙️ Config'!$A$4:$B$13,2,0),"")</f>
        <v/>
      </c>
      <c r="X72" s="14" t="str">
        <f aca="false">IFERROR(VLOOKUP(TRIM('📥 Respostas'!AA72),'⚙️ Config'!$A$4:$B$13,2,0),"")</f>
        <v/>
      </c>
      <c r="Y72" s="14" t="str">
        <f aca="false">IFERROR(VLOOKUP(TRIM('📥 Respostas'!AB72),'⚙️ Config'!$A$4:$B$13,2,0),"")</f>
        <v/>
      </c>
      <c r="Z72" s="14" t="str">
        <f aca="false">IFERROR(VLOOKUP(TRIM('📥 Respostas'!AC72),'⚙️ Config'!$A$4:$B$13,2,0),"")</f>
        <v/>
      </c>
      <c r="AA72" s="14" t="str">
        <f aca="false">IFERROR(VLOOKUP(TRIM('📥 Respostas'!AD72),'⚙️ Config'!$A$4:$B$13,2,0),"")</f>
        <v/>
      </c>
      <c r="AB72" s="14" t="str">
        <f aca="false">IFERROR(VLOOKUP(TRIM('📥 Respostas'!AE72),'⚙️ Config'!$A$4:$B$13,2,0),"")</f>
        <v/>
      </c>
      <c r="AC72" s="14" t="str">
        <f aca="false">IFERROR(VLOOKUP(TRIM('📥 Respostas'!AF72),'⚙️ Config'!$A$4:$B$13,2,0),"")</f>
        <v/>
      </c>
      <c r="AD72" s="14" t="str">
        <f aca="false">IFERROR(VLOOKUP(TRIM('📥 Respostas'!AG72),'⚙️ Config'!$A$4:$B$13,2,0),"")</f>
        <v/>
      </c>
      <c r="AE72" s="14" t="str">
        <f aca="false">IFERROR(VLOOKUP(TRIM('📥 Respostas'!AH72),'⚙️ Config'!$A$4:$B$13,2,0),"")</f>
        <v/>
      </c>
      <c r="AF72" s="14" t="str">
        <f aca="false">IFERROR(VLOOKUP(TRIM('📥 Respostas'!AI72),'⚙️ Config'!$C$4:$D$11,2,0),"")</f>
        <v/>
      </c>
      <c r="AG72" s="14" t="str">
        <f aca="false">IFERROR(VLOOKUP(TRIM('📥 Respostas'!AJ72),'⚙️ Config'!$A$4:$B$13,2,0),"")</f>
        <v/>
      </c>
      <c r="AH72" s="14" t="str">
        <f aca="false">IFERROR(VLOOKUP(TRIM('📥 Respostas'!AK72),'⚙️ Config'!$A$4:$B$13,2,0),"")</f>
        <v/>
      </c>
      <c r="AI72" s="14" t="str">
        <f aca="false">IFERROR(VLOOKUP(TRIM('📥 Respostas'!AL72),'⚙️ Config'!$A$4:$B$13,2,0),"")</f>
        <v/>
      </c>
      <c r="AJ72" s="14" t="str">
        <f aca="false">IFERROR(VLOOKUP(TRIM('📥 Respostas'!AM72),'⚙️ Config'!$A$4:$B$13,2,0),"")</f>
        <v/>
      </c>
      <c r="AK72" s="14" t="str">
        <f aca="false">IFERROR(VLOOKUP(TRIM('📥 Respostas'!AN72),'⚙️ Config'!$A$4:$B$13,2,0),"")</f>
        <v/>
      </c>
      <c r="AL72" s="14" t="str">
        <f aca="false">IFERROR(VLOOKUP(TRIM('📥 Respostas'!AO72),'⚙️ Config'!$A$4:$B$13,2,0),"")</f>
        <v/>
      </c>
      <c r="AM72" s="14" t="str">
        <f aca="false">IFERROR(VLOOKUP(TRIM('📥 Respostas'!AP72),'⚙️ Config'!$A$4:$B$13,2,0),"")</f>
        <v/>
      </c>
      <c r="AN72" s="14" t="str">
        <f aca="false">IFERROR(VLOOKUP(TRIM('📥 Respostas'!AQ72),'⚙️ Config'!$A$4:$B$13,2,0),"")</f>
        <v/>
      </c>
      <c r="AO72" s="14" t="str">
        <f aca="false">IFERROR(VLOOKUP(TRIM('📥 Respostas'!AR72),'⚙️ Config'!$A$4:$B$13,2,0),"")</f>
        <v/>
      </c>
      <c r="AP72" s="14" t="str">
        <f aca="false">IFERROR(VLOOKUP(TRIM('📥 Respostas'!AS72),'⚙️ Config'!$A$4:$B$13,2,0),"")</f>
        <v/>
      </c>
      <c r="AQ72" s="14" t="str">
        <f aca="false">IFERROR(VLOOKUP(TRIM('📥 Respostas'!AT72),'⚙️ Config'!$A$4:$B$13,2,0),"")</f>
        <v/>
      </c>
      <c r="AR72" s="14" t="str">
        <f aca="false">IFERROR(VLOOKUP(TRIM('📥 Respostas'!AU72),'⚙️ Config'!$A$4:$B$13,2,0),"")</f>
        <v/>
      </c>
    </row>
    <row r="73" customFormat="false" ht="15" hidden="false" customHeight="false" outlineLevel="0" collapsed="false">
      <c r="A73" s="15" t="str">
        <f aca="false">IF(ISBLANK('📥 Respostas'!D73),"",ROW()-3)</f>
        <v/>
      </c>
      <c r="B73" s="15" t="n">
        <f aca="false">'📥 Respostas'!D73</f>
        <v>0</v>
      </c>
      <c r="C73" s="5" t="n">
        <f aca="false">'📥 Respostas'!C73</f>
        <v>0</v>
      </c>
      <c r="D73" s="14" t="str">
        <f aca="false">IFERROR(VLOOKUP(TRIM('📥 Respostas'!G73),'⚙️ Config'!$A$4:$B$13,2,0),"")</f>
        <v/>
      </c>
      <c r="E73" s="14" t="str">
        <f aca="false">IFERROR(VLOOKUP(TRIM('📥 Respostas'!H73),'⚙️ Config'!$A$4:$B$13,2,0),"")</f>
        <v/>
      </c>
      <c r="F73" s="14" t="str">
        <f aca="false">IFERROR(VLOOKUP(TRIM('📥 Respostas'!I73),'⚙️ Config'!$A$4:$B$13,2,0),"")</f>
        <v/>
      </c>
      <c r="G73" s="14" t="str">
        <f aca="false">IFERROR(VLOOKUP(TRIM('📥 Respostas'!J73),'⚙️ Config'!$A$4:$B$13,2,0),"")</f>
        <v/>
      </c>
      <c r="H73" s="14" t="str">
        <f aca="false">IFERROR(VLOOKUP(TRIM('📥 Respostas'!K73),'⚙️ Config'!$A$4:$B$13,2,0),"")</f>
        <v/>
      </c>
      <c r="I73" s="14" t="str">
        <f aca="false">IFERROR(VLOOKUP(TRIM('📥 Respostas'!L73),'⚙️ Config'!$A$4:$B$13,2,0),"")</f>
        <v/>
      </c>
      <c r="J73" s="14" t="str">
        <f aca="false">IFERROR(VLOOKUP(TRIM('📥 Respostas'!M73),'⚙️ Config'!$A$4:$B$13,2,0),"")</f>
        <v/>
      </c>
      <c r="K73" s="14" t="str">
        <f aca="false">IFERROR(VLOOKUP(TRIM('📥 Respostas'!N73),'⚙️ Config'!$A$4:$B$13,2,0),"")</f>
        <v/>
      </c>
      <c r="L73" s="14" t="str">
        <f aca="false">IFERROR(VLOOKUP(TRIM('📥 Respostas'!O73),'⚙️ Config'!$A$4:$B$13,2,0),"")</f>
        <v/>
      </c>
      <c r="M73" s="14" t="str">
        <f aca="false">IFERROR(VLOOKUP(TRIM('📥 Respostas'!P73),'⚙️ Config'!$A$4:$B$13,2,0),"")</f>
        <v/>
      </c>
      <c r="N73" s="14" t="str">
        <f aca="false">IFERROR(VLOOKUP(TRIM('📥 Respostas'!Q73),'⚙️ Config'!$A$4:$B$13,2,0),"")</f>
        <v/>
      </c>
      <c r="O73" s="14" t="str">
        <f aca="false">IFERROR(VLOOKUP(TRIM('📥 Respostas'!R73),'⚙️ Config'!$A$4:$B$13,2,0),"")</f>
        <v/>
      </c>
      <c r="P73" s="14" t="str">
        <f aca="false">IFERROR(VLOOKUP(TRIM('📥 Respostas'!S73),'⚙️ Config'!$A$4:$B$13,2,0),"")</f>
        <v/>
      </c>
      <c r="Q73" s="14" t="str">
        <f aca="false">IFERROR(VLOOKUP(TRIM('📥 Respostas'!T73),'⚙️ Config'!$A$4:$B$13,2,0),"")</f>
        <v/>
      </c>
      <c r="R73" s="14" t="str">
        <f aca="false">IFERROR(VLOOKUP(TRIM('📥 Respostas'!U73),'⚙️ Config'!$A$4:$B$13,2,0),"")</f>
        <v/>
      </c>
      <c r="S73" s="14" t="str">
        <f aca="false">IFERROR(VLOOKUP(TRIM('📥 Respostas'!V73),'⚙️ Config'!$A$4:$B$13,2,0),"")</f>
        <v/>
      </c>
      <c r="T73" s="14" t="str">
        <f aca="false">IFERROR(VLOOKUP(TRIM('📥 Respostas'!W73),'⚙️ Config'!$A$4:$B$13,2,0),"")</f>
        <v/>
      </c>
      <c r="U73" s="14" t="str">
        <f aca="false">IFERROR(VLOOKUP(TRIM('📥 Respostas'!X73),'⚙️ Config'!$A$4:$B$13,2,0),"")</f>
        <v/>
      </c>
      <c r="V73" s="14" t="str">
        <f aca="false">IFERROR(VLOOKUP(TRIM('📥 Respostas'!Y73),'⚙️ Config'!$A$4:$B$13,2,0),"")</f>
        <v/>
      </c>
      <c r="W73" s="14" t="str">
        <f aca="false">IFERROR(VLOOKUP(TRIM('📥 Respostas'!Z73),'⚙️ Config'!$A$4:$B$13,2,0),"")</f>
        <v/>
      </c>
      <c r="X73" s="14" t="str">
        <f aca="false">IFERROR(VLOOKUP(TRIM('📥 Respostas'!AA73),'⚙️ Config'!$A$4:$B$13,2,0),"")</f>
        <v/>
      </c>
      <c r="Y73" s="14" t="str">
        <f aca="false">IFERROR(VLOOKUP(TRIM('📥 Respostas'!AB73),'⚙️ Config'!$A$4:$B$13,2,0),"")</f>
        <v/>
      </c>
      <c r="Z73" s="14" t="str">
        <f aca="false">IFERROR(VLOOKUP(TRIM('📥 Respostas'!AC73),'⚙️ Config'!$A$4:$B$13,2,0),"")</f>
        <v/>
      </c>
      <c r="AA73" s="14" t="str">
        <f aca="false">IFERROR(VLOOKUP(TRIM('📥 Respostas'!AD73),'⚙️ Config'!$A$4:$B$13,2,0),"")</f>
        <v/>
      </c>
      <c r="AB73" s="14" t="str">
        <f aca="false">IFERROR(VLOOKUP(TRIM('📥 Respostas'!AE73),'⚙️ Config'!$A$4:$B$13,2,0),"")</f>
        <v/>
      </c>
      <c r="AC73" s="14" t="str">
        <f aca="false">IFERROR(VLOOKUP(TRIM('📥 Respostas'!AF73),'⚙️ Config'!$A$4:$B$13,2,0),"")</f>
        <v/>
      </c>
      <c r="AD73" s="14" t="str">
        <f aca="false">IFERROR(VLOOKUP(TRIM('📥 Respostas'!AG73),'⚙️ Config'!$A$4:$B$13,2,0),"")</f>
        <v/>
      </c>
      <c r="AE73" s="14" t="str">
        <f aca="false">IFERROR(VLOOKUP(TRIM('📥 Respostas'!AH73),'⚙️ Config'!$A$4:$B$13,2,0),"")</f>
        <v/>
      </c>
      <c r="AF73" s="14" t="str">
        <f aca="false">IFERROR(VLOOKUP(TRIM('📥 Respostas'!AI73),'⚙️ Config'!$C$4:$D$11,2,0),"")</f>
        <v/>
      </c>
      <c r="AG73" s="14" t="str">
        <f aca="false">IFERROR(VLOOKUP(TRIM('📥 Respostas'!AJ73),'⚙️ Config'!$A$4:$B$13,2,0),"")</f>
        <v/>
      </c>
      <c r="AH73" s="14" t="str">
        <f aca="false">IFERROR(VLOOKUP(TRIM('📥 Respostas'!AK73),'⚙️ Config'!$A$4:$B$13,2,0),"")</f>
        <v/>
      </c>
      <c r="AI73" s="14" t="str">
        <f aca="false">IFERROR(VLOOKUP(TRIM('📥 Respostas'!AL73),'⚙️ Config'!$A$4:$B$13,2,0),"")</f>
        <v/>
      </c>
      <c r="AJ73" s="14" t="str">
        <f aca="false">IFERROR(VLOOKUP(TRIM('📥 Respostas'!AM73),'⚙️ Config'!$A$4:$B$13,2,0),"")</f>
        <v/>
      </c>
      <c r="AK73" s="14" t="str">
        <f aca="false">IFERROR(VLOOKUP(TRIM('📥 Respostas'!AN73),'⚙️ Config'!$A$4:$B$13,2,0),"")</f>
        <v/>
      </c>
      <c r="AL73" s="14" t="str">
        <f aca="false">IFERROR(VLOOKUP(TRIM('📥 Respostas'!AO73),'⚙️ Config'!$A$4:$B$13,2,0),"")</f>
        <v/>
      </c>
      <c r="AM73" s="14" t="str">
        <f aca="false">IFERROR(VLOOKUP(TRIM('📥 Respostas'!AP73),'⚙️ Config'!$A$4:$B$13,2,0),"")</f>
        <v/>
      </c>
      <c r="AN73" s="14" t="str">
        <f aca="false">IFERROR(VLOOKUP(TRIM('📥 Respostas'!AQ73),'⚙️ Config'!$A$4:$B$13,2,0),"")</f>
        <v/>
      </c>
      <c r="AO73" s="14" t="str">
        <f aca="false">IFERROR(VLOOKUP(TRIM('📥 Respostas'!AR73),'⚙️ Config'!$A$4:$B$13,2,0),"")</f>
        <v/>
      </c>
      <c r="AP73" s="14" t="str">
        <f aca="false">IFERROR(VLOOKUP(TRIM('📥 Respostas'!AS73),'⚙️ Config'!$A$4:$B$13,2,0),"")</f>
        <v/>
      </c>
      <c r="AQ73" s="14" t="str">
        <f aca="false">IFERROR(VLOOKUP(TRIM('📥 Respostas'!AT73),'⚙️ Config'!$A$4:$B$13,2,0),"")</f>
        <v/>
      </c>
      <c r="AR73" s="14" t="str">
        <f aca="false">IFERROR(VLOOKUP(TRIM('📥 Respostas'!AU73),'⚙️ Config'!$A$4:$B$13,2,0),"")</f>
        <v/>
      </c>
    </row>
    <row r="74" customFormat="false" ht="15" hidden="false" customHeight="false" outlineLevel="0" collapsed="false">
      <c r="A74" s="12" t="str">
        <f aca="false">IF(ISBLANK('📥 Respostas'!D74),"",ROW()-3)</f>
        <v/>
      </c>
      <c r="B74" s="12" t="n">
        <f aca="false">'📥 Respostas'!D74</f>
        <v>0</v>
      </c>
      <c r="C74" s="13" t="n">
        <f aca="false">'📥 Respostas'!C74</f>
        <v>0</v>
      </c>
      <c r="D74" s="14" t="str">
        <f aca="false">IFERROR(VLOOKUP(TRIM('📥 Respostas'!G74),'⚙️ Config'!$A$4:$B$13,2,0),"")</f>
        <v/>
      </c>
      <c r="E74" s="14" t="str">
        <f aca="false">IFERROR(VLOOKUP(TRIM('📥 Respostas'!H74),'⚙️ Config'!$A$4:$B$13,2,0),"")</f>
        <v/>
      </c>
      <c r="F74" s="14" t="str">
        <f aca="false">IFERROR(VLOOKUP(TRIM('📥 Respostas'!I74),'⚙️ Config'!$A$4:$B$13,2,0),"")</f>
        <v/>
      </c>
      <c r="G74" s="14" t="str">
        <f aca="false">IFERROR(VLOOKUP(TRIM('📥 Respostas'!J74),'⚙️ Config'!$A$4:$B$13,2,0),"")</f>
        <v/>
      </c>
      <c r="H74" s="14" t="str">
        <f aca="false">IFERROR(VLOOKUP(TRIM('📥 Respostas'!K74),'⚙️ Config'!$A$4:$B$13,2,0),"")</f>
        <v/>
      </c>
      <c r="I74" s="14" t="str">
        <f aca="false">IFERROR(VLOOKUP(TRIM('📥 Respostas'!L74),'⚙️ Config'!$A$4:$B$13,2,0),"")</f>
        <v/>
      </c>
      <c r="J74" s="14" t="str">
        <f aca="false">IFERROR(VLOOKUP(TRIM('📥 Respostas'!M74),'⚙️ Config'!$A$4:$B$13,2,0),"")</f>
        <v/>
      </c>
      <c r="K74" s="14" t="str">
        <f aca="false">IFERROR(VLOOKUP(TRIM('📥 Respostas'!N74),'⚙️ Config'!$A$4:$B$13,2,0),"")</f>
        <v/>
      </c>
      <c r="L74" s="14" t="str">
        <f aca="false">IFERROR(VLOOKUP(TRIM('📥 Respostas'!O74),'⚙️ Config'!$A$4:$B$13,2,0),"")</f>
        <v/>
      </c>
      <c r="M74" s="14" t="str">
        <f aca="false">IFERROR(VLOOKUP(TRIM('📥 Respostas'!P74),'⚙️ Config'!$A$4:$B$13,2,0),"")</f>
        <v/>
      </c>
      <c r="N74" s="14" t="str">
        <f aca="false">IFERROR(VLOOKUP(TRIM('📥 Respostas'!Q74),'⚙️ Config'!$A$4:$B$13,2,0),"")</f>
        <v/>
      </c>
      <c r="O74" s="14" t="str">
        <f aca="false">IFERROR(VLOOKUP(TRIM('📥 Respostas'!R74),'⚙️ Config'!$A$4:$B$13,2,0),"")</f>
        <v/>
      </c>
      <c r="P74" s="14" t="str">
        <f aca="false">IFERROR(VLOOKUP(TRIM('📥 Respostas'!S74),'⚙️ Config'!$A$4:$B$13,2,0),"")</f>
        <v/>
      </c>
      <c r="Q74" s="14" t="str">
        <f aca="false">IFERROR(VLOOKUP(TRIM('📥 Respostas'!T74),'⚙️ Config'!$A$4:$B$13,2,0),"")</f>
        <v/>
      </c>
      <c r="R74" s="14" t="str">
        <f aca="false">IFERROR(VLOOKUP(TRIM('📥 Respostas'!U74),'⚙️ Config'!$A$4:$B$13,2,0),"")</f>
        <v/>
      </c>
      <c r="S74" s="14" t="str">
        <f aca="false">IFERROR(VLOOKUP(TRIM('📥 Respostas'!V74),'⚙️ Config'!$A$4:$B$13,2,0),"")</f>
        <v/>
      </c>
      <c r="T74" s="14" t="str">
        <f aca="false">IFERROR(VLOOKUP(TRIM('📥 Respostas'!W74),'⚙️ Config'!$A$4:$B$13,2,0),"")</f>
        <v/>
      </c>
      <c r="U74" s="14" t="str">
        <f aca="false">IFERROR(VLOOKUP(TRIM('📥 Respostas'!X74),'⚙️ Config'!$A$4:$B$13,2,0),"")</f>
        <v/>
      </c>
      <c r="V74" s="14" t="str">
        <f aca="false">IFERROR(VLOOKUP(TRIM('📥 Respostas'!Y74),'⚙️ Config'!$A$4:$B$13,2,0),"")</f>
        <v/>
      </c>
      <c r="W74" s="14" t="str">
        <f aca="false">IFERROR(VLOOKUP(TRIM('📥 Respostas'!Z74),'⚙️ Config'!$A$4:$B$13,2,0),"")</f>
        <v/>
      </c>
      <c r="X74" s="14" t="str">
        <f aca="false">IFERROR(VLOOKUP(TRIM('📥 Respostas'!AA74),'⚙️ Config'!$A$4:$B$13,2,0),"")</f>
        <v/>
      </c>
      <c r="Y74" s="14" t="str">
        <f aca="false">IFERROR(VLOOKUP(TRIM('📥 Respostas'!AB74),'⚙️ Config'!$A$4:$B$13,2,0),"")</f>
        <v/>
      </c>
      <c r="Z74" s="14" t="str">
        <f aca="false">IFERROR(VLOOKUP(TRIM('📥 Respostas'!AC74),'⚙️ Config'!$A$4:$B$13,2,0),"")</f>
        <v/>
      </c>
      <c r="AA74" s="14" t="str">
        <f aca="false">IFERROR(VLOOKUP(TRIM('📥 Respostas'!AD74),'⚙️ Config'!$A$4:$B$13,2,0),"")</f>
        <v/>
      </c>
      <c r="AB74" s="14" t="str">
        <f aca="false">IFERROR(VLOOKUP(TRIM('📥 Respostas'!AE74),'⚙️ Config'!$A$4:$B$13,2,0),"")</f>
        <v/>
      </c>
      <c r="AC74" s="14" t="str">
        <f aca="false">IFERROR(VLOOKUP(TRIM('📥 Respostas'!AF74),'⚙️ Config'!$A$4:$B$13,2,0),"")</f>
        <v/>
      </c>
      <c r="AD74" s="14" t="str">
        <f aca="false">IFERROR(VLOOKUP(TRIM('📥 Respostas'!AG74),'⚙️ Config'!$A$4:$B$13,2,0),"")</f>
        <v/>
      </c>
      <c r="AE74" s="14" t="str">
        <f aca="false">IFERROR(VLOOKUP(TRIM('📥 Respostas'!AH74),'⚙️ Config'!$A$4:$B$13,2,0),"")</f>
        <v/>
      </c>
      <c r="AF74" s="14" t="str">
        <f aca="false">IFERROR(VLOOKUP(TRIM('📥 Respostas'!AI74),'⚙️ Config'!$C$4:$D$11,2,0),"")</f>
        <v/>
      </c>
      <c r="AG74" s="14" t="str">
        <f aca="false">IFERROR(VLOOKUP(TRIM('📥 Respostas'!AJ74),'⚙️ Config'!$A$4:$B$13,2,0),"")</f>
        <v/>
      </c>
      <c r="AH74" s="14" t="str">
        <f aca="false">IFERROR(VLOOKUP(TRIM('📥 Respostas'!AK74),'⚙️ Config'!$A$4:$B$13,2,0),"")</f>
        <v/>
      </c>
      <c r="AI74" s="14" t="str">
        <f aca="false">IFERROR(VLOOKUP(TRIM('📥 Respostas'!AL74),'⚙️ Config'!$A$4:$B$13,2,0),"")</f>
        <v/>
      </c>
      <c r="AJ74" s="14" t="str">
        <f aca="false">IFERROR(VLOOKUP(TRIM('📥 Respostas'!AM74),'⚙️ Config'!$A$4:$B$13,2,0),"")</f>
        <v/>
      </c>
      <c r="AK74" s="14" t="str">
        <f aca="false">IFERROR(VLOOKUP(TRIM('📥 Respostas'!AN74),'⚙️ Config'!$A$4:$B$13,2,0),"")</f>
        <v/>
      </c>
      <c r="AL74" s="14" t="str">
        <f aca="false">IFERROR(VLOOKUP(TRIM('📥 Respostas'!AO74),'⚙️ Config'!$A$4:$B$13,2,0),"")</f>
        <v/>
      </c>
      <c r="AM74" s="14" t="str">
        <f aca="false">IFERROR(VLOOKUP(TRIM('📥 Respostas'!AP74),'⚙️ Config'!$A$4:$B$13,2,0),"")</f>
        <v/>
      </c>
      <c r="AN74" s="14" t="str">
        <f aca="false">IFERROR(VLOOKUP(TRIM('📥 Respostas'!AQ74),'⚙️ Config'!$A$4:$B$13,2,0),"")</f>
        <v/>
      </c>
      <c r="AO74" s="14" t="str">
        <f aca="false">IFERROR(VLOOKUP(TRIM('📥 Respostas'!AR74),'⚙️ Config'!$A$4:$B$13,2,0),"")</f>
        <v/>
      </c>
      <c r="AP74" s="14" t="str">
        <f aca="false">IFERROR(VLOOKUP(TRIM('📥 Respostas'!AS74),'⚙️ Config'!$A$4:$B$13,2,0),"")</f>
        <v/>
      </c>
      <c r="AQ74" s="14" t="str">
        <f aca="false">IFERROR(VLOOKUP(TRIM('📥 Respostas'!AT74),'⚙️ Config'!$A$4:$B$13,2,0),"")</f>
        <v/>
      </c>
      <c r="AR74" s="14" t="str">
        <f aca="false">IFERROR(VLOOKUP(TRIM('📥 Respostas'!AU74),'⚙️ Config'!$A$4:$B$13,2,0),"")</f>
        <v/>
      </c>
    </row>
    <row r="75" customFormat="false" ht="15" hidden="false" customHeight="false" outlineLevel="0" collapsed="false">
      <c r="A75" s="15" t="str">
        <f aca="false">IF(ISBLANK('📥 Respostas'!D75),"",ROW()-3)</f>
        <v/>
      </c>
      <c r="B75" s="15" t="n">
        <f aca="false">'📥 Respostas'!D75</f>
        <v>0</v>
      </c>
      <c r="C75" s="5" t="n">
        <f aca="false">'📥 Respostas'!C75</f>
        <v>0</v>
      </c>
      <c r="D75" s="14" t="str">
        <f aca="false">IFERROR(VLOOKUP(TRIM('📥 Respostas'!G75),'⚙️ Config'!$A$4:$B$13,2,0),"")</f>
        <v/>
      </c>
      <c r="E75" s="14" t="str">
        <f aca="false">IFERROR(VLOOKUP(TRIM('📥 Respostas'!H75),'⚙️ Config'!$A$4:$B$13,2,0),"")</f>
        <v/>
      </c>
      <c r="F75" s="14" t="str">
        <f aca="false">IFERROR(VLOOKUP(TRIM('📥 Respostas'!I75),'⚙️ Config'!$A$4:$B$13,2,0),"")</f>
        <v/>
      </c>
      <c r="G75" s="14" t="str">
        <f aca="false">IFERROR(VLOOKUP(TRIM('📥 Respostas'!J75),'⚙️ Config'!$A$4:$B$13,2,0),"")</f>
        <v/>
      </c>
      <c r="H75" s="14" t="str">
        <f aca="false">IFERROR(VLOOKUP(TRIM('📥 Respostas'!K75),'⚙️ Config'!$A$4:$B$13,2,0),"")</f>
        <v/>
      </c>
      <c r="I75" s="14" t="str">
        <f aca="false">IFERROR(VLOOKUP(TRIM('📥 Respostas'!L75),'⚙️ Config'!$A$4:$B$13,2,0),"")</f>
        <v/>
      </c>
      <c r="J75" s="14" t="str">
        <f aca="false">IFERROR(VLOOKUP(TRIM('📥 Respostas'!M75),'⚙️ Config'!$A$4:$B$13,2,0),"")</f>
        <v/>
      </c>
      <c r="K75" s="14" t="str">
        <f aca="false">IFERROR(VLOOKUP(TRIM('📥 Respostas'!N75),'⚙️ Config'!$A$4:$B$13,2,0),"")</f>
        <v/>
      </c>
      <c r="L75" s="14" t="str">
        <f aca="false">IFERROR(VLOOKUP(TRIM('📥 Respostas'!O75),'⚙️ Config'!$A$4:$B$13,2,0),"")</f>
        <v/>
      </c>
      <c r="M75" s="14" t="str">
        <f aca="false">IFERROR(VLOOKUP(TRIM('📥 Respostas'!P75),'⚙️ Config'!$A$4:$B$13,2,0),"")</f>
        <v/>
      </c>
      <c r="N75" s="14" t="str">
        <f aca="false">IFERROR(VLOOKUP(TRIM('📥 Respostas'!Q75),'⚙️ Config'!$A$4:$B$13,2,0),"")</f>
        <v/>
      </c>
      <c r="O75" s="14" t="str">
        <f aca="false">IFERROR(VLOOKUP(TRIM('📥 Respostas'!R75),'⚙️ Config'!$A$4:$B$13,2,0),"")</f>
        <v/>
      </c>
      <c r="P75" s="14" t="str">
        <f aca="false">IFERROR(VLOOKUP(TRIM('📥 Respostas'!S75),'⚙️ Config'!$A$4:$B$13,2,0),"")</f>
        <v/>
      </c>
      <c r="Q75" s="14" t="str">
        <f aca="false">IFERROR(VLOOKUP(TRIM('📥 Respostas'!T75),'⚙️ Config'!$A$4:$B$13,2,0),"")</f>
        <v/>
      </c>
      <c r="R75" s="14" t="str">
        <f aca="false">IFERROR(VLOOKUP(TRIM('📥 Respostas'!U75),'⚙️ Config'!$A$4:$B$13,2,0),"")</f>
        <v/>
      </c>
      <c r="S75" s="14" t="str">
        <f aca="false">IFERROR(VLOOKUP(TRIM('📥 Respostas'!V75),'⚙️ Config'!$A$4:$B$13,2,0),"")</f>
        <v/>
      </c>
      <c r="T75" s="14" t="str">
        <f aca="false">IFERROR(VLOOKUP(TRIM('📥 Respostas'!W75),'⚙️ Config'!$A$4:$B$13,2,0),"")</f>
        <v/>
      </c>
      <c r="U75" s="14" t="str">
        <f aca="false">IFERROR(VLOOKUP(TRIM('📥 Respostas'!X75),'⚙️ Config'!$A$4:$B$13,2,0),"")</f>
        <v/>
      </c>
      <c r="V75" s="14" t="str">
        <f aca="false">IFERROR(VLOOKUP(TRIM('📥 Respostas'!Y75),'⚙️ Config'!$A$4:$B$13,2,0),"")</f>
        <v/>
      </c>
      <c r="W75" s="14" t="str">
        <f aca="false">IFERROR(VLOOKUP(TRIM('📥 Respostas'!Z75),'⚙️ Config'!$A$4:$B$13,2,0),"")</f>
        <v/>
      </c>
      <c r="X75" s="14" t="str">
        <f aca="false">IFERROR(VLOOKUP(TRIM('📥 Respostas'!AA75),'⚙️ Config'!$A$4:$B$13,2,0),"")</f>
        <v/>
      </c>
      <c r="Y75" s="14" t="str">
        <f aca="false">IFERROR(VLOOKUP(TRIM('📥 Respostas'!AB75),'⚙️ Config'!$A$4:$B$13,2,0),"")</f>
        <v/>
      </c>
      <c r="Z75" s="14" t="str">
        <f aca="false">IFERROR(VLOOKUP(TRIM('📥 Respostas'!AC75),'⚙️ Config'!$A$4:$B$13,2,0),"")</f>
        <v/>
      </c>
      <c r="AA75" s="14" t="str">
        <f aca="false">IFERROR(VLOOKUP(TRIM('📥 Respostas'!AD75),'⚙️ Config'!$A$4:$B$13,2,0),"")</f>
        <v/>
      </c>
      <c r="AB75" s="14" t="str">
        <f aca="false">IFERROR(VLOOKUP(TRIM('📥 Respostas'!AE75),'⚙️ Config'!$A$4:$B$13,2,0),"")</f>
        <v/>
      </c>
      <c r="AC75" s="14" t="str">
        <f aca="false">IFERROR(VLOOKUP(TRIM('📥 Respostas'!AF75),'⚙️ Config'!$A$4:$B$13,2,0),"")</f>
        <v/>
      </c>
      <c r="AD75" s="14" t="str">
        <f aca="false">IFERROR(VLOOKUP(TRIM('📥 Respostas'!AG75),'⚙️ Config'!$A$4:$B$13,2,0),"")</f>
        <v/>
      </c>
      <c r="AE75" s="14" t="str">
        <f aca="false">IFERROR(VLOOKUP(TRIM('📥 Respostas'!AH75),'⚙️ Config'!$A$4:$B$13,2,0),"")</f>
        <v/>
      </c>
      <c r="AF75" s="14" t="str">
        <f aca="false">IFERROR(VLOOKUP(TRIM('📥 Respostas'!AI75),'⚙️ Config'!$C$4:$D$11,2,0),"")</f>
        <v/>
      </c>
      <c r="AG75" s="14" t="str">
        <f aca="false">IFERROR(VLOOKUP(TRIM('📥 Respostas'!AJ75),'⚙️ Config'!$A$4:$B$13,2,0),"")</f>
        <v/>
      </c>
      <c r="AH75" s="14" t="str">
        <f aca="false">IFERROR(VLOOKUP(TRIM('📥 Respostas'!AK75),'⚙️ Config'!$A$4:$B$13,2,0),"")</f>
        <v/>
      </c>
      <c r="AI75" s="14" t="str">
        <f aca="false">IFERROR(VLOOKUP(TRIM('📥 Respostas'!AL75),'⚙️ Config'!$A$4:$B$13,2,0),"")</f>
        <v/>
      </c>
      <c r="AJ75" s="14" t="str">
        <f aca="false">IFERROR(VLOOKUP(TRIM('📥 Respostas'!AM75),'⚙️ Config'!$A$4:$B$13,2,0),"")</f>
        <v/>
      </c>
      <c r="AK75" s="14" t="str">
        <f aca="false">IFERROR(VLOOKUP(TRIM('📥 Respostas'!AN75),'⚙️ Config'!$A$4:$B$13,2,0),"")</f>
        <v/>
      </c>
      <c r="AL75" s="14" t="str">
        <f aca="false">IFERROR(VLOOKUP(TRIM('📥 Respostas'!AO75),'⚙️ Config'!$A$4:$B$13,2,0),"")</f>
        <v/>
      </c>
      <c r="AM75" s="14" t="str">
        <f aca="false">IFERROR(VLOOKUP(TRIM('📥 Respostas'!AP75),'⚙️ Config'!$A$4:$B$13,2,0),"")</f>
        <v/>
      </c>
      <c r="AN75" s="14" t="str">
        <f aca="false">IFERROR(VLOOKUP(TRIM('📥 Respostas'!AQ75),'⚙️ Config'!$A$4:$B$13,2,0),"")</f>
        <v/>
      </c>
      <c r="AO75" s="14" t="str">
        <f aca="false">IFERROR(VLOOKUP(TRIM('📥 Respostas'!AR75),'⚙️ Config'!$A$4:$B$13,2,0),"")</f>
        <v/>
      </c>
      <c r="AP75" s="14" t="str">
        <f aca="false">IFERROR(VLOOKUP(TRIM('📥 Respostas'!AS75),'⚙️ Config'!$A$4:$B$13,2,0),"")</f>
        <v/>
      </c>
      <c r="AQ75" s="14" t="str">
        <f aca="false">IFERROR(VLOOKUP(TRIM('📥 Respostas'!AT75),'⚙️ Config'!$A$4:$B$13,2,0),"")</f>
        <v/>
      </c>
      <c r="AR75" s="14" t="str">
        <f aca="false">IFERROR(VLOOKUP(TRIM('📥 Respostas'!AU75),'⚙️ Config'!$A$4:$B$13,2,0),"")</f>
        <v/>
      </c>
    </row>
    <row r="76" customFormat="false" ht="15" hidden="false" customHeight="false" outlineLevel="0" collapsed="false">
      <c r="A76" s="12" t="str">
        <f aca="false">IF(ISBLANK('📥 Respostas'!D76),"",ROW()-3)</f>
        <v/>
      </c>
      <c r="B76" s="12" t="n">
        <f aca="false">'📥 Respostas'!D76</f>
        <v>0</v>
      </c>
      <c r="C76" s="13" t="n">
        <f aca="false">'📥 Respostas'!C76</f>
        <v>0</v>
      </c>
      <c r="D76" s="14" t="str">
        <f aca="false">IFERROR(VLOOKUP(TRIM('📥 Respostas'!G76),'⚙️ Config'!$A$4:$B$13,2,0),"")</f>
        <v/>
      </c>
      <c r="E76" s="14" t="str">
        <f aca="false">IFERROR(VLOOKUP(TRIM('📥 Respostas'!H76),'⚙️ Config'!$A$4:$B$13,2,0),"")</f>
        <v/>
      </c>
      <c r="F76" s="14" t="str">
        <f aca="false">IFERROR(VLOOKUP(TRIM('📥 Respostas'!I76),'⚙️ Config'!$A$4:$B$13,2,0),"")</f>
        <v/>
      </c>
      <c r="G76" s="14" t="str">
        <f aca="false">IFERROR(VLOOKUP(TRIM('📥 Respostas'!J76),'⚙️ Config'!$A$4:$B$13,2,0),"")</f>
        <v/>
      </c>
      <c r="H76" s="14" t="str">
        <f aca="false">IFERROR(VLOOKUP(TRIM('📥 Respostas'!K76),'⚙️ Config'!$A$4:$B$13,2,0),"")</f>
        <v/>
      </c>
      <c r="I76" s="14" t="str">
        <f aca="false">IFERROR(VLOOKUP(TRIM('📥 Respostas'!L76),'⚙️ Config'!$A$4:$B$13,2,0),"")</f>
        <v/>
      </c>
      <c r="J76" s="14" t="str">
        <f aca="false">IFERROR(VLOOKUP(TRIM('📥 Respostas'!M76),'⚙️ Config'!$A$4:$B$13,2,0),"")</f>
        <v/>
      </c>
      <c r="K76" s="14" t="str">
        <f aca="false">IFERROR(VLOOKUP(TRIM('📥 Respostas'!N76),'⚙️ Config'!$A$4:$B$13,2,0),"")</f>
        <v/>
      </c>
      <c r="L76" s="14" t="str">
        <f aca="false">IFERROR(VLOOKUP(TRIM('📥 Respostas'!O76),'⚙️ Config'!$A$4:$B$13,2,0),"")</f>
        <v/>
      </c>
      <c r="M76" s="14" t="str">
        <f aca="false">IFERROR(VLOOKUP(TRIM('📥 Respostas'!P76),'⚙️ Config'!$A$4:$B$13,2,0),"")</f>
        <v/>
      </c>
      <c r="N76" s="14" t="str">
        <f aca="false">IFERROR(VLOOKUP(TRIM('📥 Respostas'!Q76),'⚙️ Config'!$A$4:$B$13,2,0),"")</f>
        <v/>
      </c>
      <c r="O76" s="14" t="str">
        <f aca="false">IFERROR(VLOOKUP(TRIM('📥 Respostas'!R76),'⚙️ Config'!$A$4:$B$13,2,0),"")</f>
        <v/>
      </c>
      <c r="P76" s="14" t="str">
        <f aca="false">IFERROR(VLOOKUP(TRIM('📥 Respostas'!S76),'⚙️ Config'!$A$4:$B$13,2,0),"")</f>
        <v/>
      </c>
      <c r="Q76" s="14" t="str">
        <f aca="false">IFERROR(VLOOKUP(TRIM('📥 Respostas'!T76),'⚙️ Config'!$A$4:$B$13,2,0),"")</f>
        <v/>
      </c>
      <c r="R76" s="14" t="str">
        <f aca="false">IFERROR(VLOOKUP(TRIM('📥 Respostas'!U76),'⚙️ Config'!$A$4:$B$13,2,0),"")</f>
        <v/>
      </c>
      <c r="S76" s="14" t="str">
        <f aca="false">IFERROR(VLOOKUP(TRIM('📥 Respostas'!V76),'⚙️ Config'!$A$4:$B$13,2,0),"")</f>
        <v/>
      </c>
      <c r="T76" s="14" t="str">
        <f aca="false">IFERROR(VLOOKUP(TRIM('📥 Respostas'!W76),'⚙️ Config'!$A$4:$B$13,2,0),"")</f>
        <v/>
      </c>
      <c r="U76" s="14" t="str">
        <f aca="false">IFERROR(VLOOKUP(TRIM('📥 Respostas'!X76),'⚙️ Config'!$A$4:$B$13,2,0),"")</f>
        <v/>
      </c>
      <c r="V76" s="14" t="str">
        <f aca="false">IFERROR(VLOOKUP(TRIM('📥 Respostas'!Y76),'⚙️ Config'!$A$4:$B$13,2,0),"")</f>
        <v/>
      </c>
      <c r="W76" s="14" t="str">
        <f aca="false">IFERROR(VLOOKUP(TRIM('📥 Respostas'!Z76),'⚙️ Config'!$A$4:$B$13,2,0),"")</f>
        <v/>
      </c>
      <c r="X76" s="14" t="str">
        <f aca="false">IFERROR(VLOOKUP(TRIM('📥 Respostas'!AA76),'⚙️ Config'!$A$4:$B$13,2,0),"")</f>
        <v/>
      </c>
      <c r="Y76" s="14" t="str">
        <f aca="false">IFERROR(VLOOKUP(TRIM('📥 Respostas'!AB76),'⚙️ Config'!$A$4:$B$13,2,0),"")</f>
        <v/>
      </c>
      <c r="Z76" s="14" t="str">
        <f aca="false">IFERROR(VLOOKUP(TRIM('📥 Respostas'!AC76),'⚙️ Config'!$A$4:$B$13,2,0),"")</f>
        <v/>
      </c>
      <c r="AA76" s="14" t="str">
        <f aca="false">IFERROR(VLOOKUP(TRIM('📥 Respostas'!AD76),'⚙️ Config'!$A$4:$B$13,2,0),"")</f>
        <v/>
      </c>
      <c r="AB76" s="14" t="str">
        <f aca="false">IFERROR(VLOOKUP(TRIM('📥 Respostas'!AE76),'⚙️ Config'!$A$4:$B$13,2,0),"")</f>
        <v/>
      </c>
      <c r="AC76" s="14" t="str">
        <f aca="false">IFERROR(VLOOKUP(TRIM('📥 Respostas'!AF76),'⚙️ Config'!$A$4:$B$13,2,0),"")</f>
        <v/>
      </c>
      <c r="AD76" s="14" t="str">
        <f aca="false">IFERROR(VLOOKUP(TRIM('📥 Respostas'!AG76),'⚙️ Config'!$A$4:$B$13,2,0),"")</f>
        <v/>
      </c>
      <c r="AE76" s="14" t="str">
        <f aca="false">IFERROR(VLOOKUP(TRIM('📥 Respostas'!AH76),'⚙️ Config'!$A$4:$B$13,2,0),"")</f>
        <v/>
      </c>
      <c r="AF76" s="14" t="str">
        <f aca="false">IFERROR(VLOOKUP(TRIM('📥 Respostas'!AI76),'⚙️ Config'!$C$4:$D$11,2,0),"")</f>
        <v/>
      </c>
      <c r="AG76" s="14" t="str">
        <f aca="false">IFERROR(VLOOKUP(TRIM('📥 Respostas'!AJ76),'⚙️ Config'!$A$4:$B$13,2,0),"")</f>
        <v/>
      </c>
      <c r="AH76" s="14" t="str">
        <f aca="false">IFERROR(VLOOKUP(TRIM('📥 Respostas'!AK76),'⚙️ Config'!$A$4:$B$13,2,0),"")</f>
        <v/>
      </c>
      <c r="AI76" s="14" t="str">
        <f aca="false">IFERROR(VLOOKUP(TRIM('📥 Respostas'!AL76),'⚙️ Config'!$A$4:$B$13,2,0),"")</f>
        <v/>
      </c>
      <c r="AJ76" s="14" t="str">
        <f aca="false">IFERROR(VLOOKUP(TRIM('📥 Respostas'!AM76),'⚙️ Config'!$A$4:$B$13,2,0),"")</f>
        <v/>
      </c>
      <c r="AK76" s="14" t="str">
        <f aca="false">IFERROR(VLOOKUP(TRIM('📥 Respostas'!AN76),'⚙️ Config'!$A$4:$B$13,2,0),"")</f>
        <v/>
      </c>
      <c r="AL76" s="14" t="str">
        <f aca="false">IFERROR(VLOOKUP(TRIM('📥 Respostas'!AO76),'⚙️ Config'!$A$4:$B$13,2,0),"")</f>
        <v/>
      </c>
      <c r="AM76" s="14" t="str">
        <f aca="false">IFERROR(VLOOKUP(TRIM('📥 Respostas'!AP76),'⚙️ Config'!$A$4:$B$13,2,0),"")</f>
        <v/>
      </c>
      <c r="AN76" s="14" t="str">
        <f aca="false">IFERROR(VLOOKUP(TRIM('📥 Respostas'!AQ76),'⚙️ Config'!$A$4:$B$13,2,0),"")</f>
        <v/>
      </c>
      <c r="AO76" s="14" t="str">
        <f aca="false">IFERROR(VLOOKUP(TRIM('📥 Respostas'!AR76),'⚙️ Config'!$A$4:$B$13,2,0),"")</f>
        <v/>
      </c>
      <c r="AP76" s="14" t="str">
        <f aca="false">IFERROR(VLOOKUP(TRIM('📥 Respostas'!AS76),'⚙️ Config'!$A$4:$B$13,2,0),"")</f>
        <v/>
      </c>
      <c r="AQ76" s="14" t="str">
        <f aca="false">IFERROR(VLOOKUP(TRIM('📥 Respostas'!AT76),'⚙️ Config'!$A$4:$B$13,2,0),"")</f>
        <v/>
      </c>
      <c r="AR76" s="14" t="str">
        <f aca="false">IFERROR(VLOOKUP(TRIM('📥 Respostas'!AU76),'⚙️ Config'!$A$4:$B$13,2,0),"")</f>
        <v/>
      </c>
    </row>
    <row r="77" customFormat="false" ht="15" hidden="false" customHeight="false" outlineLevel="0" collapsed="false">
      <c r="A77" s="15" t="str">
        <f aca="false">IF(ISBLANK('📥 Respostas'!D77),"",ROW()-3)</f>
        <v/>
      </c>
      <c r="B77" s="15" t="n">
        <f aca="false">'📥 Respostas'!D77</f>
        <v>0</v>
      </c>
      <c r="C77" s="5" t="n">
        <f aca="false">'📥 Respostas'!C77</f>
        <v>0</v>
      </c>
      <c r="D77" s="14" t="str">
        <f aca="false">IFERROR(VLOOKUP(TRIM('📥 Respostas'!G77),'⚙️ Config'!$A$4:$B$13,2,0),"")</f>
        <v/>
      </c>
      <c r="E77" s="14" t="str">
        <f aca="false">IFERROR(VLOOKUP(TRIM('📥 Respostas'!H77),'⚙️ Config'!$A$4:$B$13,2,0),"")</f>
        <v/>
      </c>
      <c r="F77" s="14" t="str">
        <f aca="false">IFERROR(VLOOKUP(TRIM('📥 Respostas'!I77),'⚙️ Config'!$A$4:$B$13,2,0),"")</f>
        <v/>
      </c>
      <c r="G77" s="14" t="str">
        <f aca="false">IFERROR(VLOOKUP(TRIM('📥 Respostas'!J77),'⚙️ Config'!$A$4:$B$13,2,0),"")</f>
        <v/>
      </c>
      <c r="H77" s="14" t="str">
        <f aca="false">IFERROR(VLOOKUP(TRIM('📥 Respostas'!K77),'⚙️ Config'!$A$4:$B$13,2,0),"")</f>
        <v/>
      </c>
      <c r="I77" s="14" t="str">
        <f aca="false">IFERROR(VLOOKUP(TRIM('📥 Respostas'!L77),'⚙️ Config'!$A$4:$B$13,2,0),"")</f>
        <v/>
      </c>
      <c r="J77" s="14" t="str">
        <f aca="false">IFERROR(VLOOKUP(TRIM('📥 Respostas'!M77),'⚙️ Config'!$A$4:$B$13,2,0),"")</f>
        <v/>
      </c>
      <c r="K77" s="14" t="str">
        <f aca="false">IFERROR(VLOOKUP(TRIM('📥 Respostas'!N77),'⚙️ Config'!$A$4:$B$13,2,0),"")</f>
        <v/>
      </c>
      <c r="L77" s="14" t="str">
        <f aca="false">IFERROR(VLOOKUP(TRIM('📥 Respostas'!O77),'⚙️ Config'!$A$4:$B$13,2,0),"")</f>
        <v/>
      </c>
      <c r="M77" s="14" t="str">
        <f aca="false">IFERROR(VLOOKUP(TRIM('📥 Respostas'!P77),'⚙️ Config'!$A$4:$B$13,2,0),"")</f>
        <v/>
      </c>
      <c r="N77" s="14" t="str">
        <f aca="false">IFERROR(VLOOKUP(TRIM('📥 Respostas'!Q77),'⚙️ Config'!$A$4:$B$13,2,0),"")</f>
        <v/>
      </c>
      <c r="O77" s="14" t="str">
        <f aca="false">IFERROR(VLOOKUP(TRIM('📥 Respostas'!R77),'⚙️ Config'!$A$4:$B$13,2,0),"")</f>
        <v/>
      </c>
      <c r="P77" s="14" t="str">
        <f aca="false">IFERROR(VLOOKUP(TRIM('📥 Respostas'!S77),'⚙️ Config'!$A$4:$B$13,2,0),"")</f>
        <v/>
      </c>
      <c r="Q77" s="14" t="str">
        <f aca="false">IFERROR(VLOOKUP(TRIM('📥 Respostas'!T77),'⚙️ Config'!$A$4:$B$13,2,0),"")</f>
        <v/>
      </c>
      <c r="R77" s="14" t="str">
        <f aca="false">IFERROR(VLOOKUP(TRIM('📥 Respostas'!U77),'⚙️ Config'!$A$4:$B$13,2,0),"")</f>
        <v/>
      </c>
      <c r="S77" s="14" t="str">
        <f aca="false">IFERROR(VLOOKUP(TRIM('📥 Respostas'!V77),'⚙️ Config'!$A$4:$B$13,2,0),"")</f>
        <v/>
      </c>
      <c r="T77" s="14" t="str">
        <f aca="false">IFERROR(VLOOKUP(TRIM('📥 Respostas'!W77),'⚙️ Config'!$A$4:$B$13,2,0),"")</f>
        <v/>
      </c>
      <c r="U77" s="14" t="str">
        <f aca="false">IFERROR(VLOOKUP(TRIM('📥 Respostas'!X77),'⚙️ Config'!$A$4:$B$13,2,0),"")</f>
        <v/>
      </c>
      <c r="V77" s="14" t="str">
        <f aca="false">IFERROR(VLOOKUP(TRIM('📥 Respostas'!Y77),'⚙️ Config'!$A$4:$B$13,2,0),"")</f>
        <v/>
      </c>
      <c r="W77" s="14" t="str">
        <f aca="false">IFERROR(VLOOKUP(TRIM('📥 Respostas'!Z77),'⚙️ Config'!$A$4:$B$13,2,0),"")</f>
        <v/>
      </c>
      <c r="X77" s="14" t="str">
        <f aca="false">IFERROR(VLOOKUP(TRIM('📥 Respostas'!AA77),'⚙️ Config'!$A$4:$B$13,2,0),"")</f>
        <v/>
      </c>
      <c r="Y77" s="14" t="str">
        <f aca="false">IFERROR(VLOOKUP(TRIM('📥 Respostas'!AB77),'⚙️ Config'!$A$4:$B$13,2,0),"")</f>
        <v/>
      </c>
      <c r="Z77" s="14" t="str">
        <f aca="false">IFERROR(VLOOKUP(TRIM('📥 Respostas'!AC77),'⚙️ Config'!$A$4:$B$13,2,0),"")</f>
        <v/>
      </c>
      <c r="AA77" s="14" t="str">
        <f aca="false">IFERROR(VLOOKUP(TRIM('📥 Respostas'!AD77),'⚙️ Config'!$A$4:$B$13,2,0),"")</f>
        <v/>
      </c>
      <c r="AB77" s="14" t="str">
        <f aca="false">IFERROR(VLOOKUP(TRIM('📥 Respostas'!AE77),'⚙️ Config'!$A$4:$B$13,2,0),"")</f>
        <v/>
      </c>
      <c r="AC77" s="14" t="str">
        <f aca="false">IFERROR(VLOOKUP(TRIM('📥 Respostas'!AF77),'⚙️ Config'!$A$4:$B$13,2,0),"")</f>
        <v/>
      </c>
      <c r="AD77" s="14" t="str">
        <f aca="false">IFERROR(VLOOKUP(TRIM('📥 Respostas'!AG77),'⚙️ Config'!$A$4:$B$13,2,0),"")</f>
        <v/>
      </c>
      <c r="AE77" s="14" t="str">
        <f aca="false">IFERROR(VLOOKUP(TRIM('📥 Respostas'!AH77),'⚙️ Config'!$A$4:$B$13,2,0),"")</f>
        <v/>
      </c>
      <c r="AF77" s="14" t="str">
        <f aca="false">IFERROR(VLOOKUP(TRIM('📥 Respostas'!AI77),'⚙️ Config'!$C$4:$D$11,2,0),"")</f>
        <v/>
      </c>
      <c r="AG77" s="14" t="str">
        <f aca="false">IFERROR(VLOOKUP(TRIM('📥 Respostas'!AJ77),'⚙️ Config'!$A$4:$B$13,2,0),"")</f>
        <v/>
      </c>
      <c r="AH77" s="14" t="str">
        <f aca="false">IFERROR(VLOOKUP(TRIM('📥 Respostas'!AK77),'⚙️ Config'!$A$4:$B$13,2,0),"")</f>
        <v/>
      </c>
      <c r="AI77" s="14" t="str">
        <f aca="false">IFERROR(VLOOKUP(TRIM('📥 Respostas'!AL77),'⚙️ Config'!$A$4:$B$13,2,0),"")</f>
        <v/>
      </c>
      <c r="AJ77" s="14" t="str">
        <f aca="false">IFERROR(VLOOKUP(TRIM('📥 Respostas'!AM77),'⚙️ Config'!$A$4:$B$13,2,0),"")</f>
        <v/>
      </c>
      <c r="AK77" s="14" t="str">
        <f aca="false">IFERROR(VLOOKUP(TRIM('📥 Respostas'!AN77),'⚙️ Config'!$A$4:$B$13,2,0),"")</f>
        <v/>
      </c>
      <c r="AL77" s="14" t="str">
        <f aca="false">IFERROR(VLOOKUP(TRIM('📥 Respostas'!AO77),'⚙️ Config'!$A$4:$B$13,2,0),"")</f>
        <v/>
      </c>
      <c r="AM77" s="14" t="str">
        <f aca="false">IFERROR(VLOOKUP(TRIM('📥 Respostas'!AP77),'⚙️ Config'!$A$4:$B$13,2,0),"")</f>
        <v/>
      </c>
      <c r="AN77" s="14" t="str">
        <f aca="false">IFERROR(VLOOKUP(TRIM('📥 Respostas'!AQ77),'⚙️ Config'!$A$4:$B$13,2,0),"")</f>
        <v/>
      </c>
      <c r="AO77" s="14" t="str">
        <f aca="false">IFERROR(VLOOKUP(TRIM('📥 Respostas'!AR77),'⚙️ Config'!$A$4:$B$13,2,0),"")</f>
        <v/>
      </c>
      <c r="AP77" s="14" t="str">
        <f aca="false">IFERROR(VLOOKUP(TRIM('📥 Respostas'!AS77),'⚙️ Config'!$A$4:$B$13,2,0),"")</f>
        <v/>
      </c>
      <c r="AQ77" s="14" t="str">
        <f aca="false">IFERROR(VLOOKUP(TRIM('📥 Respostas'!AT77),'⚙️ Config'!$A$4:$B$13,2,0),"")</f>
        <v/>
      </c>
      <c r="AR77" s="14" t="str">
        <f aca="false">IFERROR(VLOOKUP(TRIM('📥 Respostas'!AU77),'⚙️ Config'!$A$4:$B$13,2,0),"")</f>
        <v/>
      </c>
    </row>
    <row r="78" customFormat="false" ht="15" hidden="false" customHeight="false" outlineLevel="0" collapsed="false">
      <c r="A78" s="12" t="str">
        <f aca="false">IF(ISBLANK('📥 Respostas'!D78),"",ROW()-3)</f>
        <v/>
      </c>
      <c r="B78" s="12" t="n">
        <f aca="false">'📥 Respostas'!D78</f>
        <v>0</v>
      </c>
      <c r="C78" s="13" t="n">
        <f aca="false">'📥 Respostas'!C78</f>
        <v>0</v>
      </c>
      <c r="D78" s="14" t="str">
        <f aca="false">IFERROR(VLOOKUP(TRIM('📥 Respostas'!G78),'⚙️ Config'!$A$4:$B$13,2,0),"")</f>
        <v/>
      </c>
      <c r="E78" s="14" t="str">
        <f aca="false">IFERROR(VLOOKUP(TRIM('📥 Respostas'!H78),'⚙️ Config'!$A$4:$B$13,2,0),"")</f>
        <v/>
      </c>
      <c r="F78" s="14" t="str">
        <f aca="false">IFERROR(VLOOKUP(TRIM('📥 Respostas'!I78),'⚙️ Config'!$A$4:$B$13,2,0),"")</f>
        <v/>
      </c>
      <c r="G78" s="14" t="str">
        <f aca="false">IFERROR(VLOOKUP(TRIM('📥 Respostas'!J78),'⚙️ Config'!$A$4:$B$13,2,0),"")</f>
        <v/>
      </c>
      <c r="H78" s="14" t="str">
        <f aca="false">IFERROR(VLOOKUP(TRIM('📥 Respostas'!K78),'⚙️ Config'!$A$4:$B$13,2,0),"")</f>
        <v/>
      </c>
      <c r="I78" s="14" t="str">
        <f aca="false">IFERROR(VLOOKUP(TRIM('📥 Respostas'!L78),'⚙️ Config'!$A$4:$B$13,2,0),"")</f>
        <v/>
      </c>
      <c r="J78" s="14" t="str">
        <f aca="false">IFERROR(VLOOKUP(TRIM('📥 Respostas'!M78),'⚙️ Config'!$A$4:$B$13,2,0),"")</f>
        <v/>
      </c>
      <c r="K78" s="14" t="str">
        <f aca="false">IFERROR(VLOOKUP(TRIM('📥 Respostas'!N78),'⚙️ Config'!$A$4:$B$13,2,0),"")</f>
        <v/>
      </c>
      <c r="L78" s="14" t="str">
        <f aca="false">IFERROR(VLOOKUP(TRIM('📥 Respostas'!O78),'⚙️ Config'!$A$4:$B$13,2,0),"")</f>
        <v/>
      </c>
      <c r="M78" s="14" t="str">
        <f aca="false">IFERROR(VLOOKUP(TRIM('📥 Respostas'!P78),'⚙️ Config'!$A$4:$B$13,2,0),"")</f>
        <v/>
      </c>
      <c r="N78" s="14" t="str">
        <f aca="false">IFERROR(VLOOKUP(TRIM('📥 Respostas'!Q78),'⚙️ Config'!$A$4:$B$13,2,0),"")</f>
        <v/>
      </c>
      <c r="O78" s="14" t="str">
        <f aca="false">IFERROR(VLOOKUP(TRIM('📥 Respostas'!R78),'⚙️ Config'!$A$4:$B$13,2,0),"")</f>
        <v/>
      </c>
      <c r="P78" s="14" t="str">
        <f aca="false">IFERROR(VLOOKUP(TRIM('📥 Respostas'!S78),'⚙️ Config'!$A$4:$B$13,2,0),"")</f>
        <v/>
      </c>
      <c r="Q78" s="14" t="str">
        <f aca="false">IFERROR(VLOOKUP(TRIM('📥 Respostas'!T78),'⚙️ Config'!$A$4:$B$13,2,0),"")</f>
        <v/>
      </c>
      <c r="R78" s="14" t="str">
        <f aca="false">IFERROR(VLOOKUP(TRIM('📥 Respostas'!U78),'⚙️ Config'!$A$4:$B$13,2,0),"")</f>
        <v/>
      </c>
      <c r="S78" s="14" t="str">
        <f aca="false">IFERROR(VLOOKUP(TRIM('📥 Respostas'!V78),'⚙️ Config'!$A$4:$B$13,2,0),"")</f>
        <v/>
      </c>
      <c r="T78" s="14" t="str">
        <f aca="false">IFERROR(VLOOKUP(TRIM('📥 Respostas'!W78),'⚙️ Config'!$A$4:$B$13,2,0),"")</f>
        <v/>
      </c>
      <c r="U78" s="14" t="str">
        <f aca="false">IFERROR(VLOOKUP(TRIM('📥 Respostas'!X78),'⚙️ Config'!$A$4:$B$13,2,0),"")</f>
        <v/>
      </c>
      <c r="V78" s="14" t="str">
        <f aca="false">IFERROR(VLOOKUP(TRIM('📥 Respostas'!Y78),'⚙️ Config'!$A$4:$B$13,2,0),"")</f>
        <v/>
      </c>
      <c r="W78" s="14" t="str">
        <f aca="false">IFERROR(VLOOKUP(TRIM('📥 Respostas'!Z78),'⚙️ Config'!$A$4:$B$13,2,0),"")</f>
        <v/>
      </c>
      <c r="X78" s="14" t="str">
        <f aca="false">IFERROR(VLOOKUP(TRIM('📥 Respostas'!AA78),'⚙️ Config'!$A$4:$B$13,2,0),"")</f>
        <v/>
      </c>
      <c r="Y78" s="14" t="str">
        <f aca="false">IFERROR(VLOOKUP(TRIM('📥 Respostas'!AB78),'⚙️ Config'!$A$4:$B$13,2,0),"")</f>
        <v/>
      </c>
      <c r="Z78" s="14" t="str">
        <f aca="false">IFERROR(VLOOKUP(TRIM('📥 Respostas'!AC78),'⚙️ Config'!$A$4:$B$13,2,0),"")</f>
        <v/>
      </c>
      <c r="AA78" s="14" t="str">
        <f aca="false">IFERROR(VLOOKUP(TRIM('📥 Respostas'!AD78),'⚙️ Config'!$A$4:$B$13,2,0),"")</f>
        <v/>
      </c>
      <c r="AB78" s="14" t="str">
        <f aca="false">IFERROR(VLOOKUP(TRIM('📥 Respostas'!AE78),'⚙️ Config'!$A$4:$B$13,2,0),"")</f>
        <v/>
      </c>
      <c r="AC78" s="14" t="str">
        <f aca="false">IFERROR(VLOOKUP(TRIM('📥 Respostas'!AF78),'⚙️ Config'!$A$4:$B$13,2,0),"")</f>
        <v/>
      </c>
      <c r="AD78" s="14" t="str">
        <f aca="false">IFERROR(VLOOKUP(TRIM('📥 Respostas'!AG78),'⚙️ Config'!$A$4:$B$13,2,0),"")</f>
        <v/>
      </c>
      <c r="AE78" s="14" t="str">
        <f aca="false">IFERROR(VLOOKUP(TRIM('📥 Respostas'!AH78),'⚙️ Config'!$A$4:$B$13,2,0),"")</f>
        <v/>
      </c>
      <c r="AF78" s="14" t="str">
        <f aca="false">IFERROR(VLOOKUP(TRIM('📥 Respostas'!AI78),'⚙️ Config'!$C$4:$D$11,2,0),"")</f>
        <v/>
      </c>
      <c r="AG78" s="14" t="str">
        <f aca="false">IFERROR(VLOOKUP(TRIM('📥 Respostas'!AJ78),'⚙️ Config'!$A$4:$B$13,2,0),"")</f>
        <v/>
      </c>
      <c r="AH78" s="14" t="str">
        <f aca="false">IFERROR(VLOOKUP(TRIM('📥 Respostas'!AK78),'⚙️ Config'!$A$4:$B$13,2,0),"")</f>
        <v/>
      </c>
      <c r="AI78" s="14" t="str">
        <f aca="false">IFERROR(VLOOKUP(TRIM('📥 Respostas'!AL78),'⚙️ Config'!$A$4:$B$13,2,0),"")</f>
        <v/>
      </c>
      <c r="AJ78" s="14" t="str">
        <f aca="false">IFERROR(VLOOKUP(TRIM('📥 Respostas'!AM78),'⚙️ Config'!$A$4:$B$13,2,0),"")</f>
        <v/>
      </c>
      <c r="AK78" s="14" t="str">
        <f aca="false">IFERROR(VLOOKUP(TRIM('📥 Respostas'!AN78),'⚙️ Config'!$A$4:$B$13,2,0),"")</f>
        <v/>
      </c>
      <c r="AL78" s="14" t="str">
        <f aca="false">IFERROR(VLOOKUP(TRIM('📥 Respostas'!AO78),'⚙️ Config'!$A$4:$B$13,2,0),"")</f>
        <v/>
      </c>
      <c r="AM78" s="14" t="str">
        <f aca="false">IFERROR(VLOOKUP(TRIM('📥 Respostas'!AP78),'⚙️ Config'!$A$4:$B$13,2,0),"")</f>
        <v/>
      </c>
      <c r="AN78" s="14" t="str">
        <f aca="false">IFERROR(VLOOKUP(TRIM('📥 Respostas'!AQ78),'⚙️ Config'!$A$4:$B$13,2,0),"")</f>
        <v/>
      </c>
      <c r="AO78" s="14" t="str">
        <f aca="false">IFERROR(VLOOKUP(TRIM('📥 Respostas'!AR78),'⚙️ Config'!$A$4:$B$13,2,0),"")</f>
        <v/>
      </c>
      <c r="AP78" s="14" t="str">
        <f aca="false">IFERROR(VLOOKUP(TRIM('📥 Respostas'!AS78),'⚙️ Config'!$A$4:$B$13,2,0),"")</f>
        <v/>
      </c>
      <c r="AQ78" s="14" t="str">
        <f aca="false">IFERROR(VLOOKUP(TRIM('📥 Respostas'!AT78),'⚙️ Config'!$A$4:$B$13,2,0),"")</f>
        <v/>
      </c>
      <c r="AR78" s="14" t="str">
        <f aca="false">IFERROR(VLOOKUP(TRIM('📥 Respostas'!AU78),'⚙️ Config'!$A$4:$B$13,2,0),"")</f>
        <v/>
      </c>
    </row>
    <row r="79" customFormat="false" ht="15" hidden="false" customHeight="false" outlineLevel="0" collapsed="false">
      <c r="A79" s="15" t="str">
        <f aca="false">IF(ISBLANK('📥 Respostas'!D79),"",ROW()-3)</f>
        <v/>
      </c>
      <c r="B79" s="15" t="n">
        <f aca="false">'📥 Respostas'!D79</f>
        <v>0</v>
      </c>
      <c r="C79" s="5" t="n">
        <f aca="false">'📥 Respostas'!C79</f>
        <v>0</v>
      </c>
      <c r="D79" s="14" t="str">
        <f aca="false">IFERROR(VLOOKUP(TRIM('📥 Respostas'!G79),'⚙️ Config'!$A$4:$B$13,2,0),"")</f>
        <v/>
      </c>
      <c r="E79" s="14" t="str">
        <f aca="false">IFERROR(VLOOKUP(TRIM('📥 Respostas'!H79),'⚙️ Config'!$A$4:$B$13,2,0),"")</f>
        <v/>
      </c>
      <c r="F79" s="14" t="str">
        <f aca="false">IFERROR(VLOOKUP(TRIM('📥 Respostas'!I79),'⚙️ Config'!$A$4:$B$13,2,0),"")</f>
        <v/>
      </c>
      <c r="G79" s="14" t="str">
        <f aca="false">IFERROR(VLOOKUP(TRIM('📥 Respostas'!J79),'⚙️ Config'!$A$4:$B$13,2,0),"")</f>
        <v/>
      </c>
      <c r="H79" s="14" t="str">
        <f aca="false">IFERROR(VLOOKUP(TRIM('📥 Respostas'!K79),'⚙️ Config'!$A$4:$B$13,2,0),"")</f>
        <v/>
      </c>
      <c r="I79" s="14" t="str">
        <f aca="false">IFERROR(VLOOKUP(TRIM('📥 Respostas'!L79),'⚙️ Config'!$A$4:$B$13,2,0),"")</f>
        <v/>
      </c>
      <c r="J79" s="14" t="str">
        <f aca="false">IFERROR(VLOOKUP(TRIM('📥 Respostas'!M79),'⚙️ Config'!$A$4:$B$13,2,0),"")</f>
        <v/>
      </c>
      <c r="K79" s="14" t="str">
        <f aca="false">IFERROR(VLOOKUP(TRIM('📥 Respostas'!N79),'⚙️ Config'!$A$4:$B$13,2,0),"")</f>
        <v/>
      </c>
      <c r="L79" s="14" t="str">
        <f aca="false">IFERROR(VLOOKUP(TRIM('📥 Respostas'!O79),'⚙️ Config'!$A$4:$B$13,2,0),"")</f>
        <v/>
      </c>
      <c r="M79" s="14" t="str">
        <f aca="false">IFERROR(VLOOKUP(TRIM('📥 Respostas'!P79),'⚙️ Config'!$A$4:$B$13,2,0),"")</f>
        <v/>
      </c>
      <c r="N79" s="14" t="str">
        <f aca="false">IFERROR(VLOOKUP(TRIM('📥 Respostas'!Q79),'⚙️ Config'!$A$4:$B$13,2,0),"")</f>
        <v/>
      </c>
      <c r="O79" s="14" t="str">
        <f aca="false">IFERROR(VLOOKUP(TRIM('📥 Respostas'!R79),'⚙️ Config'!$A$4:$B$13,2,0),"")</f>
        <v/>
      </c>
      <c r="P79" s="14" t="str">
        <f aca="false">IFERROR(VLOOKUP(TRIM('📥 Respostas'!S79),'⚙️ Config'!$A$4:$B$13,2,0),"")</f>
        <v/>
      </c>
      <c r="Q79" s="14" t="str">
        <f aca="false">IFERROR(VLOOKUP(TRIM('📥 Respostas'!T79),'⚙️ Config'!$A$4:$B$13,2,0),"")</f>
        <v/>
      </c>
      <c r="R79" s="14" t="str">
        <f aca="false">IFERROR(VLOOKUP(TRIM('📥 Respostas'!U79),'⚙️ Config'!$A$4:$B$13,2,0),"")</f>
        <v/>
      </c>
      <c r="S79" s="14" t="str">
        <f aca="false">IFERROR(VLOOKUP(TRIM('📥 Respostas'!V79),'⚙️ Config'!$A$4:$B$13,2,0),"")</f>
        <v/>
      </c>
      <c r="T79" s="14" t="str">
        <f aca="false">IFERROR(VLOOKUP(TRIM('📥 Respostas'!W79),'⚙️ Config'!$A$4:$B$13,2,0),"")</f>
        <v/>
      </c>
      <c r="U79" s="14" t="str">
        <f aca="false">IFERROR(VLOOKUP(TRIM('📥 Respostas'!X79),'⚙️ Config'!$A$4:$B$13,2,0),"")</f>
        <v/>
      </c>
      <c r="V79" s="14" t="str">
        <f aca="false">IFERROR(VLOOKUP(TRIM('📥 Respostas'!Y79),'⚙️ Config'!$A$4:$B$13,2,0),"")</f>
        <v/>
      </c>
      <c r="W79" s="14" t="str">
        <f aca="false">IFERROR(VLOOKUP(TRIM('📥 Respostas'!Z79),'⚙️ Config'!$A$4:$B$13,2,0),"")</f>
        <v/>
      </c>
      <c r="X79" s="14" t="str">
        <f aca="false">IFERROR(VLOOKUP(TRIM('📥 Respostas'!AA79),'⚙️ Config'!$A$4:$B$13,2,0),"")</f>
        <v/>
      </c>
      <c r="Y79" s="14" t="str">
        <f aca="false">IFERROR(VLOOKUP(TRIM('📥 Respostas'!AB79),'⚙️ Config'!$A$4:$B$13,2,0),"")</f>
        <v/>
      </c>
      <c r="Z79" s="14" t="str">
        <f aca="false">IFERROR(VLOOKUP(TRIM('📥 Respostas'!AC79),'⚙️ Config'!$A$4:$B$13,2,0),"")</f>
        <v/>
      </c>
      <c r="AA79" s="14" t="str">
        <f aca="false">IFERROR(VLOOKUP(TRIM('📥 Respostas'!AD79),'⚙️ Config'!$A$4:$B$13,2,0),"")</f>
        <v/>
      </c>
      <c r="AB79" s="14" t="str">
        <f aca="false">IFERROR(VLOOKUP(TRIM('📥 Respostas'!AE79),'⚙️ Config'!$A$4:$B$13,2,0),"")</f>
        <v/>
      </c>
      <c r="AC79" s="14" t="str">
        <f aca="false">IFERROR(VLOOKUP(TRIM('📥 Respostas'!AF79),'⚙️ Config'!$A$4:$B$13,2,0),"")</f>
        <v/>
      </c>
      <c r="AD79" s="14" t="str">
        <f aca="false">IFERROR(VLOOKUP(TRIM('📥 Respostas'!AG79),'⚙️ Config'!$A$4:$B$13,2,0),"")</f>
        <v/>
      </c>
      <c r="AE79" s="14" t="str">
        <f aca="false">IFERROR(VLOOKUP(TRIM('📥 Respostas'!AH79),'⚙️ Config'!$A$4:$B$13,2,0),"")</f>
        <v/>
      </c>
      <c r="AF79" s="14" t="str">
        <f aca="false">IFERROR(VLOOKUP(TRIM('📥 Respostas'!AI79),'⚙️ Config'!$C$4:$D$11,2,0),"")</f>
        <v/>
      </c>
      <c r="AG79" s="14" t="str">
        <f aca="false">IFERROR(VLOOKUP(TRIM('📥 Respostas'!AJ79),'⚙️ Config'!$A$4:$B$13,2,0),"")</f>
        <v/>
      </c>
      <c r="AH79" s="14" t="str">
        <f aca="false">IFERROR(VLOOKUP(TRIM('📥 Respostas'!AK79),'⚙️ Config'!$A$4:$B$13,2,0),"")</f>
        <v/>
      </c>
      <c r="AI79" s="14" t="str">
        <f aca="false">IFERROR(VLOOKUP(TRIM('📥 Respostas'!AL79),'⚙️ Config'!$A$4:$B$13,2,0),"")</f>
        <v/>
      </c>
      <c r="AJ79" s="14" t="str">
        <f aca="false">IFERROR(VLOOKUP(TRIM('📥 Respostas'!AM79),'⚙️ Config'!$A$4:$B$13,2,0),"")</f>
        <v/>
      </c>
      <c r="AK79" s="14" t="str">
        <f aca="false">IFERROR(VLOOKUP(TRIM('📥 Respostas'!AN79),'⚙️ Config'!$A$4:$B$13,2,0),"")</f>
        <v/>
      </c>
      <c r="AL79" s="14" t="str">
        <f aca="false">IFERROR(VLOOKUP(TRIM('📥 Respostas'!AO79),'⚙️ Config'!$A$4:$B$13,2,0),"")</f>
        <v/>
      </c>
      <c r="AM79" s="14" t="str">
        <f aca="false">IFERROR(VLOOKUP(TRIM('📥 Respostas'!AP79),'⚙️ Config'!$A$4:$B$13,2,0),"")</f>
        <v/>
      </c>
      <c r="AN79" s="14" t="str">
        <f aca="false">IFERROR(VLOOKUP(TRIM('📥 Respostas'!AQ79),'⚙️ Config'!$A$4:$B$13,2,0),"")</f>
        <v/>
      </c>
      <c r="AO79" s="14" t="str">
        <f aca="false">IFERROR(VLOOKUP(TRIM('📥 Respostas'!AR79),'⚙️ Config'!$A$4:$B$13,2,0),"")</f>
        <v/>
      </c>
      <c r="AP79" s="14" t="str">
        <f aca="false">IFERROR(VLOOKUP(TRIM('📥 Respostas'!AS79),'⚙️ Config'!$A$4:$B$13,2,0),"")</f>
        <v/>
      </c>
      <c r="AQ79" s="14" t="str">
        <f aca="false">IFERROR(VLOOKUP(TRIM('📥 Respostas'!AT79),'⚙️ Config'!$A$4:$B$13,2,0),"")</f>
        <v/>
      </c>
      <c r="AR79" s="14" t="str">
        <f aca="false">IFERROR(VLOOKUP(TRIM('📥 Respostas'!AU79),'⚙️ Config'!$A$4:$B$13,2,0),"")</f>
        <v/>
      </c>
    </row>
    <row r="80" customFormat="false" ht="15" hidden="false" customHeight="false" outlineLevel="0" collapsed="false">
      <c r="A80" s="12" t="str">
        <f aca="false">IF(ISBLANK('📥 Respostas'!D80),"",ROW()-3)</f>
        <v/>
      </c>
      <c r="B80" s="12" t="n">
        <f aca="false">'📥 Respostas'!D80</f>
        <v>0</v>
      </c>
      <c r="C80" s="13" t="n">
        <f aca="false">'📥 Respostas'!C80</f>
        <v>0</v>
      </c>
      <c r="D80" s="14" t="str">
        <f aca="false">IFERROR(VLOOKUP(TRIM('📥 Respostas'!G80),'⚙️ Config'!$A$4:$B$13,2,0),"")</f>
        <v/>
      </c>
      <c r="E80" s="14" t="str">
        <f aca="false">IFERROR(VLOOKUP(TRIM('📥 Respostas'!H80),'⚙️ Config'!$A$4:$B$13,2,0),"")</f>
        <v/>
      </c>
      <c r="F80" s="14" t="str">
        <f aca="false">IFERROR(VLOOKUP(TRIM('📥 Respostas'!I80),'⚙️ Config'!$A$4:$B$13,2,0),"")</f>
        <v/>
      </c>
      <c r="G80" s="14" t="str">
        <f aca="false">IFERROR(VLOOKUP(TRIM('📥 Respostas'!J80),'⚙️ Config'!$A$4:$B$13,2,0),"")</f>
        <v/>
      </c>
      <c r="H80" s="14" t="str">
        <f aca="false">IFERROR(VLOOKUP(TRIM('📥 Respostas'!K80),'⚙️ Config'!$A$4:$B$13,2,0),"")</f>
        <v/>
      </c>
      <c r="I80" s="14" t="str">
        <f aca="false">IFERROR(VLOOKUP(TRIM('📥 Respostas'!L80),'⚙️ Config'!$A$4:$B$13,2,0),"")</f>
        <v/>
      </c>
      <c r="J80" s="14" t="str">
        <f aca="false">IFERROR(VLOOKUP(TRIM('📥 Respostas'!M80),'⚙️ Config'!$A$4:$B$13,2,0),"")</f>
        <v/>
      </c>
      <c r="K80" s="14" t="str">
        <f aca="false">IFERROR(VLOOKUP(TRIM('📥 Respostas'!N80),'⚙️ Config'!$A$4:$B$13,2,0),"")</f>
        <v/>
      </c>
      <c r="L80" s="14" t="str">
        <f aca="false">IFERROR(VLOOKUP(TRIM('📥 Respostas'!O80),'⚙️ Config'!$A$4:$B$13,2,0),"")</f>
        <v/>
      </c>
      <c r="M80" s="14" t="str">
        <f aca="false">IFERROR(VLOOKUP(TRIM('📥 Respostas'!P80),'⚙️ Config'!$A$4:$B$13,2,0),"")</f>
        <v/>
      </c>
      <c r="N80" s="14" t="str">
        <f aca="false">IFERROR(VLOOKUP(TRIM('📥 Respostas'!Q80),'⚙️ Config'!$A$4:$B$13,2,0),"")</f>
        <v/>
      </c>
      <c r="O80" s="14" t="str">
        <f aca="false">IFERROR(VLOOKUP(TRIM('📥 Respostas'!R80),'⚙️ Config'!$A$4:$B$13,2,0),"")</f>
        <v/>
      </c>
      <c r="P80" s="14" t="str">
        <f aca="false">IFERROR(VLOOKUP(TRIM('📥 Respostas'!S80),'⚙️ Config'!$A$4:$B$13,2,0),"")</f>
        <v/>
      </c>
      <c r="Q80" s="14" t="str">
        <f aca="false">IFERROR(VLOOKUP(TRIM('📥 Respostas'!T80),'⚙️ Config'!$A$4:$B$13,2,0),"")</f>
        <v/>
      </c>
      <c r="R80" s="14" t="str">
        <f aca="false">IFERROR(VLOOKUP(TRIM('📥 Respostas'!U80),'⚙️ Config'!$A$4:$B$13,2,0),"")</f>
        <v/>
      </c>
      <c r="S80" s="14" t="str">
        <f aca="false">IFERROR(VLOOKUP(TRIM('📥 Respostas'!V80),'⚙️ Config'!$A$4:$B$13,2,0),"")</f>
        <v/>
      </c>
      <c r="T80" s="14" t="str">
        <f aca="false">IFERROR(VLOOKUP(TRIM('📥 Respostas'!W80),'⚙️ Config'!$A$4:$B$13,2,0),"")</f>
        <v/>
      </c>
      <c r="U80" s="14" t="str">
        <f aca="false">IFERROR(VLOOKUP(TRIM('📥 Respostas'!X80),'⚙️ Config'!$A$4:$B$13,2,0),"")</f>
        <v/>
      </c>
      <c r="V80" s="14" t="str">
        <f aca="false">IFERROR(VLOOKUP(TRIM('📥 Respostas'!Y80),'⚙️ Config'!$A$4:$B$13,2,0),"")</f>
        <v/>
      </c>
      <c r="W80" s="14" t="str">
        <f aca="false">IFERROR(VLOOKUP(TRIM('📥 Respostas'!Z80),'⚙️ Config'!$A$4:$B$13,2,0),"")</f>
        <v/>
      </c>
      <c r="X80" s="14" t="str">
        <f aca="false">IFERROR(VLOOKUP(TRIM('📥 Respostas'!AA80),'⚙️ Config'!$A$4:$B$13,2,0),"")</f>
        <v/>
      </c>
      <c r="Y80" s="14" t="str">
        <f aca="false">IFERROR(VLOOKUP(TRIM('📥 Respostas'!AB80),'⚙️ Config'!$A$4:$B$13,2,0),"")</f>
        <v/>
      </c>
      <c r="Z80" s="14" t="str">
        <f aca="false">IFERROR(VLOOKUP(TRIM('📥 Respostas'!AC80),'⚙️ Config'!$A$4:$B$13,2,0),"")</f>
        <v/>
      </c>
      <c r="AA80" s="14" t="str">
        <f aca="false">IFERROR(VLOOKUP(TRIM('📥 Respostas'!AD80),'⚙️ Config'!$A$4:$B$13,2,0),"")</f>
        <v/>
      </c>
      <c r="AB80" s="14" t="str">
        <f aca="false">IFERROR(VLOOKUP(TRIM('📥 Respostas'!AE80),'⚙️ Config'!$A$4:$B$13,2,0),"")</f>
        <v/>
      </c>
      <c r="AC80" s="14" t="str">
        <f aca="false">IFERROR(VLOOKUP(TRIM('📥 Respostas'!AF80),'⚙️ Config'!$A$4:$B$13,2,0),"")</f>
        <v/>
      </c>
      <c r="AD80" s="14" t="str">
        <f aca="false">IFERROR(VLOOKUP(TRIM('📥 Respostas'!AG80),'⚙️ Config'!$A$4:$B$13,2,0),"")</f>
        <v/>
      </c>
      <c r="AE80" s="14" t="str">
        <f aca="false">IFERROR(VLOOKUP(TRIM('📥 Respostas'!AH80),'⚙️ Config'!$A$4:$B$13,2,0),"")</f>
        <v/>
      </c>
      <c r="AF80" s="14" t="str">
        <f aca="false">IFERROR(VLOOKUP(TRIM('📥 Respostas'!AI80),'⚙️ Config'!$C$4:$D$11,2,0),"")</f>
        <v/>
      </c>
      <c r="AG80" s="14" t="str">
        <f aca="false">IFERROR(VLOOKUP(TRIM('📥 Respostas'!AJ80),'⚙️ Config'!$A$4:$B$13,2,0),"")</f>
        <v/>
      </c>
      <c r="AH80" s="14" t="str">
        <f aca="false">IFERROR(VLOOKUP(TRIM('📥 Respostas'!AK80),'⚙️ Config'!$A$4:$B$13,2,0),"")</f>
        <v/>
      </c>
      <c r="AI80" s="14" t="str">
        <f aca="false">IFERROR(VLOOKUP(TRIM('📥 Respostas'!AL80),'⚙️ Config'!$A$4:$B$13,2,0),"")</f>
        <v/>
      </c>
      <c r="AJ80" s="14" t="str">
        <f aca="false">IFERROR(VLOOKUP(TRIM('📥 Respostas'!AM80),'⚙️ Config'!$A$4:$B$13,2,0),"")</f>
        <v/>
      </c>
      <c r="AK80" s="14" t="str">
        <f aca="false">IFERROR(VLOOKUP(TRIM('📥 Respostas'!AN80),'⚙️ Config'!$A$4:$B$13,2,0),"")</f>
        <v/>
      </c>
      <c r="AL80" s="14" t="str">
        <f aca="false">IFERROR(VLOOKUP(TRIM('📥 Respostas'!AO80),'⚙️ Config'!$A$4:$B$13,2,0),"")</f>
        <v/>
      </c>
      <c r="AM80" s="14" t="str">
        <f aca="false">IFERROR(VLOOKUP(TRIM('📥 Respostas'!AP80),'⚙️ Config'!$A$4:$B$13,2,0),"")</f>
        <v/>
      </c>
      <c r="AN80" s="14" t="str">
        <f aca="false">IFERROR(VLOOKUP(TRIM('📥 Respostas'!AQ80),'⚙️ Config'!$A$4:$B$13,2,0),"")</f>
        <v/>
      </c>
      <c r="AO80" s="14" t="str">
        <f aca="false">IFERROR(VLOOKUP(TRIM('📥 Respostas'!AR80),'⚙️ Config'!$A$4:$B$13,2,0),"")</f>
        <v/>
      </c>
      <c r="AP80" s="14" t="str">
        <f aca="false">IFERROR(VLOOKUP(TRIM('📥 Respostas'!AS80),'⚙️ Config'!$A$4:$B$13,2,0),"")</f>
        <v/>
      </c>
      <c r="AQ80" s="14" t="str">
        <f aca="false">IFERROR(VLOOKUP(TRIM('📥 Respostas'!AT80),'⚙️ Config'!$A$4:$B$13,2,0),"")</f>
        <v/>
      </c>
      <c r="AR80" s="14" t="str">
        <f aca="false">IFERROR(VLOOKUP(TRIM('📥 Respostas'!AU80),'⚙️ Config'!$A$4:$B$13,2,0),"")</f>
        <v/>
      </c>
    </row>
    <row r="81" customFormat="false" ht="15" hidden="false" customHeight="false" outlineLevel="0" collapsed="false">
      <c r="A81" s="15" t="str">
        <f aca="false">IF(ISBLANK('📥 Respostas'!D81),"",ROW()-3)</f>
        <v/>
      </c>
      <c r="B81" s="15" t="n">
        <f aca="false">'📥 Respostas'!D81</f>
        <v>0</v>
      </c>
      <c r="C81" s="5" t="n">
        <f aca="false">'📥 Respostas'!C81</f>
        <v>0</v>
      </c>
      <c r="D81" s="14" t="str">
        <f aca="false">IFERROR(VLOOKUP(TRIM('📥 Respostas'!G81),'⚙️ Config'!$A$4:$B$13,2,0),"")</f>
        <v/>
      </c>
      <c r="E81" s="14" t="str">
        <f aca="false">IFERROR(VLOOKUP(TRIM('📥 Respostas'!H81),'⚙️ Config'!$A$4:$B$13,2,0),"")</f>
        <v/>
      </c>
      <c r="F81" s="14" t="str">
        <f aca="false">IFERROR(VLOOKUP(TRIM('📥 Respostas'!I81),'⚙️ Config'!$A$4:$B$13,2,0),"")</f>
        <v/>
      </c>
      <c r="G81" s="14" t="str">
        <f aca="false">IFERROR(VLOOKUP(TRIM('📥 Respostas'!J81),'⚙️ Config'!$A$4:$B$13,2,0),"")</f>
        <v/>
      </c>
      <c r="H81" s="14" t="str">
        <f aca="false">IFERROR(VLOOKUP(TRIM('📥 Respostas'!K81),'⚙️ Config'!$A$4:$B$13,2,0),"")</f>
        <v/>
      </c>
      <c r="I81" s="14" t="str">
        <f aca="false">IFERROR(VLOOKUP(TRIM('📥 Respostas'!L81),'⚙️ Config'!$A$4:$B$13,2,0),"")</f>
        <v/>
      </c>
      <c r="J81" s="14" t="str">
        <f aca="false">IFERROR(VLOOKUP(TRIM('📥 Respostas'!M81),'⚙️ Config'!$A$4:$B$13,2,0),"")</f>
        <v/>
      </c>
      <c r="K81" s="14" t="str">
        <f aca="false">IFERROR(VLOOKUP(TRIM('📥 Respostas'!N81),'⚙️ Config'!$A$4:$B$13,2,0),"")</f>
        <v/>
      </c>
      <c r="L81" s="14" t="str">
        <f aca="false">IFERROR(VLOOKUP(TRIM('📥 Respostas'!O81),'⚙️ Config'!$A$4:$B$13,2,0),"")</f>
        <v/>
      </c>
      <c r="M81" s="14" t="str">
        <f aca="false">IFERROR(VLOOKUP(TRIM('📥 Respostas'!P81),'⚙️ Config'!$A$4:$B$13,2,0),"")</f>
        <v/>
      </c>
      <c r="N81" s="14" t="str">
        <f aca="false">IFERROR(VLOOKUP(TRIM('📥 Respostas'!Q81),'⚙️ Config'!$A$4:$B$13,2,0),"")</f>
        <v/>
      </c>
      <c r="O81" s="14" t="str">
        <f aca="false">IFERROR(VLOOKUP(TRIM('📥 Respostas'!R81),'⚙️ Config'!$A$4:$B$13,2,0),"")</f>
        <v/>
      </c>
      <c r="P81" s="14" t="str">
        <f aca="false">IFERROR(VLOOKUP(TRIM('📥 Respostas'!S81),'⚙️ Config'!$A$4:$B$13,2,0),"")</f>
        <v/>
      </c>
      <c r="Q81" s="14" t="str">
        <f aca="false">IFERROR(VLOOKUP(TRIM('📥 Respostas'!T81),'⚙️ Config'!$A$4:$B$13,2,0),"")</f>
        <v/>
      </c>
      <c r="R81" s="14" t="str">
        <f aca="false">IFERROR(VLOOKUP(TRIM('📥 Respostas'!U81),'⚙️ Config'!$A$4:$B$13,2,0),"")</f>
        <v/>
      </c>
      <c r="S81" s="14" t="str">
        <f aca="false">IFERROR(VLOOKUP(TRIM('📥 Respostas'!V81),'⚙️ Config'!$A$4:$B$13,2,0),"")</f>
        <v/>
      </c>
      <c r="T81" s="14" t="str">
        <f aca="false">IFERROR(VLOOKUP(TRIM('📥 Respostas'!W81),'⚙️ Config'!$A$4:$B$13,2,0),"")</f>
        <v/>
      </c>
      <c r="U81" s="14" t="str">
        <f aca="false">IFERROR(VLOOKUP(TRIM('📥 Respostas'!X81),'⚙️ Config'!$A$4:$B$13,2,0),"")</f>
        <v/>
      </c>
      <c r="V81" s="14" t="str">
        <f aca="false">IFERROR(VLOOKUP(TRIM('📥 Respostas'!Y81),'⚙️ Config'!$A$4:$B$13,2,0),"")</f>
        <v/>
      </c>
      <c r="W81" s="14" t="str">
        <f aca="false">IFERROR(VLOOKUP(TRIM('📥 Respostas'!Z81),'⚙️ Config'!$A$4:$B$13,2,0),"")</f>
        <v/>
      </c>
      <c r="X81" s="14" t="str">
        <f aca="false">IFERROR(VLOOKUP(TRIM('📥 Respostas'!AA81),'⚙️ Config'!$A$4:$B$13,2,0),"")</f>
        <v/>
      </c>
      <c r="Y81" s="14" t="str">
        <f aca="false">IFERROR(VLOOKUP(TRIM('📥 Respostas'!AB81),'⚙️ Config'!$A$4:$B$13,2,0),"")</f>
        <v/>
      </c>
      <c r="Z81" s="14" t="str">
        <f aca="false">IFERROR(VLOOKUP(TRIM('📥 Respostas'!AC81),'⚙️ Config'!$A$4:$B$13,2,0),"")</f>
        <v/>
      </c>
      <c r="AA81" s="14" t="str">
        <f aca="false">IFERROR(VLOOKUP(TRIM('📥 Respostas'!AD81),'⚙️ Config'!$A$4:$B$13,2,0),"")</f>
        <v/>
      </c>
      <c r="AB81" s="14" t="str">
        <f aca="false">IFERROR(VLOOKUP(TRIM('📥 Respostas'!AE81),'⚙️ Config'!$A$4:$B$13,2,0),"")</f>
        <v/>
      </c>
      <c r="AC81" s="14" t="str">
        <f aca="false">IFERROR(VLOOKUP(TRIM('📥 Respostas'!AF81),'⚙️ Config'!$A$4:$B$13,2,0),"")</f>
        <v/>
      </c>
      <c r="AD81" s="14" t="str">
        <f aca="false">IFERROR(VLOOKUP(TRIM('📥 Respostas'!AG81),'⚙️ Config'!$A$4:$B$13,2,0),"")</f>
        <v/>
      </c>
      <c r="AE81" s="14" t="str">
        <f aca="false">IFERROR(VLOOKUP(TRIM('📥 Respostas'!AH81),'⚙️ Config'!$A$4:$B$13,2,0),"")</f>
        <v/>
      </c>
      <c r="AF81" s="14" t="str">
        <f aca="false">IFERROR(VLOOKUP(TRIM('📥 Respostas'!AI81),'⚙️ Config'!$C$4:$D$11,2,0),"")</f>
        <v/>
      </c>
      <c r="AG81" s="14" t="str">
        <f aca="false">IFERROR(VLOOKUP(TRIM('📥 Respostas'!AJ81),'⚙️ Config'!$A$4:$B$13,2,0),"")</f>
        <v/>
      </c>
      <c r="AH81" s="14" t="str">
        <f aca="false">IFERROR(VLOOKUP(TRIM('📥 Respostas'!AK81),'⚙️ Config'!$A$4:$B$13,2,0),"")</f>
        <v/>
      </c>
      <c r="AI81" s="14" t="str">
        <f aca="false">IFERROR(VLOOKUP(TRIM('📥 Respostas'!AL81),'⚙️ Config'!$A$4:$B$13,2,0),"")</f>
        <v/>
      </c>
      <c r="AJ81" s="14" t="str">
        <f aca="false">IFERROR(VLOOKUP(TRIM('📥 Respostas'!AM81),'⚙️ Config'!$A$4:$B$13,2,0),"")</f>
        <v/>
      </c>
      <c r="AK81" s="14" t="str">
        <f aca="false">IFERROR(VLOOKUP(TRIM('📥 Respostas'!AN81),'⚙️ Config'!$A$4:$B$13,2,0),"")</f>
        <v/>
      </c>
      <c r="AL81" s="14" t="str">
        <f aca="false">IFERROR(VLOOKUP(TRIM('📥 Respostas'!AO81),'⚙️ Config'!$A$4:$B$13,2,0),"")</f>
        <v/>
      </c>
      <c r="AM81" s="14" t="str">
        <f aca="false">IFERROR(VLOOKUP(TRIM('📥 Respostas'!AP81),'⚙️ Config'!$A$4:$B$13,2,0),"")</f>
        <v/>
      </c>
      <c r="AN81" s="14" t="str">
        <f aca="false">IFERROR(VLOOKUP(TRIM('📥 Respostas'!AQ81),'⚙️ Config'!$A$4:$B$13,2,0),"")</f>
        <v/>
      </c>
      <c r="AO81" s="14" t="str">
        <f aca="false">IFERROR(VLOOKUP(TRIM('📥 Respostas'!AR81),'⚙️ Config'!$A$4:$B$13,2,0),"")</f>
        <v/>
      </c>
      <c r="AP81" s="14" t="str">
        <f aca="false">IFERROR(VLOOKUP(TRIM('📥 Respostas'!AS81),'⚙️ Config'!$A$4:$B$13,2,0),"")</f>
        <v/>
      </c>
      <c r="AQ81" s="14" t="str">
        <f aca="false">IFERROR(VLOOKUP(TRIM('📥 Respostas'!AT81),'⚙️ Config'!$A$4:$B$13,2,0),"")</f>
        <v/>
      </c>
      <c r="AR81" s="14" t="str">
        <f aca="false">IFERROR(VLOOKUP(TRIM('📥 Respostas'!AU81),'⚙️ Config'!$A$4:$B$13,2,0),"")</f>
        <v/>
      </c>
    </row>
    <row r="82" customFormat="false" ht="15" hidden="false" customHeight="false" outlineLevel="0" collapsed="false">
      <c r="A82" s="12" t="str">
        <f aca="false">IF(ISBLANK('📥 Respostas'!D82),"",ROW()-3)</f>
        <v/>
      </c>
      <c r="B82" s="12" t="n">
        <f aca="false">'📥 Respostas'!D82</f>
        <v>0</v>
      </c>
      <c r="C82" s="13" t="n">
        <f aca="false">'📥 Respostas'!C82</f>
        <v>0</v>
      </c>
      <c r="D82" s="14" t="str">
        <f aca="false">IFERROR(VLOOKUP(TRIM('📥 Respostas'!G82),'⚙️ Config'!$A$4:$B$13,2,0),"")</f>
        <v/>
      </c>
      <c r="E82" s="14" t="str">
        <f aca="false">IFERROR(VLOOKUP(TRIM('📥 Respostas'!H82),'⚙️ Config'!$A$4:$B$13,2,0),"")</f>
        <v/>
      </c>
      <c r="F82" s="14" t="str">
        <f aca="false">IFERROR(VLOOKUP(TRIM('📥 Respostas'!I82),'⚙️ Config'!$A$4:$B$13,2,0),"")</f>
        <v/>
      </c>
      <c r="G82" s="14" t="str">
        <f aca="false">IFERROR(VLOOKUP(TRIM('📥 Respostas'!J82),'⚙️ Config'!$A$4:$B$13,2,0),"")</f>
        <v/>
      </c>
      <c r="H82" s="14" t="str">
        <f aca="false">IFERROR(VLOOKUP(TRIM('📥 Respostas'!K82),'⚙️ Config'!$A$4:$B$13,2,0),"")</f>
        <v/>
      </c>
      <c r="I82" s="14" t="str">
        <f aca="false">IFERROR(VLOOKUP(TRIM('📥 Respostas'!L82),'⚙️ Config'!$A$4:$B$13,2,0),"")</f>
        <v/>
      </c>
      <c r="J82" s="14" t="str">
        <f aca="false">IFERROR(VLOOKUP(TRIM('📥 Respostas'!M82),'⚙️ Config'!$A$4:$B$13,2,0),"")</f>
        <v/>
      </c>
      <c r="K82" s="14" t="str">
        <f aca="false">IFERROR(VLOOKUP(TRIM('📥 Respostas'!N82),'⚙️ Config'!$A$4:$B$13,2,0),"")</f>
        <v/>
      </c>
      <c r="L82" s="14" t="str">
        <f aca="false">IFERROR(VLOOKUP(TRIM('📥 Respostas'!O82),'⚙️ Config'!$A$4:$B$13,2,0),"")</f>
        <v/>
      </c>
      <c r="M82" s="14" t="str">
        <f aca="false">IFERROR(VLOOKUP(TRIM('📥 Respostas'!P82),'⚙️ Config'!$A$4:$B$13,2,0),"")</f>
        <v/>
      </c>
      <c r="N82" s="14" t="str">
        <f aca="false">IFERROR(VLOOKUP(TRIM('📥 Respostas'!Q82),'⚙️ Config'!$A$4:$B$13,2,0),"")</f>
        <v/>
      </c>
      <c r="O82" s="14" t="str">
        <f aca="false">IFERROR(VLOOKUP(TRIM('📥 Respostas'!R82),'⚙️ Config'!$A$4:$B$13,2,0),"")</f>
        <v/>
      </c>
      <c r="P82" s="14" t="str">
        <f aca="false">IFERROR(VLOOKUP(TRIM('📥 Respostas'!S82),'⚙️ Config'!$A$4:$B$13,2,0),"")</f>
        <v/>
      </c>
      <c r="Q82" s="14" t="str">
        <f aca="false">IFERROR(VLOOKUP(TRIM('📥 Respostas'!T82),'⚙️ Config'!$A$4:$B$13,2,0),"")</f>
        <v/>
      </c>
      <c r="R82" s="14" t="str">
        <f aca="false">IFERROR(VLOOKUP(TRIM('📥 Respostas'!U82),'⚙️ Config'!$A$4:$B$13,2,0),"")</f>
        <v/>
      </c>
      <c r="S82" s="14" t="str">
        <f aca="false">IFERROR(VLOOKUP(TRIM('📥 Respostas'!V82),'⚙️ Config'!$A$4:$B$13,2,0),"")</f>
        <v/>
      </c>
      <c r="T82" s="14" t="str">
        <f aca="false">IFERROR(VLOOKUP(TRIM('📥 Respostas'!W82),'⚙️ Config'!$A$4:$B$13,2,0),"")</f>
        <v/>
      </c>
      <c r="U82" s="14" t="str">
        <f aca="false">IFERROR(VLOOKUP(TRIM('📥 Respostas'!X82),'⚙️ Config'!$A$4:$B$13,2,0),"")</f>
        <v/>
      </c>
      <c r="V82" s="14" t="str">
        <f aca="false">IFERROR(VLOOKUP(TRIM('📥 Respostas'!Y82),'⚙️ Config'!$A$4:$B$13,2,0),"")</f>
        <v/>
      </c>
      <c r="W82" s="14" t="str">
        <f aca="false">IFERROR(VLOOKUP(TRIM('📥 Respostas'!Z82),'⚙️ Config'!$A$4:$B$13,2,0),"")</f>
        <v/>
      </c>
      <c r="X82" s="14" t="str">
        <f aca="false">IFERROR(VLOOKUP(TRIM('📥 Respostas'!AA82),'⚙️ Config'!$A$4:$B$13,2,0),"")</f>
        <v/>
      </c>
      <c r="Y82" s="14" t="str">
        <f aca="false">IFERROR(VLOOKUP(TRIM('📥 Respostas'!AB82),'⚙️ Config'!$A$4:$B$13,2,0),"")</f>
        <v/>
      </c>
      <c r="Z82" s="14" t="str">
        <f aca="false">IFERROR(VLOOKUP(TRIM('📥 Respostas'!AC82),'⚙️ Config'!$A$4:$B$13,2,0),"")</f>
        <v/>
      </c>
      <c r="AA82" s="14" t="str">
        <f aca="false">IFERROR(VLOOKUP(TRIM('📥 Respostas'!AD82),'⚙️ Config'!$A$4:$B$13,2,0),"")</f>
        <v/>
      </c>
      <c r="AB82" s="14" t="str">
        <f aca="false">IFERROR(VLOOKUP(TRIM('📥 Respostas'!AE82),'⚙️ Config'!$A$4:$B$13,2,0),"")</f>
        <v/>
      </c>
      <c r="AC82" s="14" t="str">
        <f aca="false">IFERROR(VLOOKUP(TRIM('📥 Respostas'!AF82),'⚙️ Config'!$A$4:$B$13,2,0),"")</f>
        <v/>
      </c>
      <c r="AD82" s="14" t="str">
        <f aca="false">IFERROR(VLOOKUP(TRIM('📥 Respostas'!AG82),'⚙️ Config'!$A$4:$B$13,2,0),"")</f>
        <v/>
      </c>
      <c r="AE82" s="14" t="str">
        <f aca="false">IFERROR(VLOOKUP(TRIM('📥 Respostas'!AH82),'⚙️ Config'!$A$4:$B$13,2,0),"")</f>
        <v/>
      </c>
      <c r="AF82" s="14" t="str">
        <f aca="false">IFERROR(VLOOKUP(TRIM('📥 Respostas'!AI82),'⚙️ Config'!$C$4:$D$11,2,0),"")</f>
        <v/>
      </c>
      <c r="AG82" s="14" t="str">
        <f aca="false">IFERROR(VLOOKUP(TRIM('📥 Respostas'!AJ82),'⚙️ Config'!$A$4:$B$13,2,0),"")</f>
        <v/>
      </c>
      <c r="AH82" s="14" t="str">
        <f aca="false">IFERROR(VLOOKUP(TRIM('📥 Respostas'!AK82),'⚙️ Config'!$A$4:$B$13,2,0),"")</f>
        <v/>
      </c>
      <c r="AI82" s="14" t="str">
        <f aca="false">IFERROR(VLOOKUP(TRIM('📥 Respostas'!AL82),'⚙️ Config'!$A$4:$B$13,2,0),"")</f>
        <v/>
      </c>
      <c r="AJ82" s="14" t="str">
        <f aca="false">IFERROR(VLOOKUP(TRIM('📥 Respostas'!AM82),'⚙️ Config'!$A$4:$B$13,2,0),"")</f>
        <v/>
      </c>
      <c r="AK82" s="14" t="str">
        <f aca="false">IFERROR(VLOOKUP(TRIM('📥 Respostas'!AN82),'⚙️ Config'!$A$4:$B$13,2,0),"")</f>
        <v/>
      </c>
      <c r="AL82" s="14" t="str">
        <f aca="false">IFERROR(VLOOKUP(TRIM('📥 Respostas'!AO82),'⚙️ Config'!$A$4:$B$13,2,0),"")</f>
        <v/>
      </c>
      <c r="AM82" s="14" t="str">
        <f aca="false">IFERROR(VLOOKUP(TRIM('📥 Respostas'!AP82),'⚙️ Config'!$A$4:$B$13,2,0),"")</f>
        <v/>
      </c>
      <c r="AN82" s="14" t="str">
        <f aca="false">IFERROR(VLOOKUP(TRIM('📥 Respostas'!AQ82),'⚙️ Config'!$A$4:$B$13,2,0),"")</f>
        <v/>
      </c>
      <c r="AO82" s="14" t="str">
        <f aca="false">IFERROR(VLOOKUP(TRIM('📥 Respostas'!AR82),'⚙️ Config'!$A$4:$B$13,2,0),"")</f>
        <v/>
      </c>
      <c r="AP82" s="14" t="str">
        <f aca="false">IFERROR(VLOOKUP(TRIM('📥 Respostas'!AS82),'⚙️ Config'!$A$4:$B$13,2,0),"")</f>
        <v/>
      </c>
      <c r="AQ82" s="14" t="str">
        <f aca="false">IFERROR(VLOOKUP(TRIM('📥 Respostas'!AT82),'⚙️ Config'!$A$4:$B$13,2,0),"")</f>
        <v/>
      </c>
      <c r="AR82" s="14" t="str">
        <f aca="false">IFERROR(VLOOKUP(TRIM('📥 Respostas'!AU82),'⚙️ Config'!$A$4:$B$13,2,0),"")</f>
        <v/>
      </c>
    </row>
    <row r="83" customFormat="false" ht="15" hidden="false" customHeight="false" outlineLevel="0" collapsed="false">
      <c r="A83" s="15" t="str">
        <f aca="false">IF(ISBLANK('📥 Respostas'!D83),"",ROW()-3)</f>
        <v/>
      </c>
      <c r="B83" s="15" t="n">
        <f aca="false">'📥 Respostas'!D83</f>
        <v>0</v>
      </c>
      <c r="C83" s="5" t="n">
        <f aca="false">'📥 Respostas'!C83</f>
        <v>0</v>
      </c>
      <c r="D83" s="14" t="str">
        <f aca="false">IFERROR(VLOOKUP(TRIM('📥 Respostas'!G83),'⚙️ Config'!$A$4:$B$13,2,0),"")</f>
        <v/>
      </c>
      <c r="E83" s="14" t="str">
        <f aca="false">IFERROR(VLOOKUP(TRIM('📥 Respostas'!H83),'⚙️ Config'!$A$4:$B$13,2,0),"")</f>
        <v/>
      </c>
      <c r="F83" s="14" t="str">
        <f aca="false">IFERROR(VLOOKUP(TRIM('📥 Respostas'!I83),'⚙️ Config'!$A$4:$B$13,2,0),"")</f>
        <v/>
      </c>
      <c r="G83" s="14" t="str">
        <f aca="false">IFERROR(VLOOKUP(TRIM('📥 Respostas'!J83),'⚙️ Config'!$A$4:$B$13,2,0),"")</f>
        <v/>
      </c>
      <c r="H83" s="14" t="str">
        <f aca="false">IFERROR(VLOOKUP(TRIM('📥 Respostas'!K83),'⚙️ Config'!$A$4:$B$13,2,0),"")</f>
        <v/>
      </c>
      <c r="I83" s="14" t="str">
        <f aca="false">IFERROR(VLOOKUP(TRIM('📥 Respostas'!L83),'⚙️ Config'!$A$4:$B$13,2,0),"")</f>
        <v/>
      </c>
      <c r="J83" s="14" t="str">
        <f aca="false">IFERROR(VLOOKUP(TRIM('📥 Respostas'!M83),'⚙️ Config'!$A$4:$B$13,2,0),"")</f>
        <v/>
      </c>
      <c r="K83" s="14" t="str">
        <f aca="false">IFERROR(VLOOKUP(TRIM('📥 Respostas'!N83),'⚙️ Config'!$A$4:$B$13,2,0),"")</f>
        <v/>
      </c>
      <c r="L83" s="14" t="str">
        <f aca="false">IFERROR(VLOOKUP(TRIM('📥 Respostas'!O83),'⚙️ Config'!$A$4:$B$13,2,0),"")</f>
        <v/>
      </c>
      <c r="M83" s="14" t="str">
        <f aca="false">IFERROR(VLOOKUP(TRIM('📥 Respostas'!P83),'⚙️ Config'!$A$4:$B$13,2,0),"")</f>
        <v/>
      </c>
      <c r="N83" s="14" t="str">
        <f aca="false">IFERROR(VLOOKUP(TRIM('📥 Respostas'!Q83),'⚙️ Config'!$A$4:$B$13,2,0),"")</f>
        <v/>
      </c>
      <c r="O83" s="14" t="str">
        <f aca="false">IFERROR(VLOOKUP(TRIM('📥 Respostas'!R83),'⚙️ Config'!$A$4:$B$13,2,0),"")</f>
        <v/>
      </c>
      <c r="P83" s="14" t="str">
        <f aca="false">IFERROR(VLOOKUP(TRIM('📥 Respostas'!S83),'⚙️ Config'!$A$4:$B$13,2,0),"")</f>
        <v/>
      </c>
      <c r="Q83" s="14" t="str">
        <f aca="false">IFERROR(VLOOKUP(TRIM('📥 Respostas'!T83),'⚙️ Config'!$A$4:$B$13,2,0),"")</f>
        <v/>
      </c>
      <c r="R83" s="14" t="str">
        <f aca="false">IFERROR(VLOOKUP(TRIM('📥 Respostas'!U83),'⚙️ Config'!$A$4:$B$13,2,0),"")</f>
        <v/>
      </c>
      <c r="S83" s="14" t="str">
        <f aca="false">IFERROR(VLOOKUP(TRIM('📥 Respostas'!V83),'⚙️ Config'!$A$4:$B$13,2,0),"")</f>
        <v/>
      </c>
      <c r="T83" s="14" t="str">
        <f aca="false">IFERROR(VLOOKUP(TRIM('📥 Respostas'!W83),'⚙️ Config'!$A$4:$B$13,2,0),"")</f>
        <v/>
      </c>
      <c r="U83" s="14" t="str">
        <f aca="false">IFERROR(VLOOKUP(TRIM('📥 Respostas'!X83),'⚙️ Config'!$A$4:$B$13,2,0),"")</f>
        <v/>
      </c>
      <c r="V83" s="14" t="str">
        <f aca="false">IFERROR(VLOOKUP(TRIM('📥 Respostas'!Y83),'⚙️ Config'!$A$4:$B$13,2,0),"")</f>
        <v/>
      </c>
      <c r="W83" s="14" t="str">
        <f aca="false">IFERROR(VLOOKUP(TRIM('📥 Respostas'!Z83),'⚙️ Config'!$A$4:$B$13,2,0),"")</f>
        <v/>
      </c>
      <c r="X83" s="14" t="str">
        <f aca="false">IFERROR(VLOOKUP(TRIM('📥 Respostas'!AA83),'⚙️ Config'!$A$4:$B$13,2,0),"")</f>
        <v/>
      </c>
      <c r="Y83" s="14" t="str">
        <f aca="false">IFERROR(VLOOKUP(TRIM('📥 Respostas'!AB83),'⚙️ Config'!$A$4:$B$13,2,0),"")</f>
        <v/>
      </c>
      <c r="Z83" s="14" t="str">
        <f aca="false">IFERROR(VLOOKUP(TRIM('📥 Respostas'!AC83),'⚙️ Config'!$A$4:$B$13,2,0),"")</f>
        <v/>
      </c>
      <c r="AA83" s="14" t="str">
        <f aca="false">IFERROR(VLOOKUP(TRIM('📥 Respostas'!AD83),'⚙️ Config'!$A$4:$B$13,2,0),"")</f>
        <v/>
      </c>
      <c r="AB83" s="14" t="str">
        <f aca="false">IFERROR(VLOOKUP(TRIM('📥 Respostas'!AE83),'⚙️ Config'!$A$4:$B$13,2,0),"")</f>
        <v/>
      </c>
      <c r="AC83" s="14" t="str">
        <f aca="false">IFERROR(VLOOKUP(TRIM('📥 Respostas'!AF83),'⚙️ Config'!$A$4:$B$13,2,0),"")</f>
        <v/>
      </c>
      <c r="AD83" s="14" t="str">
        <f aca="false">IFERROR(VLOOKUP(TRIM('📥 Respostas'!AG83),'⚙️ Config'!$A$4:$B$13,2,0),"")</f>
        <v/>
      </c>
      <c r="AE83" s="14" t="str">
        <f aca="false">IFERROR(VLOOKUP(TRIM('📥 Respostas'!AH83),'⚙️ Config'!$A$4:$B$13,2,0),"")</f>
        <v/>
      </c>
      <c r="AF83" s="14" t="str">
        <f aca="false">IFERROR(VLOOKUP(TRIM('📥 Respostas'!AI83),'⚙️ Config'!$C$4:$D$11,2,0),"")</f>
        <v/>
      </c>
      <c r="AG83" s="14" t="str">
        <f aca="false">IFERROR(VLOOKUP(TRIM('📥 Respostas'!AJ83),'⚙️ Config'!$A$4:$B$13,2,0),"")</f>
        <v/>
      </c>
      <c r="AH83" s="14" t="str">
        <f aca="false">IFERROR(VLOOKUP(TRIM('📥 Respostas'!AK83),'⚙️ Config'!$A$4:$B$13,2,0),"")</f>
        <v/>
      </c>
      <c r="AI83" s="14" t="str">
        <f aca="false">IFERROR(VLOOKUP(TRIM('📥 Respostas'!AL83),'⚙️ Config'!$A$4:$B$13,2,0),"")</f>
        <v/>
      </c>
      <c r="AJ83" s="14" t="str">
        <f aca="false">IFERROR(VLOOKUP(TRIM('📥 Respostas'!AM83),'⚙️ Config'!$A$4:$B$13,2,0),"")</f>
        <v/>
      </c>
      <c r="AK83" s="14" t="str">
        <f aca="false">IFERROR(VLOOKUP(TRIM('📥 Respostas'!AN83),'⚙️ Config'!$A$4:$B$13,2,0),"")</f>
        <v/>
      </c>
      <c r="AL83" s="14" t="str">
        <f aca="false">IFERROR(VLOOKUP(TRIM('📥 Respostas'!AO83),'⚙️ Config'!$A$4:$B$13,2,0),"")</f>
        <v/>
      </c>
      <c r="AM83" s="14" t="str">
        <f aca="false">IFERROR(VLOOKUP(TRIM('📥 Respostas'!AP83),'⚙️ Config'!$A$4:$B$13,2,0),"")</f>
        <v/>
      </c>
      <c r="AN83" s="14" t="str">
        <f aca="false">IFERROR(VLOOKUP(TRIM('📥 Respostas'!AQ83),'⚙️ Config'!$A$4:$B$13,2,0),"")</f>
        <v/>
      </c>
      <c r="AO83" s="14" t="str">
        <f aca="false">IFERROR(VLOOKUP(TRIM('📥 Respostas'!AR83),'⚙️ Config'!$A$4:$B$13,2,0),"")</f>
        <v/>
      </c>
      <c r="AP83" s="14" t="str">
        <f aca="false">IFERROR(VLOOKUP(TRIM('📥 Respostas'!AS83),'⚙️ Config'!$A$4:$B$13,2,0),"")</f>
        <v/>
      </c>
      <c r="AQ83" s="14" t="str">
        <f aca="false">IFERROR(VLOOKUP(TRIM('📥 Respostas'!AT83),'⚙️ Config'!$A$4:$B$13,2,0),"")</f>
        <v/>
      </c>
      <c r="AR83" s="14" t="str">
        <f aca="false">IFERROR(VLOOKUP(TRIM('📥 Respostas'!AU83),'⚙️ Config'!$A$4:$B$13,2,0),"")</f>
        <v/>
      </c>
    </row>
    <row r="84" customFormat="false" ht="15" hidden="false" customHeight="false" outlineLevel="0" collapsed="false">
      <c r="A84" s="12" t="str">
        <f aca="false">IF(ISBLANK('📥 Respostas'!D84),"",ROW()-3)</f>
        <v/>
      </c>
      <c r="B84" s="12" t="n">
        <f aca="false">'📥 Respostas'!D84</f>
        <v>0</v>
      </c>
      <c r="C84" s="13" t="n">
        <f aca="false">'📥 Respostas'!C84</f>
        <v>0</v>
      </c>
      <c r="D84" s="14" t="str">
        <f aca="false">IFERROR(VLOOKUP(TRIM('📥 Respostas'!G84),'⚙️ Config'!$A$4:$B$13,2,0),"")</f>
        <v/>
      </c>
      <c r="E84" s="14" t="str">
        <f aca="false">IFERROR(VLOOKUP(TRIM('📥 Respostas'!H84),'⚙️ Config'!$A$4:$B$13,2,0),"")</f>
        <v/>
      </c>
      <c r="F84" s="14" t="str">
        <f aca="false">IFERROR(VLOOKUP(TRIM('📥 Respostas'!I84),'⚙️ Config'!$A$4:$B$13,2,0),"")</f>
        <v/>
      </c>
      <c r="G84" s="14" t="str">
        <f aca="false">IFERROR(VLOOKUP(TRIM('📥 Respostas'!J84),'⚙️ Config'!$A$4:$B$13,2,0),"")</f>
        <v/>
      </c>
      <c r="H84" s="14" t="str">
        <f aca="false">IFERROR(VLOOKUP(TRIM('📥 Respostas'!K84),'⚙️ Config'!$A$4:$B$13,2,0),"")</f>
        <v/>
      </c>
      <c r="I84" s="14" t="str">
        <f aca="false">IFERROR(VLOOKUP(TRIM('📥 Respostas'!L84),'⚙️ Config'!$A$4:$B$13,2,0),"")</f>
        <v/>
      </c>
      <c r="J84" s="14" t="str">
        <f aca="false">IFERROR(VLOOKUP(TRIM('📥 Respostas'!M84),'⚙️ Config'!$A$4:$B$13,2,0),"")</f>
        <v/>
      </c>
      <c r="K84" s="14" t="str">
        <f aca="false">IFERROR(VLOOKUP(TRIM('📥 Respostas'!N84),'⚙️ Config'!$A$4:$B$13,2,0),"")</f>
        <v/>
      </c>
      <c r="L84" s="14" t="str">
        <f aca="false">IFERROR(VLOOKUP(TRIM('📥 Respostas'!O84),'⚙️ Config'!$A$4:$B$13,2,0),"")</f>
        <v/>
      </c>
      <c r="M84" s="14" t="str">
        <f aca="false">IFERROR(VLOOKUP(TRIM('📥 Respostas'!P84),'⚙️ Config'!$A$4:$B$13,2,0),"")</f>
        <v/>
      </c>
      <c r="N84" s="14" t="str">
        <f aca="false">IFERROR(VLOOKUP(TRIM('📥 Respostas'!Q84),'⚙️ Config'!$A$4:$B$13,2,0),"")</f>
        <v/>
      </c>
      <c r="O84" s="14" t="str">
        <f aca="false">IFERROR(VLOOKUP(TRIM('📥 Respostas'!R84),'⚙️ Config'!$A$4:$B$13,2,0),"")</f>
        <v/>
      </c>
      <c r="P84" s="14" t="str">
        <f aca="false">IFERROR(VLOOKUP(TRIM('📥 Respostas'!S84),'⚙️ Config'!$A$4:$B$13,2,0),"")</f>
        <v/>
      </c>
      <c r="Q84" s="14" t="str">
        <f aca="false">IFERROR(VLOOKUP(TRIM('📥 Respostas'!T84),'⚙️ Config'!$A$4:$B$13,2,0),"")</f>
        <v/>
      </c>
      <c r="R84" s="14" t="str">
        <f aca="false">IFERROR(VLOOKUP(TRIM('📥 Respostas'!U84),'⚙️ Config'!$A$4:$B$13,2,0),"")</f>
        <v/>
      </c>
      <c r="S84" s="14" t="str">
        <f aca="false">IFERROR(VLOOKUP(TRIM('📥 Respostas'!V84),'⚙️ Config'!$A$4:$B$13,2,0),"")</f>
        <v/>
      </c>
      <c r="T84" s="14" t="str">
        <f aca="false">IFERROR(VLOOKUP(TRIM('📥 Respostas'!W84),'⚙️ Config'!$A$4:$B$13,2,0),"")</f>
        <v/>
      </c>
      <c r="U84" s="14" t="str">
        <f aca="false">IFERROR(VLOOKUP(TRIM('📥 Respostas'!X84),'⚙️ Config'!$A$4:$B$13,2,0),"")</f>
        <v/>
      </c>
      <c r="V84" s="14" t="str">
        <f aca="false">IFERROR(VLOOKUP(TRIM('📥 Respostas'!Y84),'⚙️ Config'!$A$4:$B$13,2,0),"")</f>
        <v/>
      </c>
      <c r="W84" s="14" t="str">
        <f aca="false">IFERROR(VLOOKUP(TRIM('📥 Respostas'!Z84),'⚙️ Config'!$A$4:$B$13,2,0),"")</f>
        <v/>
      </c>
      <c r="X84" s="14" t="str">
        <f aca="false">IFERROR(VLOOKUP(TRIM('📥 Respostas'!AA84),'⚙️ Config'!$A$4:$B$13,2,0),"")</f>
        <v/>
      </c>
      <c r="Y84" s="14" t="str">
        <f aca="false">IFERROR(VLOOKUP(TRIM('📥 Respostas'!AB84),'⚙️ Config'!$A$4:$B$13,2,0),"")</f>
        <v/>
      </c>
      <c r="Z84" s="14" t="str">
        <f aca="false">IFERROR(VLOOKUP(TRIM('📥 Respostas'!AC84),'⚙️ Config'!$A$4:$B$13,2,0),"")</f>
        <v/>
      </c>
      <c r="AA84" s="14" t="str">
        <f aca="false">IFERROR(VLOOKUP(TRIM('📥 Respostas'!AD84),'⚙️ Config'!$A$4:$B$13,2,0),"")</f>
        <v/>
      </c>
      <c r="AB84" s="14" t="str">
        <f aca="false">IFERROR(VLOOKUP(TRIM('📥 Respostas'!AE84),'⚙️ Config'!$A$4:$B$13,2,0),"")</f>
        <v/>
      </c>
      <c r="AC84" s="14" t="str">
        <f aca="false">IFERROR(VLOOKUP(TRIM('📥 Respostas'!AF84),'⚙️ Config'!$A$4:$B$13,2,0),"")</f>
        <v/>
      </c>
      <c r="AD84" s="14" t="str">
        <f aca="false">IFERROR(VLOOKUP(TRIM('📥 Respostas'!AG84),'⚙️ Config'!$A$4:$B$13,2,0),"")</f>
        <v/>
      </c>
      <c r="AE84" s="14" t="str">
        <f aca="false">IFERROR(VLOOKUP(TRIM('📥 Respostas'!AH84),'⚙️ Config'!$A$4:$B$13,2,0),"")</f>
        <v/>
      </c>
      <c r="AF84" s="14" t="str">
        <f aca="false">IFERROR(VLOOKUP(TRIM('📥 Respostas'!AI84),'⚙️ Config'!$C$4:$D$11,2,0),"")</f>
        <v/>
      </c>
      <c r="AG84" s="14" t="str">
        <f aca="false">IFERROR(VLOOKUP(TRIM('📥 Respostas'!AJ84),'⚙️ Config'!$A$4:$B$13,2,0),"")</f>
        <v/>
      </c>
      <c r="AH84" s="14" t="str">
        <f aca="false">IFERROR(VLOOKUP(TRIM('📥 Respostas'!AK84),'⚙️ Config'!$A$4:$B$13,2,0),"")</f>
        <v/>
      </c>
      <c r="AI84" s="14" t="str">
        <f aca="false">IFERROR(VLOOKUP(TRIM('📥 Respostas'!AL84),'⚙️ Config'!$A$4:$B$13,2,0),"")</f>
        <v/>
      </c>
      <c r="AJ84" s="14" t="str">
        <f aca="false">IFERROR(VLOOKUP(TRIM('📥 Respostas'!AM84),'⚙️ Config'!$A$4:$B$13,2,0),"")</f>
        <v/>
      </c>
      <c r="AK84" s="14" t="str">
        <f aca="false">IFERROR(VLOOKUP(TRIM('📥 Respostas'!AN84),'⚙️ Config'!$A$4:$B$13,2,0),"")</f>
        <v/>
      </c>
      <c r="AL84" s="14" t="str">
        <f aca="false">IFERROR(VLOOKUP(TRIM('📥 Respostas'!AO84),'⚙️ Config'!$A$4:$B$13,2,0),"")</f>
        <v/>
      </c>
      <c r="AM84" s="14" t="str">
        <f aca="false">IFERROR(VLOOKUP(TRIM('📥 Respostas'!AP84),'⚙️ Config'!$A$4:$B$13,2,0),"")</f>
        <v/>
      </c>
      <c r="AN84" s="14" t="str">
        <f aca="false">IFERROR(VLOOKUP(TRIM('📥 Respostas'!AQ84),'⚙️ Config'!$A$4:$B$13,2,0),"")</f>
        <v/>
      </c>
      <c r="AO84" s="14" t="str">
        <f aca="false">IFERROR(VLOOKUP(TRIM('📥 Respostas'!AR84),'⚙️ Config'!$A$4:$B$13,2,0),"")</f>
        <v/>
      </c>
      <c r="AP84" s="14" t="str">
        <f aca="false">IFERROR(VLOOKUP(TRIM('📥 Respostas'!AS84),'⚙️ Config'!$A$4:$B$13,2,0),"")</f>
        <v/>
      </c>
      <c r="AQ84" s="14" t="str">
        <f aca="false">IFERROR(VLOOKUP(TRIM('📥 Respostas'!AT84),'⚙️ Config'!$A$4:$B$13,2,0),"")</f>
        <v/>
      </c>
      <c r="AR84" s="14" t="str">
        <f aca="false">IFERROR(VLOOKUP(TRIM('📥 Respostas'!AU84),'⚙️ Config'!$A$4:$B$13,2,0),"")</f>
        <v/>
      </c>
    </row>
    <row r="85" customFormat="false" ht="15" hidden="false" customHeight="false" outlineLevel="0" collapsed="false">
      <c r="A85" s="15" t="str">
        <f aca="false">IF(ISBLANK('📥 Respostas'!D85),"",ROW()-3)</f>
        <v/>
      </c>
      <c r="B85" s="15" t="n">
        <f aca="false">'📥 Respostas'!D85</f>
        <v>0</v>
      </c>
      <c r="C85" s="5" t="n">
        <f aca="false">'📥 Respostas'!C85</f>
        <v>0</v>
      </c>
      <c r="D85" s="14" t="str">
        <f aca="false">IFERROR(VLOOKUP(TRIM('📥 Respostas'!G85),'⚙️ Config'!$A$4:$B$13,2,0),"")</f>
        <v/>
      </c>
      <c r="E85" s="14" t="str">
        <f aca="false">IFERROR(VLOOKUP(TRIM('📥 Respostas'!H85),'⚙️ Config'!$A$4:$B$13,2,0),"")</f>
        <v/>
      </c>
      <c r="F85" s="14" t="str">
        <f aca="false">IFERROR(VLOOKUP(TRIM('📥 Respostas'!I85),'⚙️ Config'!$A$4:$B$13,2,0),"")</f>
        <v/>
      </c>
      <c r="G85" s="14" t="str">
        <f aca="false">IFERROR(VLOOKUP(TRIM('📥 Respostas'!J85),'⚙️ Config'!$A$4:$B$13,2,0),"")</f>
        <v/>
      </c>
      <c r="H85" s="14" t="str">
        <f aca="false">IFERROR(VLOOKUP(TRIM('📥 Respostas'!K85),'⚙️ Config'!$A$4:$B$13,2,0),"")</f>
        <v/>
      </c>
      <c r="I85" s="14" t="str">
        <f aca="false">IFERROR(VLOOKUP(TRIM('📥 Respostas'!L85),'⚙️ Config'!$A$4:$B$13,2,0),"")</f>
        <v/>
      </c>
      <c r="J85" s="14" t="str">
        <f aca="false">IFERROR(VLOOKUP(TRIM('📥 Respostas'!M85),'⚙️ Config'!$A$4:$B$13,2,0),"")</f>
        <v/>
      </c>
      <c r="K85" s="14" t="str">
        <f aca="false">IFERROR(VLOOKUP(TRIM('📥 Respostas'!N85),'⚙️ Config'!$A$4:$B$13,2,0),"")</f>
        <v/>
      </c>
      <c r="L85" s="14" t="str">
        <f aca="false">IFERROR(VLOOKUP(TRIM('📥 Respostas'!O85),'⚙️ Config'!$A$4:$B$13,2,0),"")</f>
        <v/>
      </c>
      <c r="M85" s="14" t="str">
        <f aca="false">IFERROR(VLOOKUP(TRIM('📥 Respostas'!P85),'⚙️ Config'!$A$4:$B$13,2,0),"")</f>
        <v/>
      </c>
      <c r="N85" s="14" t="str">
        <f aca="false">IFERROR(VLOOKUP(TRIM('📥 Respostas'!Q85),'⚙️ Config'!$A$4:$B$13,2,0),"")</f>
        <v/>
      </c>
      <c r="O85" s="14" t="str">
        <f aca="false">IFERROR(VLOOKUP(TRIM('📥 Respostas'!R85),'⚙️ Config'!$A$4:$B$13,2,0),"")</f>
        <v/>
      </c>
      <c r="P85" s="14" t="str">
        <f aca="false">IFERROR(VLOOKUP(TRIM('📥 Respostas'!S85),'⚙️ Config'!$A$4:$B$13,2,0),"")</f>
        <v/>
      </c>
      <c r="Q85" s="14" t="str">
        <f aca="false">IFERROR(VLOOKUP(TRIM('📥 Respostas'!T85),'⚙️ Config'!$A$4:$B$13,2,0),"")</f>
        <v/>
      </c>
      <c r="R85" s="14" t="str">
        <f aca="false">IFERROR(VLOOKUP(TRIM('📥 Respostas'!U85),'⚙️ Config'!$A$4:$B$13,2,0),"")</f>
        <v/>
      </c>
      <c r="S85" s="14" t="str">
        <f aca="false">IFERROR(VLOOKUP(TRIM('📥 Respostas'!V85),'⚙️ Config'!$A$4:$B$13,2,0),"")</f>
        <v/>
      </c>
      <c r="T85" s="14" t="str">
        <f aca="false">IFERROR(VLOOKUP(TRIM('📥 Respostas'!W85),'⚙️ Config'!$A$4:$B$13,2,0),"")</f>
        <v/>
      </c>
      <c r="U85" s="14" t="str">
        <f aca="false">IFERROR(VLOOKUP(TRIM('📥 Respostas'!X85),'⚙️ Config'!$A$4:$B$13,2,0),"")</f>
        <v/>
      </c>
      <c r="V85" s="14" t="str">
        <f aca="false">IFERROR(VLOOKUP(TRIM('📥 Respostas'!Y85),'⚙️ Config'!$A$4:$B$13,2,0),"")</f>
        <v/>
      </c>
      <c r="W85" s="14" t="str">
        <f aca="false">IFERROR(VLOOKUP(TRIM('📥 Respostas'!Z85),'⚙️ Config'!$A$4:$B$13,2,0),"")</f>
        <v/>
      </c>
      <c r="X85" s="14" t="str">
        <f aca="false">IFERROR(VLOOKUP(TRIM('📥 Respostas'!AA85),'⚙️ Config'!$A$4:$B$13,2,0),"")</f>
        <v/>
      </c>
      <c r="Y85" s="14" t="str">
        <f aca="false">IFERROR(VLOOKUP(TRIM('📥 Respostas'!AB85),'⚙️ Config'!$A$4:$B$13,2,0),"")</f>
        <v/>
      </c>
      <c r="Z85" s="14" t="str">
        <f aca="false">IFERROR(VLOOKUP(TRIM('📥 Respostas'!AC85),'⚙️ Config'!$A$4:$B$13,2,0),"")</f>
        <v/>
      </c>
      <c r="AA85" s="14" t="str">
        <f aca="false">IFERROR(VLOOKUP(TRIM('📥 Respostas'!AD85),'⚙️ Config'!$A$4:$B$13,2,0),"")</f>
        <v/>
      </c>
      <c r="AB85" s="14" t="str">
        <f aca="false">IFERROR(VLOOKUP(TRIM('📥 Respostas'!AE85),'⚙️ Config'!$A$4:$B$13,2,0),"")</f>
        <v/>
      </c>
      <c r="AC85" s="14" t="str">
        <f aca="false">IFERROR(VLOOKUP(TRIM('📥 Respostas'!AF85),'⚙️ Config'!$A$4:$B$13,2,0),"")</f>
        <v/>
      </c>
      <c r="AD85" s="14" t="str">
        <f aca="false">IFERROR(VLOOKUP(TRIM('📥 Respostas'!AG85),'⚙️ Config'!$A$4:$B$13,2,0),"")</f>
        <v/>
      </c>
      <c r="AE85" s="14" t="str">
        <f aca="false">IFERROR(VLOOKUP(TRIM('📥 Respostas'!AH85),'⚙️ Config'!$A$4:$B$13,2,0),"")</f>
        <v/>
      </c>
      <c r="AF85" s="14" t="str">
        <f aca="false">IFERROR(VLOOKUP(TRIM('📥 Respostas'!AI85),'⚙️ Config'!$C$4:$D$11,2,0),"")</f>
        <v/>
      </c>
      <c r="AG85" s="14" t="str">
        <f aca="false">IFERROR(VLOOKUP(TRIM('📥 Respostas'!AJ85),'⚙️ Config'!$A$4:$B$13,2,0),"")</f>
        <v/>
      </c>
      <c r="AH85" s="14" t="str">
        <f aca="false">IFERROR(VLOOKUP(TRIM('📥 Respostas'!AK85),'⚙️ Config'!$A$4:$B$13,2,0),"")</f>
        <v/>
      </c>
      <c r="AI85" s="14" t="str">
        <f aca="false">IFERROR(VLOOKUP(TRIM('📥 Respostas'!AL85),'⚙️ Config'!$A$4:$B$13,2,0),"")</f>
        <v/>
      </c>
      <c r="AJ85" s="14" t="str">
        <f aca="false">IFERROR(VLOOKUP(TRIM('📥 Respostas'!AM85),'⚙️ Config'!$A$4:$B$13,2,0),"")</f>
        <v/>
      </c>
      <c r="AK85" s="14" t="str">
        <f aca="false">IFERROR(VLOOKUP(TRIM('📥 Respostas'!AN85),'⚙️ Config'!$A$4:$B$13,2,0),"")</f>
        <v/>
      </c>
      <c r="AL85" s="14" t="str">
        <f aca="false">IFERROR(VLOOKUP(TRIM('📥 Respostas'!AO85),'⚙️ Config'!$A$4:$B$13,2,0),"")</f>
        <v/>
      </c>
      <c r="AM85" s="14" t="str">
        <f aca="false">IFERROR(VLOOKUP(TRIM('📥 Respostas'!AP85),'⚙️ Config'!$A$4:$B$13,2,0),"")</f>
        <v/>
      </c>
      <c r="AN85" s="14" t="str">
        <f aca="false">IFERROR(VLOOKUP(TRIM('📥 Respostas'!AQ85),'⚙️ Config'!$A$4:$B$13,2,0),"")</f>
        <v/>
      </c>
      <c r="AO85" s="14" t="str">
        <f aca="false">IFERROR(VLOOKUP(TRIM('📥 Respostas'!AR85),'⚙️ Config'!$A$4:$B$13,2,0),"")</f>
        <v/>
      </c>
      <c r="AP85" s="14" t="str">
        <f aca="false">IFERROR(VLOOKUP(TRIM('📥 Respostas'!AS85),'⚙️ Config'!$A$4:$B$13,2,0),"")</f>
        <v/>
      </c>
      <c r="AQ85" s="14" t="str">
        <f aca="false">IFERROR(VLOOKUP(TRIM('📥 Respostas'!AT85),'⚙️ Config'!$A$4:$B$13,2,0),"")</f>
        <v/>
      </c>
      <c r="AR85" s="14" t="str">
        <f aca="false">IFERROR(VLOOKUP(TRIM('📥 Respostas'!AU85),'⚙️ Config'!$A$4:$B$13,2,0),"")</f>
        <v/>
      </c>
    </row>
    <row r="86" customFormat="false" ht="15" hidden="false" customHeight="false" outlineLevel="0" collapsed="false">
      <c r="A86" s="12" t="str">
        <f aca="false">IF(ISBLANK('📥 Respostas'!D86),"",ROW()-3)</f>
        <v/>
      </c>
      <c r="B86" s="12" t="n">
        <f aca="false">'📥 Respostas'!D86</f>
        <v>0</v>
      </c>
      <c r="C86" s="13" t="n">
        <f aca="false">'📥 Respostas'!C86</f>
        <v>0</v>
      </c>
      <c r="D86" s="14" t="str">
        <f aca="false">IFERROR(VLOOKUP(TRIM('📥 Respostas'!G86),'⚙️ Config'!$A$4:$B$13,2,0),"")</f>
        <v/>
      </c>
      <c r="E86" s="14" t="str">
        <f aca="false">IFERROR(VLOOKUP(TRIM('📥 Respostas'!H86),'⚙️ Config'!$A$4:$B$13,2,0),"")</f>
        <v/>
      </c>
      <c r="F86" s="14" t="str">
        <f aca="false">IFERROR(VLOOKUP(TRIM('📥 Respostas'!I86),'⚙️ Config'!$A$4:$B$13,2,0),"")</f>
        <v/>
      </c>
      <c r="G86" s="14" t="str">
        <f aca="false">IFERROR(VLOOKUP(TRIM('📥 Respostas'!J86),'⚙️ Config'!$A$4:$B$13,2,0),"")</f>
        <v/>
      </c>
      <c r="H86" s="14" t="str">
        <f aca="false">IFERROR(VLOOKUP(TRIM('📥 Respostas'!K86),'⚙️ Config'!$A$4:$B$13,2,0),"")</f>
        <v/>
      </c>
      <c r="I86" s="14" t="str">
        <f aca="false">IFERROR(VLOOKUP(TRIM('📥 Respostas'!L86),'⚙️ Config'!$A$4:$B$13,2,0),"")</f>
        <v/>
      </c>
      <c r="J86" s="14" t="str">
        <f aca="false">IFERROR(VLOOKUP(TRIM('📥 Respostas'!M86),'⚙️ Config'!$A$4:$B$13,2,0),"")</f>
        <v/>
      </c>
      <c r="K86" s="14" t="str">
        <f aca="false">IFERROR(VLOOKUP(TRIM('📥 Respostas'!N86),'⚙️ Config'!$A$4:$B$13,2,0),"")</f>
        <v/>
      </c>
      <c r="L86" s="14" t="str">
        <f aca="false">IFERROR(VLOOKUP(TRIM('📥 Respostas'!O86),'⚙️ Config'!$A$4:$B$13,2,0),"")</f>
        <v/>
      </c>
      <c r="M86" s="14" t="str">
        <f aca="false">IFERROR(VLOOKUP(TRIM('📥 Respostas'!P86),'⚙️ Config'!$A$4:$B$13,2,0),"")</f>
        <v/>
      </c>
      <c r="N86" s="14" t="str">
        <f aca="false">IFERROR(VLOOKUP(TRIM('📥 Respostas'!Q86),'⚙️ Config'!$A$4:$B$13,2,0),"")</f>
        <v/>
      </c>
      <c r="O86" s="14" t="str">
        <f aca="false">IFERROR(VLOOKUP(TRIM('📥 Respostas'!R86),'⚙️ Config'!$A$4:$B$13,2,0),"")</f>
        <v/>
      </c>
      <c r="P86" s="14" t="str">
        <f aca="false">IFERROR(VLOOKUP(TRIM('📥 Respostas'!S86),'⚙️ Config'!$A$4:$B$13,2,0),"")</f>
        <v/>
      </c>
      <c r="Q86" s="14" t="str">
        <f aca="false">IFERROR(VLOOKUP(TRIM('📥 Respostas'!T86),'⚙️ Config'!$A$4:$B$13,2,0),"")</f>
        <v/>
      </c>
      <c r="R86" s="14" t="str">
        <f aca="false">IFERROR(VLOOKUP(TRIM('📥 Respostas'!U86),'⚙️ Config'!$A$4:$B$13,2,0),"")</f>
        <v/>
      </c>
      <c r="S86" s="14" t="str">
        <f aca="false">IFERROR(VLOOKUP(TRIM('📥 Respostas'!V86),'⚙️ Config'!$A$4:$B$13,2,0),"")</f>
        <v/>
      </c>
      <c r="T86" s="14" t="str">
        <f aca="false">IFERROR(VLOOKUP(TRIM('📥 Respostas'!W86),'⚙️ Config'!$A$4:$B$13,2,0),"")</f>
        <v/>
      </c>
      <c r="U86" s="14" t="str">
        <f aca="false">IFERROR(VLOOKUP(TRIM('📥 Respostas'!X86),'⚙️ Config'!$A$4:$B$13,2,0),"")</f>
        <v/>
      </c>
      <c r="V86" s="14" t="str">
        <f aca="false">IFERROR(VLOOKUP(TRIM('📥 Respostas'!Y86),'⚙️ Config'!$A$4:$B$13,2,0),"")</f>
        <v/>
      </c>
      <c r="W86" s="14" t="str">
        <f aca="false">IFERROR(VLOOKUP(TRIM('📥 Respostas'!Z86),'⚙️ Config'!$A$4:$B$13,2,0),"")</f>
        <v/>
      </c>
      <c r="X86" s="14" t="str">
        <f aca="false">IFERROR(VLOOKUP(TRIM('📥 Respostas'!AA86),'⚙️ Config'!$A$4:$B$13,2,0),"")</f>
        <v/>
      </c>
      <c r="Y86" s="14" t="str">
        <f aca="false">IFERROR(VLOOKUP(TRIM('📥 Respostas'!AB86),'⚙️ Config'!$A$4:$B$13,2,0),"")</f>
        <v/>
      </c>
      <c r="Z86" s="14" t="str">
        <f aca="false">IFERROR(VLOOKUP(TRIM('📥 Respostas'!AC86),'⚙️ Config'!$A$4:$B$13,2,0),"")</f>
        <v/>
      </c>
      <c r="AA86" s="14" t="str">
        <f aca="false">IFERROR(VLOOKUP(TRIM('📥 Respostas'!AD86),'⚙️ Config'!$A$4:$B$13,2,0),"")</f>
        <v/>
      </c>
      <c r="AB86" s="14" t="str">
        <f aca="false">IFERROR(VLOOKUP(TRIM('📥 Respostas'!AE86),'⚙️ Config'!$A$4:$B$13,2,0),"")</f>
        <v/>
      </c>
      <c r="AC86" s="14" t="str">
        <f aca="false">IFERROR(VLOOKUP(TRIM('📥 Respostas'!AF86),'⚙️ Config'!$A$4:$B$13,2,0),"")</f>
        <v/>
      </c>
      <c r="AD86" s="14" t="str">
        <f aca="false">IFERROR(VLOOKUP(TRIM('📥 Respostas'!AG86),'⚙️ Config'!$A$4:$B$13,2,0),"")</f>
        <v/>
      </c>
      <c r="AE86" s="14" t="str">
        <f aca="false">IFERROR(VLOOKUP(TRIM('📥 Respostas'!AH86),'⚙️ Config'!$A$4:$B$13,2,0),"")</f>
        <v/>
      </c>
      <c r="AF86" s="14" t="str">
        <f aca="false">IFERROR(VLOOKUP(TRIM('📥 Respostas'!AI86),'⚙️ Config'!$C$4:$D$11,2,0),"")</f>
        <v/>
      </c>
      <c r="AG86" s="14" t="str">
        <f aca="false">IFERROR(VLOOKUP(TRIM('📥 Respostas'!AJ86),'⚙️ Config'!$A$4:$B$13,2,0),"")</f>
        <v/>
      </c>
      <c r="AH86" s="14" t="str">
        <f aca="false">IFERROR(VLOOKUP(TRIM('📥 Respostas'!AK86),'⚙️ Config'!$A$4:$B$13,2,0),"")</f>
        <v/>
      </c>
      <c r="AI86" s="14" t="str">
        <f aca="false">IFERROR(VLOOKUP(TRIM('📥 Respostas'!AL86),'⚙️ Config'!$A$4:$B$13,2,0),"")</f>
        <v/>
      </c>
      <c r="AJ86" s="14" t="str">
        <f aca="false">IFERROR(VLOOKUP(TRIM('📥 Respostas'!AM86),'⚙️ Config'!$A$4:$B$13,2,0),"")</f>
        <v/>
      </c>
      <c r="AK86" s="14" t="str">
        <f aca="false">IFERROR(VLOOKUP(TRIM('📥 Respostas'!AN86),'⚙️ Config'!$A$4:$B$13,2,0),"")</f>
        <v/>
      </c>
      <c r="AL86" s="14" t="str">
        <f aca="false">IFERROR(VLOOKUP(TRIM('📥 Respostas'!AO86),'⚙️ Config'!$A$4:$B$13,2,0),"")</f>
        <v/>
      </c>
      <c r="AM86" s="14" t="str">
        <f aca="false">IFERROR(VLOOKUP(TRIM('📥 Respostas'!AP86),'⚙️ Config'!$A$4:$B$13,2,0),"")</f>
        <v/>
      </c>
      <c r="AN86" s="14" t="str">
        <f aca="false">IFERROR(VLOOKUP(TRIM('📥 Respostas'!AQ86),'⚙️ Config'!$A$4:$B$13,2,0),"")</f>
        <v/>
      </c>
      <c r="AO86" s="14" t="str">
        <f aca="false">IFERROR(VLOOKUP(TRIM('📥 Respostas'!AR86),'⚙️ Config'!$A$4:$B$13,2,0),"")</f>
        <v/>
      </c>
      <c r="AP86" s="14" t="str">
        <f aca="false">IFERROR(VLOOKUP(TRIM('📥 Respostas'!AS86),'⚙️ Config'!$A$4:$B$13,2,0),"")</f>
        <v/>
      </c>
      <c r="AQ86" s="14" t="str">
        <f aca="false">IFERROR(VLOOKUP(TRIM('📥 Respostas'!AT86),'⚙️ Config'!$A$4:$B$13,2,0),"")</f>
        <v/>
      </c>
      <c r="AR86" s="14" t="str">
        <f aca="false">IFERROR(VLOOKUP(TRIM('📥 Respostas'!AU86),'⚙️ Config'!$A$4:$B$13,2,0),"")</f>
        <v/>
      </c>
    </row>
    <row r="87" customFormat="false" ht="15" hidden="false" customHeight="false" outlineLevel="0" collapsed="false">
      <c r="A87" s="15" t="str">
        <f aca="false">IF(ISBLANK('📥 Respostas'!D87),"",ROW()-3)</f>
        <v/>
      </c>
      <c r="B87" s="15" t="n">
        <f aca="false">'📥 Respostas'!D87</f>
        <v>0</v>
      </c>
      <c r="C87" s="5" t="n">
        <f aca="false">'📥 Respostas'!C87</f>
        <v>0</v>
      </c>
      <c r="D87" s="14" t="str">
        <f aca="false">IFERROR(VLOOKUP(TRIM('📥 Respostas'!G87),'⚙️ Config'!$A$4:$B$13,2,0),"")</f>
        <v/>
      </c>
      <c r="E87" s="14" t="str">
        <f aca="false">IFERROR(VLOOKUP(TRIM('📥 Respostas'!H87),'⚙️ Config'!$A$4:$B$13,2,0),"")</f>
        <v/>
      </c>
      <c r="F87" s="14" t="str">
        <f aca="false">IFERROR(VLOOKUP(TRIM('📥 Respostas'!I87),'⚙️ Config'!$A$4:$B$13,2,0),"")</f>
        <v/>
      </c>
      <c r="G87" s="14" t="str">
        <f aca="false">IFERROR(VLOOKUP(TRIM('📥 Respostas'!J87),'⚙️ Config'!$A$4:$B$13,2,0),"")</f>
        <v/>
      </c>
      <c r="H87" s="14" t="str">
        <f aca="false">IFERROR(VLOOKUP(TRIM('📥 Respostas'!K87),'⚙️ Config'!$A$4:$B$13,2,0),"")</f>
        <v/>
      </c>
      <c r="I87" s="14" t="str">
        <f aca="false">IFERROR(VLOOKUP(TRIM('📥 Respostas'!L87),'⚙️ Config'!$A$4:$B$13,2,0),"")</f>
        <v/>
      </c>
      <c r="J87" s="14" t="str">
        <f aca="false">IFERROR(VLOOKUP(TRIM('📥 Respostas'!M87),'⚙️ Config'!$A$4:$B$13,2,0),"")</f>
        <v/>
      </c>
      <c r="K87" s="14" t="str">
        <f aca="false">IFERROR(VLOOKUP(TRIM('📥 Respostas'!N87),'⚙️ Config'!$A$4:$B$13,2,0),"")</f>
        <v/>
      </c>
      <c r="L87" s="14" t="str">
        <f aca="false">IFERROR(VLOOKUP(TRIM('📥 Respostas'!O87),'⚙️ Config'!$A$4:$B$13,2,0),"")</f>
        <v/>
      </c>
      <c r="M87" s="14" t="str">
        <f aca="false">IFERROR(VLOOKUP(TRIM('📥 Respostas'!P87),'⚙️ Config'!$A$4:$B$13,2,0),"")</f>
        <v/>
      </c>
      <c r="N87" s="14" t="str">
        <f aca="false">IFERROR(VLOOKUP(TRIM('📥 Respostas'!Q87),'⚙️ Config'!$A$4:$B$13,2,0),"")</f>
        <v/>
      </c>
      <c r="O87" s="14" t="str">
        <f aca="false">IFERROR(VLOOKUP(TRIM('📥 Respostas'!R87),'⚙️ Config'!$A$4:$B$13,2,0),"")</f>
        <v/>
      </c>
      <c r="P87" s="14" t="str">
        <f aca="false">IFERROR(VLOOKUP(TRIM('📥 Respostas'!S87),'⚙️ Config'!$A$4:$B$13,2,0),"")</f>
        <v/>
      </c>
      <c r="Q87" s="14" t="str">
        <f aca="false">IFERROR(VLOOKUP(TRIM('📥 Respostas'!T87),'⚙️ Config'!$A$4:$B$13,2,0),"")</f>
        <v/>
      </c>
      <c r="R87" s="14" t="str">
        <f aca="false">IFERROR(VLOOKUP(TRIM('📥 Respostas'!U87),'⚙️ Config'!$A$4:$B$13,2,0),"")</f>
        <v/>
      </c>
      <c r="S87" s="14" t="str">
        <f aca="false">IFERROR(VLOOKUP(TRIM('📥 Respostas'!V87),'⚙️ Config'!$A$4:$B$13,2,0),"")</f>
        <v/>
      </c>
      <c r="T87" s="14" t="str">
        <f aca="false">IFERROR(VLOOKUP(TRIM('📥 Respostas'!W87),'⚙️ Config'!$A$4:$B$13,2,0),"")</f>
        <v/>
      </c>
      <c r="U87" s="14" t="str">
        <f aca="false">IFERROR(VLOOKUP(TRIM('📥 Respostas'!X87),'⚙️ Config'!$A$4:$B$13,2,0),"")</f>
        <v/>
      </c>
      <c r="V87" s="14" t="str">
        <f aca="false">IFERROR(VLOOKUP(TRIM('📥 Respostas'!Y87),'⚙️ Config'!$A$4:$B$13,2,0),"")</f>
        <v/>
      </c>
      <c r="W87" s="14" t="str">
        <f aca="false">IFERROR(VLOOKUP(TRIM('📥 Respostas'!Z87),'⚙️ Config'!$A$4:$B$13,2,0),"")</f>
        <v/>
      </c>
      <c r="X87" s="14" t="str">
        <f aca="false">IFERROR(VLOOKUP(TRIM('📥 Respostas'!AA87),'⚙️ Config'!$A$4:$B$13,2,0),"")</f>
        <v/>
      </c>
      <c r="Y87" s="14" t="str">
        <f aca="false">IFERROR(VLOOKUP(TRIM('📥 Respostas'!AB87),'⚙️ Config'!$A$4:$B$13,2,0),"")</f>
        <v/>
      </c>
      <c r="Z87" s="14" t="str">
        <f aca="false">IFERROR(VLOOKUP(TRIM('📥 Respostas'!AC87),'⚙️ Config'!$A$4:$B$13,2,0),"")</f>
        <v/>
      </c>
      <c r="AA87" s="14" t="str">
        <f aca="false">IFERROR(VLOOKUP(TRIM('📥 Respostas'!AD87),'⚙️ Config'!$A$4:$B$13,2,0),"")</f>
        <v/>
      </c>
      <c r="AB87" s="14" t="str">
        <f aca="false">IFERROR(VLOOKUP(TRIM('📥 Respostas'!AE87),'⚙️ Config'!$A$4:$B$13,2,0),"")</f>
        <v/>
      </c>
      <c r="AC87" s="14" t="str">
        <f aca="false">IFERROR(VLOOKUP(TRIM('📥 Respostas'!AF87),'⚙️ Config'!$A$4:$B$13,2,0),"")</f>
        <v/>
      </c>
      <c r="AD87" s="14" t="str">
        <f aca="false">IFERROR(VLOOKUP(TRIM('📥 Respostas'!AG87),'⚙️ Config'!$A$4:$B$13,2,0),"")</f>
        <v/>
      </c>
      <c r="AE87" s="14" t="str">
        <f aca="false">IFERROR(VLOOKUP(TRIM('📥 Respostas'!AH87),'⚙️ Config'!$A$4:$B$13,2,0),"")</f>
        <v/>
      </c>
      <c r="AF87" s="14" t="str">
        <f aca="false">IFERROR(VLOOKUP(TRIM('📥 Respostas'!AI87),'⚙️ Config'!$C$4:$D$11,2,0),"")</f>
        <v/>
      </c>
      <c r="AG87" s="14" t="str">
        <f aca="false">IFERROR(VLOOKUP(TRIM('📥 Respostas'!AJ87),'⚙️ Config'!$A$4:$B$13,2,0),"")</f>
        <v/>
      </c>
      <c r="AH87" s="14" t="str">
        <f aca="false">IFERROR(VLOOKUP(TRIM('📥 Respostas'!AK87),'⚙️ Config'!$A$4:$B$13,2,0),"")</f>
        <v/>
      </c>
      <c r="AI87" s="14" t="str">
        <f aca="false">IFERROR(VLOOKUP(TRIM('📥 Respostas'!AL87),'⚙️ Config'!$A$4:$B$13,2,0),"")</f>
        <v/>
      </c>
      <c r="AJ87" s="14" t="str">
        <f aca="false">IFERROR(VLOOKUP(TRIM('📥 Respostas'!AM87),'⚙️ Config'!$A$4:$B$13,2,0),"")</f>
        <v/>
      </c>
      <c r="AK87" s="14" t="str">
        <f aca="false">IFERROR(VLOOKUP(TRIM('📥 Respostas'!AN87),'⚙️ Config'!$A$4:$B$13,2,0),"")</f>
        <v/>
      </c>
      <c r="AL87" s="14" t="str">
        <f aca="false">IFERROR(VLOOKUP(TRIM('📥 Respostas'!AO87),'⚙️ Config'!$A$4:$B$13,2,0),"")</f>
        <v/>
      </c>
      <c r="AM87" s="14" t="str">
        <f aca="false">IFERROR(VLOOKUP(TRIM('📥 Respostas'!AP87),'⚙️ Config'!$A$4:$B$13,2,0),"")</f>
        <v/>
      </c>
      <c r="AN87" s="14" t="str">
        <f aca="false">IFERROR(VLOOKUP(TRIM('📥 Respostas'!AQ87),'⚙️ Config'!$A$4:$B$13,2,0),"")</f>
        <v/>
      </c>
      <c r="AO87" s="14" t="str">
        <f aca="false">IFERROR(VLOOKUP(TRIM('📥 Respostas'!AR87),'⚙️ Config'!$A$4:$B$13,2,0),"")</f>
        <v/>
      </c>
      <c r="AP87" s="14" t="str">
        <f aca="false">IFERROR(VLOOKUP(TRIM('📥 Respostas'!AS87),'⚙️ Config'!$A$4:$B$13,2,0),"")</f>
        <v/>
      </c>
      <c r="AQ87" s="14" t="str">
        <f aca="false">IFERROR(VLOOKUP(TRIM('📥 Respostas'!AT87),'⚙️ Config'!$A$4:$B$13,2,0),"")</f>
        <v/>
      </c>
      <c r="AR87" s="14" t="str">
        <f aca="false">IFERROR(VLOOKUP(TRIM('📥 Respostas'!AU87),'⚙️ Config'!$A$4:$B$13,2,0),"")</f>
        <v/>
      </c>
    </row>
    <row r="88" customFormat="false" ht="15" hidden="false" customHeight="false" outlineLevel="0" collapsed="false">
      <c r="A88" s="12" t="str">
        <f aca="false">IF(ISBLANK('📥 Respostas'!D88),"",ROW()-3)</f>
        <v/>
      </c>
      <c r="B88" s="12" t="n">
        <f aca="false">'📥 Respostas'!D88</f>
        <v>0</v>
      </c>
      <c r="C88" s="13" t="n">
        <f aca="false">'📥 Respostas'!C88</f>
        <v>0</v>
      </c>
      <c r="D88" s="14" t="str">
        <f aca="false">IFERROR(VLOOKUP(TRIM('📥 Respostas'!G88),'⚙️ Config'!$A$4:$B$13,2,0),"")</f>
        <v/>
      </c>
      <c r="E88" s="14" t="str">
        <f aca="false">IFERROR(VLOOKUP(TRIM('📥 Respostas'!H88),'⚙️ Config'!$A$4:$B$13,2,0),"")</f>
        <v/>
      </c>
      <c r="F88" s="14" t="str">
        <f aca="false">IFERROR(VLOOKUP(TRIM('📥 Respostas'!I88),'⚙️ Config'!$A$4:$B$13,2,0),"")</f>
        <v/>
      </c>
      <c r="G88" s="14" t="str">
        <f aca="false">IFERROR(VLOOKUP(TRIM('📥 Respostas'!J88),'⚙️ Config'!$A$4:$B$13,2,0),"")</f>
        <v/>
      </c>
      <c r="H88" s="14" t="str">
        <f aca="false">IFERROR(VLOOKUP(TRIM('📥 Respostas'!K88),'⚙️ Config'!$A$4:$B$13,2,0),"")</f>
        <v/>
      </c>
      <c r="I88" s="14" t="str">
        <f aca="false">IFERROR(VLOOKUP(TRIM('📥 Respostas'!L88),'⚙️ Config'!$A$4:$B$13,2,0),"")</f>
        <v/>
      </c>
      <c r="J88" s="14" t="str">
        <f aca="false">IFERROR(VLOOKUP(TRIM('📥 Respostas'!M88),'⚙️ Config'!$A$4:$B$13,2,0),"")</f>
        <v/>
      </c>
      <c r="K88" s="14" t="str">
        <f aca="false">IFERROR(VLOOKUP(TRIM('📥 Respostas'!N88),'⚙️ Config'!$A$4:$B$13,2,0),"")</f>
        <v/>
      </c>
      <c r="L88" s="14" t="str">
        <f aca="false">IFERROR(VLOOKUP(TRIM('📥 Respostas'!O88),'⚙️ Config'!$A$4:$B$13,2,0),"")</f>
        <v/>
      </c>
      <c r="M88" s="14" t="str">
        <f aca="false">IFERROR(VLOOKUP(TRIM('📥 Respostas'!P88),'⚙️ Config'!$A$4:$B$13,2,0),"")</f>
        <v/>
      </c>
      <c r="N88" s="14" t="str">
        <f aca="false">IFERROR(VLOOKUP(TRIM('📥 Respostas'!Q88),'⚙️ Config'!$A$4:$B$13,2,0),"")</f>
        <v/>
      </c>
      <c r="O88" s="14" t="str">
        <f aca="false">IFERROR(VLOOKUP(TRIM('📥 Respostas'!R88),'⚙️ Config'!$A$4:$B$13,2,0),"")</f>
        <v/>
      </c>
      <c r="P88" s="14" t="str">
        <f aca="false">IFERROR(VLOOKUP(TRIM('📥 Respostas'!S88),'⚙️ Config'!$A$4:$B$13,2,0),"")</f>
        <v/>
      </c>
      <c r="Q88" s="14" t="str">
        <f aca="false">IFERROR(VLOOKUP(TRIM('📥 Respostas'!T88),'⚙️ Config'!$A$4:$B$13,2,0),"")</f>
        <v/>
      </c>
      <c r="R88" s="14" t="str">
        <f aca="false">IFERROR(VLOOKUP(TRIM('📥 Respostas'!U88),'⚙️ Config'!$A$4:$B$13,2,0),"")</f>
        <v/>
      </c>
      <c r="S88" s="14" t="str">
        <f aca="false">IFERROR(VLOOKUP(TRIM('📥 Respostas'!V88),'⚙️ Config'!$A$4:$B$13,2,0),"")</f>
        <v/>
      </c>
      <c r="T88" s="14" t="str">
        <f aca="false">IFERROR(VLOOKUP(TRIM('📥 Respostas'!W88),'⚙️ Config'!$A$4:$B$13,2,0),"")</f>
        <v/>
      </c>
      <c r="U88" s="14" t="str">
        <f aca="false">IFERROR(VLOOKUP(TRIM('📥 Respostas'!X88),'⚙️ Config'!$A$4:$B$13,2,0),"")</f>
        <v/>
      </c>
      <c r="V88" s="14" t="str">
        <f aca="false">IFERROR(VLOOKUP(TRIM('📥 Respostas'!Y88),'⚙️ Config'!$A$4:$B$13,2,0),"")</f>
        <v/>
      </c>
      <c r="W88" s="14" t="str">
        <f aca="false">IFERROR(VLOOKUP(TRIM('📥 Respostas'!Z88),'⚙️ Config'!$A$4:$B$13,2,0),"")</f>
        <v/>
      </c>
      <c r="X88" s="14" t="str">
        <f aca="false">IFERROR(VLOOKUP(TRIM('📥 Respostas'!AA88),'⚙️ Config'!$A$4:$B$13,2,0),"")</f>
        <v/>
      </c>
      <c r="Y88" s="14" t="str">
        <f aca="false">IFERROR(VLOOKUP(TRIM('📥 Respostas'!AB88),'⚙️ Config'!$A$4:$B$13,2,0),"")</f>
        <v/>
      </c>
      <c r="Z88" s="14" t="str">
        <f aca="false">IFERROR(VLOOKUP(TRIM('📥 Respostas'!AC88),'⚙️ Config'!$A$4:$B$13,2,0),"")</f>
        <v/>
      </c>
      <c r="AA88" s="14" t="str">
        <f aca="false">IFERROR(VLOOKUP(TRIM('📥 Respostas'!AD88),'⚙️ Config'!$A$4:$B$13,2,0),"")</f>
        <v/>
      </c>
      <c r="AB88" s="14" t="str">
        <f aca="false">IFERROR(VLOOKUP(TRIM('📥 Respostas'!AE88),'⚙️ Config'!$A$4:$B$13,2,0),"")</f>
        <v/>
      </c>
      <c r="AC88" s="14" t="str">
        <f aca="false">IFERROR(VLOOKUP(TRIM('📥 Respostas'!AF88),'⚙️ Config'!$A$4:$B$13,2,0),"")</f>
        <v/>
      </c>
      <c r="AD88" s="14" t="str">
        <f aca="false">IFERROR(VLOOKUP(TRIM('📥 Respostas'!AG88),'⚙️ Config'!$A$4:$B$13,2,0),"")</f>
        <v/>
      </c>
      <c r="AE88" s="14" t="str">
        <f aca="false">IFERROR(VLOOKUP(TRIM('📥 Respostas'!AH88),'⚙️ Config'!$A$4:$B$13,2,0),"")</f>
        <v/>
      </c>
      <c r="AF88" s="14" t="str">
        <f aca="false">IFERROR(VLOOKUP(TRIM('📥 Respostas'!AI88),'⚙️ Config'!$C$4:$D$11,2,0),"")</f>
        <v/>
      </c>
      <c r="AG88" s="14" t="str">
        <f aca="false">IFERROR(VLOOKUP(TRIM('📥 Respostas'!AJ88),'⚙️ Config'!$A$4:$B$13,2,0),"")</f>
        <v/>
      </c>
      <c r="AH88" s="14" t="str">
        <f aca="false">IFERROR(VLOOKUP(TRIM('📥 Respostas'!AK88),'⚙️ Config'!$A$4:$B$13,2,0),"")</f>
        <v/>
      </c>
      <c r="AI88" s="14" t="str">
        <f aca="false">IFERROR(VLOOKUP(TRIM('📥 Respostas'!AL88),'⚙️ Config'!$A$4:$B$13,2,0),"")</f>
        <v/>
      </c>
      <c r="AJ88" s="14" t="str">
        <f aca="false">IFERROR(VLOOKUP(TRIM('📥 Respostas'!AM88),'⚙️ Config'!$A$4:$B$13,2,0),"")</f>
        <v/>
      </c>
      <c r="AK88" s="14" t="str">
        <f aca="false">IFERROR(VLOOKUP(TRIM('📥 Respostas'!AN88),'⚙️ Config'!$A$4:$B$13,2,0),"")</f>
        <v/>
      </c>
      <c r="AL88" s="14" t="str">
        <f aca="false">IFERROR(VLOOKUP(TRIM('📥 Respostas'!AO88),'⚙️ Config'!$A$4:$B$13,2,0),"")</f>
        <v/>
      </c>
      <c r="AM88" s="14" t="str">
        <f aca="false">IFERROR(VLOOKUP(TRIM('📥 Respostas'!AP88),'⚙️ Config'!$A$4:$B$13,2,0),"")</f>
        <v/>
      </c>
      <c r="AN88" s="14" t="str">
        <f aca="false">IFERROR(VLOOKUP(TRIM('📥 Respostas'!AQ88),'⚙️ Config'!$A$4:$B$13,2,0),"")</f>
        <v/>
      </c>
      <c r="AO88" s="14" t="str">
        <f aca="false">IFERROR(VLOOKUP(TRIM('📥 Respostas'!AR88),'⚙️ Config'!$A$4:$B$13,2,0),"")</f>
        <v/>
      </c>
      <c r="AP88" s="14" t="str">
        <f aca="false">IFERROR(VLOOKUP(TRIM('📥 Respostas'!AS88),'⚙️ Config'!$A$4:$B$13,2,0),"")</f>
        <v/>
      </c>
      <c r="AQ88" s="14" t="str">
        <f aca="false">IFERROR(VLOOKUP(TRIM('📥 Respostas'!AT88),'⚙️ Config'!$A$4:$B$13,2,0),"")</f>
        <v/>
      </c>
      <c r="AR88" s="14" t="str">
        <f aca="false">IFERROR(VLOOKUP(TRIM('📥 Respostas'!AU88),'⚙️ Config'!$A$4:$B$13,2,0),"")</f>
        <v/>
      </c>
    </row>
    <row r="89" customFormat="false" ht="15" hidden="false" customHeight="false" outlineLevel="0" collapsed="false">
      <c r="A89" s="15" t="str">
        <f aca="false">IF(ISBLANK('📥 Respostas'!D89),"",ROW()-3)</f>
        <v/>
      </c>
      <c r="B89" s="15" t="n">
        <f aca="false">'📥 Respostas'!D89</f>
        <v>0</v>
      </c>
      <c r="C89" s="5" t="n">
        <f aca="false">'📥 Respostas'!C89</f>
        <v>0</v>
      </c>
      <c r="D89" s="14" t="str">
        <f aca="false">IFERROR(VLOOKUP(TRIM('📥 Respostas'!G89),'⚙️ Config'!$A$4:$B$13,2,0),"")</f>
        <v/>
      </c>
      <c r="E89" s="14" t="str">
        <f aca="false">IFERROR(VLOOKUP(TRIM('📥 Respostas'!H89),'⚙️ Config'!$A$4:$B$13,2,0),"")</f>
        <v/>
      </c>
      <c r="F89" s="14" t="str">
        <f aca="false">IFERROR(VLOOKUP(TRIM('📥 Respostas'!I89),'⚙️ Config'!$A$4:$B$13,2,0),"")</f>
        <v/>
      </c>
      <c r="G89" s="14" t="str">
        <f aca="false">IFERROR(VLOOKUP(TRIM('📥 Respostas'!J89),'⚙️ Config'!$A$4:$B$13,2,0),"")</f>
        <v/>
      </c>
      <c r="H89" s="14" t="str">
        <f aca="false">IFERROR(VLOOKUP(TRIM('📥 Respostas'!K89),'⚙️ Config'!$A$4:$B$13,2,0),"")</f>
        <v/>
      </c>
      <c r="I89" s="14" t="str">
        <f aca="false">IFERROR(VLOOKUP(TRIM('📥 Respostas'!L89),'⚙️ Config'!$A$4:$B$13,2,0),"")</f>
        <v/>
      </c>
      <c r="J89" s="14" t="str">
        <f aca="false">IFERROR(VLOOKUP(TRIM('📥 Respostas'!M89),'⚙️ Config'!$A$4:$B$13,2,0),"")</f>
        <v/>
      </c>
      <c r="K89" s="14" t="str">
        <f aca="false">IFERROR(VLOOKUP(TRIM('📥 Respostas'!N89),'⚙️ Config'!$A$4:$B$13,2,0),"")</f>
        <v/>
      </c>
      <c r="L89" s="14" t="str">
        <f aca="false">IFERROR(VLOOKUP(TRIM('📥 Respostas'!O89),'⚙️ Config'!$A$4:$B$13,2,0),"")</f>
        <v/>
      </c>
      <c r="M89" s="14" t="str">
        <f aca="false">IFERROR(VLOOKUP(TRIM('📥 Respostas'!P89),'⚙️ Config'!$A$4:$B$13,2,0),"")</f>
        <v/>
      </c>
      <c r="N89" s="14" t="str">
        <f aca="false">IFERROR(VLOOKUP(TRIM('📥 Respostas'!Q89),'⚙️ Config'!$A$4:$B$13,2,0),"")</f>
        <v/>
      </c>
      <c r="O89" s="14" t="str">
        <f aca="false">IFERROR(VLOOKUP(TRIM('📥 Respostas'!R89),'⚙️ Config'!$A$4:$B$13,2,0),"")</f>
        <v/>
      </c>
      <c r="P89" s="14" t="str">
        <f aca="false">IFERROR(VLOOKUP(TRIM('📥 Respostas'!S89),'⚙️ Config'!$A$4:$B$13,2,0),"")</f>
        <v/>
      </c>
      <c r="Q89" s="14" t="str">
        <f aca="false">IFERROR(VLOOKUP(TRIM('📥 Respostas'!T89),'⚙️ Config'!$A$4:$B$13,2,0),"")</f>
        <v/>
      </c>
      <c r="R89" s="14" t="str">
        <f aca="false">IFERROR(VLOOKUP(TRIM('📥 Respostas'!U89),'⚙️ Config'!$A$4:$B$13,2,0),"")</f>
        <v/>
      </c>
      <c r="S89" s="14" t="str">
        <f aca="false">IFERROR(VLOOKUP(TRIM('📥 Respostas'!V89),'⚙️ Config'!$A$4:$B$13,2,0),"")</f>
        <v/>
      </c>
      <c r="T89" s="14" t="str">
        <f aca="false">IFERROR(VLOOKUP(TRIM('📥 Respostas'!W89),'⚙️ Config'!$A$4:$B$13,2,0),"")</f>
        <v/>
      </c>
      <c r="U89" s="14" t="str">
        <f aca="false">IFERROR(VLOOKUP(TRIM('📥 Respostas'!X89),'⚙️ Config'!$A$4:$B$13,2,0),"")</f>
        <v/>
      </c>
      <c r="V89" s="14" t="str">
        <f aca="false">IFERROR(VLOOKUP(TRIM('📥 Respostas'!Y89),'⚙️ Config'!$A$4:$B$13,2,0),"")</f>
        <v/>
      </c>
      <c r="W89" s="14" t="str">
        <f aca="false">IFERROR(VLOOKUP(TRIM('📥 Respostas'!Z89),'⚙️ Config'!$A$4:$B$13,2,0),"")</f>
        <v/>
      </c>
      <c r="X89" s="14" t="str">
        <f aca="false">IFERROR(VLOOKUP(TRIM('📥 Respostas'!AA89),'⚙️ Config'!$A$4:$B$13,2,0),"")</f>
        <v/>
      </c>
      <c r="Y89" s="14" t="str">
        <f aca="false">IFERROR(VLOOKUP(TRIM('📥 Respostas'!AB89),'⚙️ Config'!$A$4:$B$13,2,0),"")</f>
        <v/>
      </c>
      <c r="Z89" s="14" t="str">
        <f aca="false">IFERROR(VLOOKUP(TRIM('📥 Respostas'!AC89),'⚙️ Config'!$A$4:$B$13,2,0),"")</f>
        <v/>
      </c>
      <c r="AA89" s="14" t="str">
        <f aca="false">IFERROR(VLOOKUP(TRIM('📥 Respostas'!AD89),'⚙️ Config'!$A$4:$B$13,2,0),"")</f>
        <v/>
      </c>
      <c r="AB89" s="14" t="str">
        <f aca="false">IFERROR(VLOOKUP(TRIM('📥 Respostas'!AE89),'⚙️ Config'!$A$4:$B$13,2,0),"")</f>
        <v/>
      </c>
      <c r="AC89" s="14" t="str">
        <f aca="false">IFERROR(VLOOKUP(TRIM('📥 Respostas'!AF89),'⚙️ Config'!$A$4:$B$13,2,0),"")</f>
        <v/>
      </c>
      <c r="AD89" s="14" t="str">
        <f aca="false">IFERROR(VLOOKUP(TRIM('📥 Respostas'!AG89),'⚙️ Config'!$A$4:$B$13,2,0),"")</f>
        <v/>
      </c>
      <c r="AE89" s="14" t="str">
        <f aca="false">IFERROR(VLOOKUP(TRIM('📥 Respostas'!AH89),'⚙️ Config'!$A$4:$B$13,2,0),"")</f>
        <v/>
      </c>
      <c r="AF89" s="14" t="str">
        <f aca="false">IFERROR(VLOOKUP(TRIM('📥 Respostas'!AI89),'⚙️ Config'!$C$4:$D$11,2,0),"")</f>
        <v/>
      </c>
      <c r="AG89" s="14" t="str">
        <f aca="false">IFERROR(VLOOKUP(TRIM('📥 Respostas'!AJ89),'⚙️ Config'!$A$4:$B$13,2,0),"")</f>
        <v/>
      </c>
      <c r="AH89" s="14" t="str">
        <f aca="false">IFERROR(VLOOKUP(TRIM('📥 Respostas'!AK89),'⚙️ Config'!$A$4:$B$13,2,0),"")</f>
        <v/>
      </c>
      <c r="AI89" s="14" t="str">
        <f aca="false">IFERROR(VLOOKUP(TRIM('📥 Respostas'!AL89),'⚙️ Config'!$A$4:$B$13,2,0),"")</f>
        <v/>
      </c>
      <c r="AJ89" s="14" t="str">
        <f aca="false">IFERROR(VLOOKUP(TRIM('📥 Respostas'!AM89),'⚙️ Config'!$A$4:$B$13,2,0),"")</f>
        <v/>
      </c>
      <c r="AK89" s="14" t="str">
        <f aca="false">IFERROR(VLOOKUP(TRIM('📥 Respostas'!AN89),'⚙️ Config'!$A$4:$B$13,2,0),"")</f>
        <v/>
      </c>
      <c r="AL89" s="14" t="str">
        <f aca="false">IFERROR(VLOOKUP(TRIM('📥 Respostas'!AO89),'⚙️ Config'!$A$4:$B$13,2,0),"")</f>
        <v/>
      </c>
      <c r="AM89" s="14" t="str">
        <f aca="false">IFERROR(VLOOKUP(TRIM('📥 Respostas'!AP89),'⚙️ Config'!$A$4:$B$13,2,0),"")</f>
        <v/>
      </c>
      <c r="AN89" s="14" t="str">
        <f aca="false">IFERROR(VLOOKUP(TRIM('📥 Respostas'!AQ89),'⚙️ Config'!$A$4:$B$13,2,0),"")</f>
        <v/>
      </c>
      <c r="AO89" s="14" t="str">
        <f aca="false">IFERROR(VLOOKUP(TRIM('📥 Respostas'!AR89),'⚙️ Config'!$A$4:$B$13,2,0),"")</f>
        <v/>
      </c>
      <c r="AP89" s="14" t="str">
        <f aca="false">IFERROR(VLOOKUP(TRIM('📥 Respostas'!AS89),'⚙️ Config'!$A$4:$B$13,2,0),"")</f>
        <v/>
      </c>
      <c r="AQ89" s="14" t="str">
        <f aca="false">IFERROR(VLOOKUP(TRIM('📥 Respostas'!AT89),'⚙️ Config'!$A$4:$B$13,2,0),"")</f>
        <v/>
      </c>
      <c r="AR89" s="14" t="str">
        <f aca="false">IFERROR(VLOOKUP(TRIM('📥 Respostas'!AU89),'⚙️ Config'!$A$4:$B$13,2,0),"")</f>
        <v/>
      </c>
    </row>
    <row r="90" customFormat="false" ht="15" hidden="false" customHeight="false" outlineLevel="0" collapsed="false">
      <c r="A90" s="12" t="str">
        <f aca="false">IF(ISBLANK('📥 Respostas'!D90),"",ROW()-3)</f>
        <v/>
      </c>
      <c r="B90" s="12" t="n">
        <f aca="false">'📥 Respostas'!D90</f>
        <v>0</v>
      </c>
      <c r="C90" s="13" t="n">
        <f aca="false">'📥 Respostas'!C90</f>
        <v>0</v>
      </c>
      <c r="D90" s="14" t="str">
        <f aca="false">IFERROR(VLOOKUP(TRIM('📥 Respostas'!G90),'⚙️ Config'!$A$4:$B$13,2,0),"")</f>
        <v/>
      </c>
      <c r="E90" s="14" t="str">
        <f aca="false">IFERROR(VLOOKUP(TRIM('📥 Respostas'!H90),'⚙️ Config'!$A$4:$B$13,2,0),"")</f>
        <v/>
      </c>
      <c r="F90" s="14" t="str">
        <f aca="false">IFERROR(VLOOKUP(TRIM('📥 Respostas'!I90),'⚙️ Config'!$A$4:$B$13,2,0),"")</f>
        <v/>
      </c>
      <c r="G90" s="14" t="str">
        <f aca="false">IFERROR(VLOOKUP(TRIM('📥 Respostas'!J90),'⚙️ Config'!$A$4:$B$13,2,0),"")</f>
        <v/>
      </c>
      <c r="H90" s="14" t="str">
        <f aca="false">IFERROR(VLOOKUP(TRIM('📥 Respostas'!K90),'⚙️ Config'!$A$4:$B$13,2,0),"")</f>
        <v/>
      </c>
      <c r="I90" s="14" t="str">
        <f aca="false">IFERROR(VLOOKUP(TRIM('📥 Respostas'!L90),'⚙️ Config'!$A$4:$B$13,2,0),"")</f>
        <v/>
      </c>
      <c r="J90" s="14" t="str">
        <f aca="false">IFERROR(VLOOKUP(TRIM('📥 Respostas'!M90),'⚙️ Config'!$A$4:$B$13,2,0),"")</f>
        <v/>
      </c>
      <c r="K90" s="14" t="str">
        <f aca="false">IFERROR(VLOOKUP(TRIM('📥 Respostas'!N90),'⚙️ Config'!$A$4:$B$13,2,0),"")</f>
        <v/>
      </c>
      <c r="L90" s="14" t="str">
        <f aca="false">IFERROR(VLOOKUP(TRIM('📥 Respostas'!O90),'⚙️ Config'!$A$4:$B$13,2,0),"")</f>
        <v/>
      </c>
      <c r="M90" s="14" t="str">
        <f aca="false">IFERROR(VLOOKUP(TRIM('📥 Respostas'!P90),'⚙️ Config'!$A$4:$B$13,2,0),"")</f>
        <v/>
      </c>
      <c r="N90" s="14" t="str">
        <f aca="false">IFERROR(VLOOKUP(TRIM('📥 Respostas'!Q90),'⚙️ Config'!$A$4:$B$13,2,0),"")</f>
        <v/>
      </c>
      <c r="O90" s="14" t="str">
        <f aca="false">IFERROR(VLOOKUP(TRIM('📥 Respostas'!R90),'⚙️ Config'!$A$4:$B$13,2,0),"")</f>
        <v/>
      </c>
      <c r="P90" s="14" t="str">
        <f aca="false">IFERROR(VLOOKUP(TRIM('📥 Respostas'!S90),'⚙️ Config'!$A$4:$B$13,2,0),"")</f>
        <v/>
      </c>
      <c r="Q90" s="14" t="str">
        <f aca="false">IFERROR(VLOOKUP(TRIM('📥 Respostas'!T90),'⚙️ Config'!$A$4:$B$13,2,0),"")</f>
        <v/>
      </c>
      <c r="R90" s="14" t="str">
        <f aca="false">IFERROR(VLOOKUP(TRIM('📥 Respostas'!U90),'⚙️ Config'!$A$4:$B$13,2,0),"")</f>
        <v/>
      </c>
      <c r="S90" s="14" t="str">
        <f aca="false">IFERROR(VLOOKUP(TRIM('📥 Respostas'!V90),'⚙️ Config'!$A$4:$B$13,2,0),"")</f>
        <v/>
      </c>
      <c r="T90" s="14" t="str">
        <f aca="false">IFERROR(VLOOKUP(TRIM('📥 Respostas'!W90),'⚙️ Config'!$A$4:$B$13,2,0),"")</f>
        <v/>
      </c>
      <c r="U90" s="14" t="str">
        <f aca="false">IFERROR(VLOOKUP(TRIM('📥 Respostas'!X90),'⚙️ Config'!$A$4:$B$13,2,0),"")</f>
        <v/>
      </c>
      <c r="V90" s="14" t="str">
        <f aca="false">IFERROR(VLOOKUP(TRIM('📥 Respostas'!Y90),'⚙️ Config'!$A$4:$B$13,2,0),"")</f>
        <v/>
      </c>
      <c r="W90" s="14" t="str">
        <f aca="false">IFERROR(VLOOKUP(TRIM('📥 Respostas'!Z90),'⚙️ Config'!$A$4:$B$13,2,0),"")</f>
        <v/>
      </c>
      <c r="X90" s="14" t="str">
        <f aca="false">IFERROR(VLOOKUP(TRIM('📥 Respostas'!AA90),'⚙️ Config'!$A$4:$B$13,2,0),"")</f>
        <v/>
      </c>
      <c r="Y90" s="14" t="str">
        <f aca="false">IFERROR(VLOOKUP(TRIM('📥 Respostas'!AB90),'⚙️ Config'!$A$4:$B$13,2,0),"")</f>
        <v/>
      </c>
      <c r="Z90" s="14" t="str">
        <f aca="false">IFERROR(VLOOKUP(TRIM('📥 Respostas'!AC90),'⚙️ Config'!$A$4:$B$13,2,0),"")</f>
        <v/>
      </c>
      <c r="AA90" s="14" t="str">
        <f aca="false">IFERROR(VLOOKUP(TRIM('📥 Respostas'!AD90),'⚙️ Config'!$A$4:$B$13,2,0),"")</f>
        <v/>
      </c>
      <c r="AB90" s="14" t="str">
        <f aca="false">IFERROR(VLOOKUP(TRIM('📥 Respostas'!AE90),'⚙️ Config'!$A$4:$B$13,2,0),"")</f>
        <v/>
      </c>
      <c r="AC90" s="14" t="str">
        <f aca="false">IFERROR(VLOOKUP(TRIM('📥 Respostas'!AF90),'⚙️ Config'!$A$4:$B$13,2,0),"")</f>
        <v/>
      </c>
      <c r="AD90" s="14" t="str">
        <f aca="false">IFERROR(VLOOKUP(TRIM('📥 Respostas'!AG90),'⚙️ Config'!$A$4:$B$13,2,0),"")</f>
        <v/>
      </c>
      <c r="AE90" s="14" t="str">
        <f aca="false">IFERROR(VLOOKUP(TRIM('📥 Respostas'!AH90),'⚙️ Config'!$A$4:$B$13,2,0),"")</f>
        <v/>
      </c>
      <c r="AF90" s="14" t="str">
        <f aca="false">IFERROR(VLOOKUP(TRIM('📥 Respostas'!AI90),'⚙️ Config'!$C$4:$D$11,2,0),"")</f>
        <v/>
      </c>
      <c r="AG90" s="14" t="str">
        <f aca="false">IFERROR(VLOOKUP(TRIM('📥 Respostas'!AJ90),'⚙️ Config'!$A$4:$B$13,2,0),"")</f>
        <v/>
      </c>
      <c r="AH90" s="14" t="str">
        <f aca="false">IFERROR(VLOOKUP(TRIM('📥 Respostas'!AK90),'⚙️ Config'!$A$4:$B$13,2,0),"")</f>
        <v/>
      </c>
      <c r="AI90" s="14" t="str">
        <f aca="false">IFERROR(VLOOKUP(TRIM('📥 Respostas'!AL90),'⚙️ Config'!$A$4:$B$13,2,0),"")</f>
        <v/>
      </c>
      <c r="AJ90" s="14" t="str">
        <f aca="false">IFERROR(VLOOKUP(TRIM('📥 Respostas'!AM90),'⚙️ Config'!$A$4:$B$13,2,0),"")</f>
        <v/>
      </c>
      <c r="AK90" s="14" t="str">
        <f aca="false">IFERROR(VLOOKUP(TRIM('📥 Respostas'!AN90),'⚙️ Config'!$A$4:$B$13,2,0),"")</f>
        <v/>
      </c>
      <c r="AL90" s="14" t="str">
        <f aca="false">IFERROR(VLOOKUP(TRIM('📥 Respostas'!AO90),'⚙️ Config'!$A$4:$B$13,2,0),"")</f>
        <v/>
      </c>
      <c r="AM90" s="14" t="str">
        <f aca="false">IFERROR(VLOOKUP(TRIM('📥 Respostas'!AP90),'⚙️ Config'!$A$4:$B$13,2,0),"")</f>
        <v/>
      </c>
      <c r="AN90" s="14" t="str">
        <f aca="false">IFERROR(VLOOKUP(TRIM('📥 Respostas'!AQ90),'⚙️ Config'!$A$4:$B$13,2,0),"")</f>
        <v/>
      </c>
      <c r="AO90" s="14" t="str">
        <f aca="false">IFERROR(VLOOKUP(TRIM('📥 Respostas'!AR90),'⚙️ Config'!$A$4:$B$13,2,0),"")</f>
        <v/>
      </c>
      <c r="AP90" s="14" t="str">
        <f aca="false">IFERROR(VLOOKUP(TRIM('📥 Respostas'!AS90),'⚙️ Config'!$A$4:$B$13,2,0),"")</f>
        <v/>
      </c>
      <c r="AQ90" s="14" t="str">
        <f aca="false">IFERROR(VLOOKUP(TRIM('📥 Respostas'!AT90),'⚙️ Config'!$A$4:$B$13,2,0),"")</f>
        <v/>
      </c>
      <c r="AR90" s="14" t="str">
        <f aca="false">IFERROR(VLOOKUP(TRIM('📥 Respostas'!AU90),'⚙️ Config'!$A$4:$B$13,2,0),"")</f>
        <v/>
      </c>
    </row>
    <row r="91" customFormat="false" ht="15" hidden="false" customHeight="false" outlineLevel="0" collapsed="false">
      <c r="A91" s="15" t="str">
        <f aca="false">IF(ISBLANK('📥 Respostas'!D91),"",ROW()-3)</f>
        <v/>
      </c>
      <c r="B91" s="15" t="n">
        <f aca="false">'📥 Respostas'!D91</f>
        <v>0</v>
      </c>
      <c r="C91" s="5" t="n">
        <f aca="false">'📥 Respostas'!C91</f>
        <v>0</v>
      </c>
      <c r="D91" s="14" t="str">
        <f aca="false">IFERROR(VLOOKUP(TRIM('📥 Respostas'!G91),'⚙️ Config'!$A$4:$B$13,2,0),"")</f>
        <v/>
      </c>
      <c r="E91" s="14" t="str">
        <f aca="false">IFERROR(VLOOKUP(TRIM('📥 Respostas'!H91),'⚙️ Config'!$A$4:$B$13,2,0),"")</f>
        <v/>
      </c>
      <c r="F91" s="14" t="str">
        <f aca="false">IFERROR(VLOOKUP(TRIM('📥 Respostas'!I91),'⚙️ Config'!$A$4:$B$13,2,0),"")</f>
        <v/>
      </c>
      <c r="G91" s="14" t="str">
        <f aca="false">IFERROR(VLOOKUP(TRIM('📥 Respostas'!J91),'⚙️ Config'!$A$4:$B$13,2,0),"")</f>
        <v/>
      </c>
      <c r="H91" s="14" t="str">
        <f aca="false">IFERROR(VLOOKUP(TRIM('📥 Respostas'!K91),'⚙️ Config'!$A$4:$B$13,2,0),"")</f>
        <v/>
      </c>
      <c r="I91" s="14" t="str">
        <f aca="false">IFERROR(VLOOKUP(TRIM('📥 Respostas'!L91),'⚙️ Config'!$A$4:$B$13,2,0),"")</f>
        <v/>
      </c>
      <c r="J91" s="14" t="str">
        <f aca="false">IFERROR(VLOOKUP(TRIM('📥 Respostas'!M91),'⚙️ Config'!$A$4:$B$13,2,0),"")</f>
        <v/>
      </c>
      <c r="K91" s="14" t="str">
        <f aca="false">IFERROR(VLOOKUP(TRIM('📥 Respostas'!N91),'⚙️ Config'!$A$4:$B$13,2,0),"")</f>
        <v/>
      </c>
      <c r="L91" s="14" t="str">
        <f aca="false">IFERROR(VLOOKUP(TRIM('📥 Respostas'!O91),'⚙️ Config'!$A$4:$B$13,2,0),"")</f>
        <v/>
      </c>
      <c r="M91" s="14" t="str">
        <f aca="false">IFERROR(VLOOKUP(TRIM('📥 Respostas'!P91),'⚙️ Config'!$A$4:$B$13,2,0),"")</f>
        <v/>
      </c>
      <c r="N91" s="14" t="str">
        <f aca="false">IFERROR(VLOOKUP(TRIM('📥 Respostas'!Q91),'⚙️ Config'!$A$4:$B$13,2,0),"")</f>
        <v/>
      </c>
      <c r="O91" s="14" t="str">
        <f aca="false">IFERROR(VLOOKUP(TRIM('📥 Respostas'!R91),'⚙️ Config'!$A$4:$B$13,2,0),"")</f>
        <v/>
      </c>
      <c r="P91" s="14" t="str">
        <f aca="false">IFERROR(VLOOKUP(TRIM('📥 Respostas'!S91),'⚙️ Config'!$A$4:$B$13,2,0),"")</f>
        <v/>
      </c>
      <c r="Q91" s="14" t="str">
        <f aca="false">IFERROR(VLOOKUP(TRIM('📥 Respostas'!T91),'⚙️ Config'!$A$4:$B$13,2,0),"")</f>
        <v/>
      </c>
      <c r="R91" s="14" t="str">
        <f aca="false">IFERROR(VLOOKUP(TRIM('📥 Respostas'!U91),'⚙️ Config'!$A$4:$B$13,2,0),"")</f>
        <v/>
      </c>
      <c r="S91" s="14" t="str">
        <f aca="false">IFERROR(VLOOKUP(TRIM('📥 Respostas'!V91),'⚙️ Config'!$A$4:$B$13,2,0),"")</f>
        <v/>
      </c>
      <c r="T91" s="14" t="str">
        <f aca="false">IFERROR(VLOOKUP(TRIM('📥 Respostas'!W91),'⚙️ Config'!$A$4:$B$13,2,0),"")</f>
        <v/>
      </c>
      <c r="U91" s="14" t="str">
        <f aca="false">IFERROR(VLOOKUP(TRIM('📥 Respostas'!X91),'⚙️ Config'!$A$4:$B$13,2,0),"")</f>
        <v/>
      </c>
      <c r="V91" s="14" t="str">
        <f aca="false">IFERROR(VLOOKUP(TRIM('📥 Respostas'!Y91),'⚙️ Config'!$A$4:$B$13,2,0),"")</f>
        <v/>
      </c>
      <c r="W91" s="14" t="str">
        <f aca="false">IFERROR(VLOOKUP(TRIM('📥 Respostas'!Z91),'⚙️ Config'!$A$4:$B$13,2,0),"")</f>
        <v/>
      </c>
      <c r="X91" s="14" t="str">
        <f aca="false">IFERROR(VLOOKUP(TRIM('📥 Respostas'!AA91),'⚙️ Config'!$A$4:$B$13,2,0),"")</f>
        <v/>
      </c>
      <c r="Y91" s="14" t="str">
        <f aca="false">IFERROR(VLOOKUP(TRIM('📥 Respostas'!AB91),'⚙️ Config'!$A$4:$B$13,2,0),"")</f>
        <v/>
      </c>
      <c r="Z91" s="14" t="str">
        <f aca="false">IFERROR(VLOOKUP(TRIM('📥 Respostas'!AC91),'⚙️ Config'!$A$4:$B$13,2,0),"")</f>
        <v/>
      </c>
      <c r="AA91" s="14" t="str">
        <f aca="false">IFERROR(VLOOKUP(TRIM('📥 Respostas'!AD91),'⚙️ Config'!$A$4:$B$13,2,0),"")</f>
        <v/>
      </c>
      <c r="AB91" s="14" t="str">
        <f aca="false">IFERROR(VLOOKUP(TRIM('📥 Respostas'!AE91),'⚙️ Config'!$A$4:$B$13,2,0),"")</f>
        <v/>
      </c>
      <c r="AC91" s="14" t="str">
        <f aca="false">IFERROR(VLOOKUP(TRIM('📥 Respostas'!AF91),'⚙️ Config'!$A$4:$B$13,2,0),"")</f>
        <v/>
      </c>
      <c r="AD91" s="14" t="str">
        <f aca="false">IFERROR(VLOOKUP(TRIM('📥 Respostas'!AG91),'⚙️ Config'!$A$4:$B$13,2,0),"")</f>
        <v/>
      </c>
      <c r="AE91" s="14" t="str">
        <f aca="false">IFERROR(VLOOKUP(TRIM('📥 Respostas'!AH91),'⚙️ Config'!$A$4:$B$13,2,0),"")</f>
        <v/>
      </c>
      <c r="AF91" s="14" t="str">
        <f aca="false">IFERROR(VLOOKUP(TRIM('📥 Respostas'!AI91),'⚙️ Config'!$C$4:$D$11,2,0),"")</f>
        <v/>
      </c>
      <c r="AG91" s="14" t="str">
        <f aca="false">IFERROR(VLOOKUP(TRIM('📥 Respostas'!AJ91),'⚙️ Config'!$A$4:$B$13,2,0),"")</f>
        <v/>
      </c>
      <c r="AH91" s="14" t="str">
        <f aca="false">IFERROR(VLOOKUP(TRIM('📥 Respostas'!AK91),'⚙️ Config'!$A$4:$B$13,2,0),"")</f>
        <v/>
      </c>
      <c r="AI91" s="14" t="str">
        <f aca="false">IFERROR(VLOOKUP(TRIM('📥 Respostas'!AL91),'⚙️ Config'!$A$4:$B$13,2,0),"")</f>
        <v/>
      </c>
      <c r="AJ91" s="14" t="str">
        <f aca="false">IFERROR(VLOOKUP(TRIM('📥 Respostas'!AM91),'⚙️ Config'!$A$4:$B$13,2,0),"")</f>
        <v/>
      </c>
      <c r="AK91" s="14" t="str">
        <f aca="false">IFERROR(VLOOKUP(TRIM('📥 Respostas'!AN91),'⚙️ Config'!$A$4:$B$13,2,0),"")</f>
        <v/>
      </c>
      <c r="AL91" s="14" t="str">
        <f aca="false">IFERROR(VLOOKUP(TRIM('📥 Respostas'!AO91),'⚙️ Config'!$A$4:$B$13,2,0),"")</f>
        <v/>
      </c>
      <c r="AM91" s="14" t="str">
        <f aca="false">IFERROR(VLOOKUP(TRIM('📥 Respostas'!AP91),'⚙️ Config'!$A$4:$B$13,2,0),"")</f>
        <v/>
      </c>
      <c r="AN91" s="14" t="str">
        <f aca="false">IFERROR(VLOOKUP(TRIM('📥 Respostas'!AQ91),'⚙️ Config'!$A$4:$B$13,2,0),"")</f>
        <v/>
      </c>
      <c r="AO91" s="14" t="str">
        <f aca="false">IFERROR(VLOOKUP(TRIM('📥 Respostas'!AR91),'⚙️ Config'!$A$4:$B$13,2,0),"")</f>
        <v/>
      </c>
      <c r="AP91" s="14" t="str">
        <f aca="false">IFERROR(VLOOKUP(TRIM('📥 Respostas'!AS91),'⚙️ Config'!$A$4:$B$13,2,0),"")</f>
        <v/>
      </c>
      <c r="AQ91" s="14" t="str">
        <f aca="false">IFERROR(VLOOKUP(TRIM('📥 Respostas'!AT91),'⚙️ Config'!$A$4:$B$13,2,0),"")</f>
        <v/>
      </c>
      <c r="AR91" s="14" t="str">
        <f aca="false">IFERROR(VLOOKUP(TRIM('📥 Respostas'!AU91),'⚙️ Config'!$A$4:$B$13,2,0),"")</f>
        <v/>
      </c>
    </row>
    <row r="92" customFormat="false" ht="15" hidden="false" customHeight="false" outlineLevel="0" collapsed="false">
      <c r="A92" s="12" t="str">
        <f aca="false">IF(ISBLANK('📥 Respostas'!D92),"",ROW()-3)</f>
        <v/>
      </c>
      <c r="B92" s="12" t="n">
        <f aca="false">'📥 Respostas'!D92</f>
        <v>0</v>
      </c>
      <c r="C92" s="13" t="n">
        <f aca="false">'📥 Respostas'!C92</f>
        <v>0</v>
      </c>
      <c r="D92" s="14" t="str">
        <f aca="false">IFERROR(VLOOKUP(TRIM('📥 Respostas'!G92),'⚙️ Config'!$A$4:$B$13,2,0),"")</f>
        <v/>
      </c>
      <c r="E92" s="14" t="str">
        <f aca="false">IFERROR(VLOOKUP(TRIM('📥 Respostas'!H92),'⚙️ Config'!$A$4:$B$13,2,0),"")</f>
        <v/>
      </c>
      <c r="F92" s="14" t="str">
        <f aca="false">IFERROR(VLOOKUP(TRIM('📥 Respostas'!I92),'⚙️ Config'!$A$4:$B$13,2,0),"")</f>
        <v/>
      </c>
      <c r="G92" s="14" t="str">
        <f aca="false">IFERROR(VLOOKUP(TRIM('📥 Respostas'!J92),'⚙️ Config'!$A$4:$B$13,2,0),"")</f>
        <v/>
      </c>
      <c r="H92" s="14" t="str">
        <f aca="false">IFERROR(VLOOKUP(TRIM('📥 Respostas'!K92),'⚙️ Config'!$A$4:$B$13,2,0),"")</f>
        <v/>
      </c>
      <c r="I92" s="14" t="str">
        <f aca="false">IFERROR(VLOOKUP(TRIM('📥 Respostas'!L92),'⚙️ Config'!$A$4:$B$13,2,0),"")</f>
        <v/>
      </c>
      <c r="J92" s="14" t="str">
        <f aca="false">IFERROR(VLOOKUP(TRIM('📥 Respostas'!M92),'⚙️ Config'!$A$4:$B$13,2,0),"")</f>
        <v/>
      </c>
      <c r="K92" s="14" t="str">
        <f aca="false">IFERROR(VLOOKUP(TRIM('📥 Respostas'!N92),'⚙️ Config'!$A$4:$B$13,2,0),"")</f>
        <v/>
      </c>
      <c r="L92" s="14" t="str">
        <f aca="false">IFERROR(VLOOKUP(TRIM('📥 Respostas'!O92),'⚙️ Config'!$A$4:$B$13,2,0),"")</f>
        <v/>
      </c>
      <c r="M92" s="14" t="str">
        <f aca="false">IFERROR(VLOOKUP(TRIM('📥 Respostas'!P92),'⚙️ Config'!$A$4:$B$13,2,0),"")</f>
        <v/>
      </c>
      <c r="N92" s="14" t="str">
        <f aca="false">IFERROR(VLOOKUP(TRIM('📥 Respostas'!Q92),'⚙️ Config'!$A$4:$B$13,2,0),"")</f>
        <v/>
      </c>
      <c r="O92" s="14" t="str">
        <f aca="false">IFERROR(VLOOKUP(TRIM('📥 Respostas'!R92),'⚙️ Config'!$A$4:$B$13,2,0),"")</f>
        <v/>
      </c>
      <c r="P92" s="14" t="str">
        <f aca="false">IFERROR(VLOOKUP(TRIM('📥 Respostas'!S92),'⚙️ Config'!$A$4:$B$13,2,0),"")</f>
        <v/>
      </c>
      <c r="Q92" s="14" t="str">
        <f aca="false">IFERROR(VLOOKUP(TRIM('📥 Respostas'!T92),'⚙️ Config'!$A$4:$B$13,2,0),"")</f>
        <v/>
      </c>
      <c r="R92" s="14" t="str">
        <f aca="false">IFERROR(VLOOKUP(TRIM('📥 Respostas'!U92),'⚙️ Config'!$A$4:$B$13,2,0),"")</f>
        <v/>
      </c>
      <c r="S92" s="14" t="str">
        <f aca="false">IFERROR(VLOOKUP(TRIM('📥 Respostas'!V92),'⚙️ Config'!$A$4:$B$13,2,0),"")</f>
        <v/>
      </c>
      <c r="T92" s="14" t="str">
        <f aca="false">IFERROR(VLOOKUP(TRIM('📥 Respostas'!W92),'⚙️ Config'!$A$4:$B$13,2,0),"")</f>
        <v/>
      </c>
      <c r="U92" s="14" t="str">
        <f aca="false">IFERROR(VLOOKUP(TRIM('📥 Respostas'!X92),'⚙️ Config'!$A$4:$B$13,2,0),"")</f>
        <v/>
      </c>
      <c r="V92" s="14" t="str">
        <f aca="false">IFERROR(VLOOKUP(TRIM('📥 Respostas'!Y92),'⚙️ Config'!$A$4:$B$13,2,0),"")</f>
        <v/>
      </c>
      <c r="W92" s="14" t="str">
        <f aca="false">IFERROR(VLOOKUP(TRIM('📥 Respostas'!Z92),'⚙️ Config'!$A$4:$B$13,2,0),"")</f>
        <v/>
      </c>
      <c r="X92" s="14" t="str">
        <f aca="false">IFERROR(VLOOKUP(TRIM('📥 Respostas'!AA92),'⚙️ Config'!$A$4:$B$13,2,0),"")</f>
        <v/>
      </c>
      <c r="Y92" s="14" t="str">
        <f aca="false">IFERROR(VLOOKUP(TRIM('📥 Respostas'!AB92),'⚙️ Config'!$A$4:$B$13,2,0),"")</f>
        <v/>
      </c>
      <c r="Z92" s="14" t="str">
        <f aca="false">IFERROR(VLOOKUP(TRIM('📥 Respostas'!AC92),'⚙️ Config'!$A$4:$B$13,2,0),"")</f>
        <v/>
      </c>
      <c r="AA92" s="14" t="str">
        <f aca="false">IFERROR(VLOOKUP(TRIM('📥 Respostas'!AD92),'⚙️ Config'!$A$4:$B$13,2,0),"")</f>
        <v/>
      </c>
      <c r="AB92" s="14" t="str">
        <f aca="false">IFERROR(VLOOKUP(TRIM('📥 Respostas'!AE92),'⚙️ Config'!$A$4:$B$13,2,0),"")</f>
        <v/>
      </c>
      <c r="AC92" s="14" t="str">
        <f aca="false">IFERROR(VLOOKUP(TRIM('📥 Respostas'!AF92),'⚙️ Config'!$A$4:$B$13,2,0),"")</f>
        <v/>
      </c>
      <c r="AD92" s="14" t="str">
        <f aca="false">IFERROR(VLOOKUP(TRIM('📥 Respostas'!AG92),'⚙️ Config'!$A$4:$B$13,2,0),"")</f>
        <v/>
      </c>
      <c r="AE92" s="14" t="str">
        <f aca="false">IFERROR(VLOOKUP(TRIM('📥 Respostas'!AH92),'⚙️ Config'!$A$4:$B$13,2,0),"")</f>
        <v/>
      </c>
      <c r="AF92" s="14" t="str">
        <f aca="false">IFERROR(VLOOKUP(TRIM('📥 Respostas'!AI92),'⚙️ Config'!$C$4:$D$11,2,0),"")</f>
        <v/>
      </c>
      <c r="AG92" s="14" t="str">
        <f aca="false">IFERROR(VLOOKUP(TRIM('📥 Respostas'!AJ92),'⚙️ Config'!$A$4:$B$13,2,0),"")</f>
        <v/>
      </c>
      <c r="AH92" s="14" t="str">
        <f aca="false">IFERROR(VLOOKUP(TRIM('📥 Respostas'!AK92),'⚙️ Config'!$A$4:$B$13,2,0),"")</f>
        <v/>
      </c>
      <c r="AI92" s="14" t="str">
        <f aca="false">IFERROR(VLOOKUP(TRIM('📥 Respostas'!AL92),'⚙️ Config'!$A$4:$B$13,2,0),"")</f>
        <v/>
      </c>
      <c r="AJ92" s="14" t="str">
        <f aca="false">IFERROR(VLOOKUP(TRIM('📥 Respostas'!AM92),'⚙️ Config'!$A$4:$B$13,2,0),"")</f>
        <v/>
      </c>
      <c r="AK92" s="14" t="str">
        <f aca="false">IFERROR(VLOOKUP(TRIM('📥 Respostas'!AN92),'⚙️ Config'!$A$4:$B$13,2,0),"")</f>
        <v/>
      </c>
      <c r="AL92" s="14" t="str">
        <f aca="false">IFERROR(VLOOKUP(TRIM('📥 Respostas'!AO92),'⚙️ Config'!$A$4:$B$13,2,0),"")</f>
        <v/>
      </c>
      <c r="AM92" s="14" t="str">
        <f aca="false">IFERROR(VLOOKUP(TRIM('📥 Respostas'!AP92),'⚙️ Config'!$A$4:$B$13,2,0),"")</f>
        <v/>
      </c>
      <c r="AN92" s="14" t="str">
        <f aca="false">IFERROR(VLOOKUP(TRIM('📥 Respostas'!AQ92),'⚙️ Config'!$A$4:$B$13,2,0),"")</f>
        <v/>
      </c>
      <c r="AO92" s="14" t="str">
        <f aca="false">IFERROR(VLOOKUP(TRIM('📥 Respostas'!AR92),'⚙️ Config'!$A$4:$B$13,2,0),"")</f>
        <v/>
      </c>
      <c r="AP92" s="14" t="str">
        <f aca="false">IFERROR(VLOOKUP(TRIM('📥 Respostas'!AS92),'⚙️ Config'!$A$4:$B$13,2,0),"")</f>
        <v/>
      </c>
      <c r="AQ92" s="14" t="str">
        <f aca="false">IFERROR(VLOOKUP(TRIM('📥 Respostas'!AT92),'⚙️ Config'!$A$4:$B$13,2,0),"")</f>
        <v/>
      </c>
      <c r="AR92" s="14" t="str">
        <f aca="false">IFERROR(VLOOKUP(TRIM('📥 Respostas'!AU92),'⚙️ Config'!$A$4:$B$13,2,0),"")</f>
        <v/>
      </c>
    </row>
    <row r="93" customFormat="false" ht="15" hidden="false" customHeight="false" outlineLevel="0" collapsed="false">
      <c r="A93" s="15" t="str">
        <f aca="false">IF(ISBLANK('📥 Respostas'!D93),"",ROW()-3)</f>
        <v/>
      </c>
      <c r="B93" s="15" t="n">
        <f aca="false">'📥 Respostas'!D93</f>
        <v>0</v>
      </c>
      <c r="C93" s="5" t="n">
        <f aca="false">'📥 Respostas'!C93</f>
        <v>0</v>
      </c>
      <c r="D93" s="14" t="str">
        <f aca="false">IFERROR(VLOOKUP(TRIM('📥 Respostas'!G93),'⚙️ Config'!$A$4:$B$13,2,0),"")</f>
        <v/>
      </c>
      <c r="E93" s="14" t="str">
        <f aca="false">IFERROR(VLOOKUP(TRIM('📥 Respostas'!H93),'⚙️ Config'!$A$4:$B$13,2,0),"")</f>
        <v/>
      </c>
      <c r="F93" s="14" t="str">
        <f aca="false">IFERROR(VLOOKUP(TRIM('📥 Respostas'!I93),'⚙️ Config'!$A$4:$B$13,2,0),"")</f>
        <v/>
      </c>
      <c r="G93" s="14" t="str">
        <f aca="false">IFERROR(VLOOKUP(TRIM('📥 Respostas'!J93),'⚙️ Config'!$A$4:$B$13,2,0),"")</f>
        <v/>
      </c>
      <c r="H93" s="14" t="str">
        <f aca="false">IFERROR(VLOOKUP(TRIM('📥 Respostas'!K93),'⚙️ Config'!$A$4:$B$13,2,0),"")</f>
        <v/>
      </c>
      <c r="I93" s="14" t="str">
        <f aca="false">IFERROR(VLOOKUP(TRIM('📥 Respostas'!L93),'⚙️ Config'!$A$4:$B$13,2,0),"")</f>
        <v/>
      </c>
      <c r="J93" s="14" t="str">
        <f aca="false">IFERROR(VLOOKUP(TRIM('📥 Respostas'!M93),'⚙️ Config'!$A$4:$B$13,2,0),"")</f>
        <v/>
      </c>
      <c r="K93" s="14" t="str">
        <f aca="false">IFERROR(VLOOKUP(TRIM('📥 Respostas'!N93),'⚙️ Config'!$A$4:$B$13,2,0),"")</f>
        <v/>
      </c>
      <c r="L93" s="14" t="str">
        <f aca="false">IFERROR(VLOOKUP(TRIM('📥 Respostas'!O93),'⚙️ Config'!$A$4:$B$13,2,0),"")</f>
        <v/>
      </c>
      <c r="M93" s="14" t="str">
        <f aca="false">IFERROR(VLOOKUP(TRIM('📥 Respostas'!P93),'⚙️ Config'!$A$4:$B$13,2,0),"")</f>
        <v/>
      </c>
      <c r="N93" s="14" t="str">
        <f aca="false">IFERROR(VLOOKUP(TRIM('📥 Respostas'!Q93),'⚙️ Config'!$A$4:$B$13,2,0),"")</f>
        <v/>
      </c>
      <c r="O93" s="14" t="str">
        <f aca="false">IFERROR(VLOOKUP(TRIM('📥 Respostas'!R93),'⚙️ Config'!$A$4:$B$13,2,0),"")</f>
        <v/>
      </c>
      <c r="P93" s="14" t="str">
        <f aca="false">IFERROR(VLOOKUP(TRIM('📥 Respostas'!S93),'⚙️ Config'!$A$4:$B$13,2,0),"")</f>
        <v/>
      </c>
      <c r="Q93" s="14" t="str">
        <f aca="false">IFERROR(VLOOKUP(TRIM('📥 Respostas'!T93),'⚙️ Config'!$A$4:$B$13,2,0),"")</f>
        <v/>
      </c>
      <c r="R93" s="14" t="str">
        <f aca="false">IFERROR(VLOOKUP(TRIM('📥 Respostas'!U93),'⚙️ Config'!$A$4:$B$13,2,0),"")</f>
        <v/>
      </c>
      <c r="S93" s="14" t="str">
        <f aca="false">IFERROR(VLOOKUP(TRIM('📥 Respostas'!V93),'⚙️ Config'!$A$4:$B$13,2,0),"")</f>
        <v/>
      </c>
      <c r="T93" s="14" t="str">
        <f aca="false">IFERROR(VLOOKUP(TRIM('📥 Respostas'!W93),'⚙️ Config'!$A$4:$B$13,2,0),"")</f>
        <v/>
      </c>
      <c r="U93" s="14" t="str">
        <f aca="false">IFERROR(VLOOKUP(TRIM('📥 Respostas'!X93),'⚙️ Config'!$A$4:$B$13,2,0),"")</f>
        <v/>
      </c>
      <c r="V93" s="14" t="str">
        <f aca="false">IFERROR(VLOOKUP(TRIM('📥 Respostas'!Y93),'⚙️ Config'!$A$4:$B$13,2,0),"")</f>
        <v/>
      </c>
      <c r="W93" s="14" t="str">
        <f aca="false">IFERROR(VLOOKUP(TRIM('📥 Respostas'!Z93),'⚙️ Config'!$A$4:$B$13,2,0),"")</f>
        <v/>
      </c>
      <c r="X93" s="14" t="str">
        <f aca="false">IFERROR(VLOOKUP(TRIM('📥 Respostas'!AA93),'⚙️ Config'!$A$4:$B$13,2,0),"")</f>
        <v/>
      </c>
      <c r="Y93" s="14" t="str">
        <f aca="false">IFERROR(VLOOKUP(TRIM('📥 Respostas'!AB93),'⚙️ Config'!$A$4:$B$13,2,0),"")</f>
        <v/>
      </c>
      <c r="Z93" s="14" t="str">
        <f aca="false">IFERROR(VLOOKUP(TRIM('📥 Respostas'!AC93),'⚙️ Config'!$A$4:$B$13,2,0),"")</f>
        <v/>
      </c>
      <c r="AA93" s="14" t="str">
        <f aca="false">IFERROR(VLOOKUP(TRIM('📥 Respostas'!AD93),'⚙️ Config'!$A$4:$B$13,2,0),"")</f>
        <v/>
      </c>
      <c r="AB93" s="14" t="str">
        <f aca="false">IFERROR(VLOOKUP(TRIM('📥 Respostas'!AE93),'⚙️ Config'!$A$4:$B$13,2,0),"")</f>
        <v/>
      </c>
      <c r="AC93" s="14" t="str">
        <f aca="false">IFERROR(VLOOKUP(TRIM('📥 Respostas'!AF93),'⚙️ Config'!$A$4:$B$13,2,0),"")</f>
        <v/>
      </c>
      <c r="AD93" s="14" t="str">
        <f aca="false">IFERROR(VLOOKUP(TRIM('📥 Respostas'!AG93),'⚙️ Config'!$A$4:$B$13,2,0),"")</f>
        <v/>
      </c>
      <c r="AE93" s="14" t="str">
        <f aca="false">IFERROR(VLOOKUP(TRIM('📥 Respostas'!AH93),'⚙️ Config'!$A$4:$B$13,2,0),"")</f>
        <v/>
      </c>
      <c r="AF93" s="14" t="str">
        <f aca="false">IFERROR(VLOOKUP(TRIM('📥 Respostas'!AI93),'⚙️ Config'!$C$4:$D$11,2,0),"")</f>
        <v/>
      </c>
      <c r="AG93" s="14" t="str">
        <f aca="false">IFERROR(VLOOKUP(TRIM('📥 Respostas'!AJ93),'⚙️ Config'!$A$4:$B$13,2,0),"")</f>
        <v/>
      </c>
      <c r="AH93" s="14" t="str">
        <f aca="false">IFERROR(VLOOKUP(TRIM('📥 Respostas'!AK93),'⚙️ Config'!$A$4:$B$13,2,0),"")</f>
        <v/>
      </c>
      <c r="AI93" s="14" t="str">
        <f aca="false">IFERROR(VLOOKUP(TRIM('📥 Respostas'!AL93),'⚙️ Config'!$A$4:$B$13,2,0),"")</f>
        <v/>
      </c>
      <c r="AJ93" s="14" t="str">
        <f aca="false">IFERROR(VLOOKUP(TRIM('📥 Respostas'!AM93),'⚙️ Config'!$A$4:$B$13,2,0),"")</f>
        <v/>
      </c>
      <c r="AK93" s="14" t="str">
        <f aca="false">IFERROR(VLOOKUP(TRIM('📥 Respostas'!AN93),'⚙️ Config'!$A$4:$B$13,2,0),"")</f>
        <v/>
      </c>
      <c r="AL93" s="14" t="str">
        <f aca="false">IFERROR(VLOOKUP(TRIM('📥 Respostas'!AO93),'⚙️ Config'!$A$4:$B$13,2,0),"")</f>
        <v/>
      </c>
      <c r="AM93" s="14" t="str">
        <f aca="false">IFERROR(VLOOKUP(TRIM('📥 Respostas'!AP93),'⚙️ Config'!$A$4:$B$13,2,0),"")</f>
        <v/>
      </c>
      <c r="AN93" s="14" t="str">
        <f aca="false">IFERROR(VLOOKUP(TRIM('📥 Respostas'!AQ93),'⚙️ Config'!$A$4:$B$13,2,0),"")</f>
        <v/>
      </c>
      <c r="AO93" s="14" t="str">
        <f aca="false">IFERROR(VLOOKUP(TRIM('📥 Respostas'!AR93),'⚙️ Config'!$A$4:$B$13,2,0),"")</f>
        <v/>
      </c>
      <c r="AP93" s="14" t="str">
        <f aca="false">IFERROR(VLOOKUP(TRIM('📥 Respostas'!AS93),'⚙️ Config'!$A$4:$B$13,2,0),"")</f>
        <v/>
      </c>
      <c r="AQ93" s="14" t="str">
        <f aca="false">IFERROR(VLOOKUP(TRIM('📥 Respostas'!AT93),'⚙️ Config'!$A$4:$B$13,2,0),"")</f>
        <v/>
      </c>
      <c r="AR93" s="14" t="str">
        <f aca="false">IFERROR(VLOOKUP(TRIM('📥 Respostas'!AU93),'⚙️ Config'!$A$4:$B$13,2,0),"")</f>
        <v/>
      </c>
    </row>
    <row r="94" customFormat="false" ht="15" hidden="false" customHeight="false" outlineLevel="0" collapsed="false">
      <c r="A94" s="12" t="str">
        <f aca="false">IF(ISBLANK('📥 Respostas'!D94),"",ROW()-3)</f>
        <v/>
      </c>
      <c r="B94" s="12" t="n">
        <f aca="false">'📥 Respostas'!D94</f>
        <v>0</v>
      </c>
      <c r="C94" s="13" t="n">
        <f aca="false">'📥 Respostas'!C94</f>
        <v>0</v>
      </c>
      <c r="D94" s="14" t="str">
        <f aca="false">IFERROR(VLOOKUP(TRIM('📥 Respostas'!G94),'⚙️ Config'!$A$4:$B$13,2,0),"")</f>
        <v/>
      </c>
      <c r="E94" s="14" t="str">
        <f aca="false">IFERROR(VLOOKUP(TRIM('📥 Respostas'!H94),'⚙️ Config'!$A$4:$B$13,2,0),"")</f>
        <v/>
      </c>
      <c r="F94" s="14" t="str">
        <f aca="false">IFERROR(VLOOKUP(TRIM('📥 Respostas'!I94),'⚙️ Config'!$A$4:$B$13,2,0),"")</f>
        <v/>
      </c>
      <c r="G94" s="14" t="str">
        <f aca="false">IFERROR(VLOOKUP(TRIM('📥 Respostas'!J94),'⚙️ Config'!$A$4:$B$13,2,0),"")</f>
        <v/>
      </c>
      <c r="H94" s="14" t="str">
        <f aca="false">IFERROR(VLOOKUP(TRIM('📥 Respostas'!K94),'⚙️ Config'!$A$4:$B$13,2,0),"")</f>
        <v/>
      </c>
      <c r="I94" s="14" t="str">
        <f aca="false">IFERROR(VLOOKUP(TRIM('📥 Respostas'!L94),'⚙️ Config'!$A$4:$B$13,2,0),"")</f>
        <v/>
      </c>
      <c r="J94" s="14" t="str">
        <f aca="false">IFERROR(VLOOKUP(TRIM('📥 Respostas'!M94),'⚙️ Config'!$A$4:$B$13,2,0),"")</f>
        <v/>
      </c>
      <c r="K94" s="14" t="str">
        <f aca="false">IFERROR(VLOOKUP(TRIM('📥 Respostas'!N94),'⚙️ Config'!$A$4:$B$13,2,0),"")</f>
        <v/>
      </c>
      <c r="L94" s="14" t="str">
        <f aca="false">IFERROR(VLOOKUP(TRIM('📥 Respostas'!O94),'⚙️ Config'!$A$4:$B$13,2,0),"")</f>
        <v/>
      </c>
      <c r="M94" s="14" t="str">
        <f aca="false">IFERROR(VLOOKUP(TRIM('📥 Respostas'!P94),'⚙️ Config'!$A$4:$B$13,2,0),"")</f>
        <v/>
      </c>
      <c r="N94" s="14" t="str">
        <f aca="false">IFERROR(VLOOKUP(TRIM('📥 Respostas'!Q94),'⚙️ Config'!$A$4:$B$13,2,0),"")</f>
        <v/>
      </c>
      <c r="O94" s="14" t="str">
        <f aca="false">IFERROR(VLOOKUP(TRIM('📥 Respostas'!R94),'⚙️ Config'!$A$4:$B$13,2,0),"")</f>
        <v/>
      </c>
      <c r="P94" s="14" t="str">
        <f aca="false">IFERROR(VLOOKUP(TRIM('📥 Respostas'!S94),'⚙️ Config'!$A$4:$B$13,2,0),"")</f>
        <v/>
      </c>
      <c r="Q94" s="14" t="str">
        <f aca="false">IFERROR(VLOOKUP(TRIM('📥 Respostas'!T94),'⚙️ Config'!$A$4:$B$13,2,0),"")</f>
        <v/>
      </c>
      <c r="R94" s="14" t="str">
        <f aca="false">IFERROR(VLOOKUP(TRIM('📥 Respostas'!U94),'⚙️ Config'!$A$4:$B$13,2,0),"")</f>
        <v/>
      </c>
      <c r="S94" s="14" t="str">
        <f aca="false">IFERROR(VLOOKUP(TRIM('📥 Respostas'!V94),'⚙️ Config'!$A$4:$B$13,2,0),"")</f>
        <v/>
      </c>
      <c r="T94" s="14" t="str">
        <f aca="false">IFERROR(VLOOKUP(TRIM('📥 Respostas'!W94),'⚙️ Config'!$A$4:$B$13,2,0),"")</f>
        <v/>
      </c>
      <c r="U94" s="14" t="str">
        <f aca="false">IFERROR(VLOOKUP(TRIM('📥 Respostas'!X94),'⚙️ Config'!$A$4:$B$13,2,0),"")</f>
        <v/>
      </c>
      <c r="V94" s="14" t="str">
        <f aca="false">IFERROR(VLOOKUP(TRIM('📥 Respostas'!Y94),'⚙️ Config'!$A$4:$B$13,2,0),"")</f>
        <v/>
      </c>
      <c r="W94" s="14" t="str">
        <f aca="false">IFERROR(VLOOKUP(TRIM('📥 Respostas'!Z94),'⚙️ Config'!$A$4:$B$13,2,0),"")</f>
        <v/>
      </c>
      <c r="X94" s="14" t="str">
        <f aca="false">IFERROR(VLOOKUP(TRIM('📥 Respostas'!AA94),'⚙️ Config'!$A$4:$B$13,2,0),"")</f>
        <v/>
      </c>
      <c r="Y94" s="14" t="str">
        <f aca="false">IFERROR(VLOOKUP(TRIM('📥 Respostas'!AB94),'⚙️ Config'!$A$4:$B$13,2,0),"")</f>
        <v/>
      </c>
      <c r="Z94" s="14" t="str">
        <f aca="false">IFERROR(VLOOKUP(TRIM('📥 Respostas'!AC94),'⚙️ Config'!$A$4:$B$13,2,0),"")</f>
        <v/>
      </c>
      <c r="AA94" s="14" t="str">
        <f aca="false">IFERROR(VLOOKUP(TRIM('📥 Respostas'!AD94),'⚙️ Config'!$A$4:$B$13,2,0),"")</f>
        <v/>
      </c>
      <c r="AB94" s="14" t="str">
        <f aca="false">IFERROR(VLOOKUP(TRIM('📥 Respostas'!AE94),'⚙️ Config'!$A$4:$B$13,2,0),"")</f>
        <v/>
      </c>
      <c r="AC94" s="14" t="str">
        <f aca="false">IFERROR(VLOOKUP(TRIM('📥 Respostas'!AF94),'⚙️ Config'!$A$4:$B$13,2,0),"")</f>
        <v/>
      </c>
      <c r="AD94" s="14" t="str">
        <f aca="false">IFERROR(VLOOKUP(TRIM('📥 Respostas'!AG94),'⚙️ Config'!$A$4:$B$13,2,0),"")</f>
        <v/>
      </c>
      <c r="AE94" s="14" t="str">
        <f aca="false">IFERROR(VLOOKUP(TRIM('📥 Respostas'!AH94),'⚙️ Config'!$A$4:$B$13,2,0),"")</f>
        <v/>
      </c>
      <c r="AF94" s="14" t="str">
        <f aca="false">IFERROR(VLOOKUP(TRIM('📥 Respostas'!AI94),'⚙️ Config'!$C$4:$D$11,2,0),"")</f>
        <v/>
      </c>
      <c r="AG94" s="14" t="str">
        <f aca="false">IFERROR(VLOOKUP(TRIM('📥 Respostas'!AJ94),'⚙️ Config'!$A$4:$B$13,2,0),"")</f>
        <v/>
      </c>
      <c r="AH94" s="14" t="str">
        <f aca="false">IFERROR(VLOOKUP(TRIM('📥 Respostas'!AK94),'⚙️ Config'!$A$4:$B$13,2,0),"")</f>
        <v/>
      </c>
      <c r="AI94" s="14" t="str">
        <f aca="false">IFERROR(VLOOKUP(TRIM('📥 Respostas'!AL94),'⚙️ Config'!$A$4:$B$13,2,0),"")</f>
        <v/>
      </c>
      <c r="AJ94" s="14" t="str">
        <f aca="false">IFERROR(VLOOKUP(TRIM('📥 Respostas'!AM94),'⚙️ Config'!$A$4:$B$13,2,0),"")</f>
        <v/>
      </c>
      <c r="AK94" s="14" t="str">
        <f aca="false">IFERROR(VLOOKUP(TRIM('📥 Respostas'!AN94),'⚙️ Config'!$A$4:$B$13,2,0),"")</f>
        <v/>
      </c>
      <c r="AL94" s="14" t="str">
        <f aca="false">IFERROR(VLOOKUP(TRIM('📥 Respostas'!AO94),'⚙️ Config'!$A$4:$B$13,2,0),"")</f>
        <v/>
      </c>
      <c r="AM94" s="14" t="str">
        <f aca="false">IFERROR(VLOOKUP(TRIM('📥 Respostas'!AP94),'⚙️ Config'!$A$4:$B$13,2,0),"")</f>
        <v/>
      </c>
      <c r="AN94" s="14" t="str">
        <f aca="false">IFERROR(VLOOKUP(TRIM('📥 Respostas'!AQ94),'⚙️ Config'!$A$4:$B$13,2,0),"")</f>
        <v/>
      </c>
      <c r="AO94" s="14" t="str">
        <f aca="false">IFERROR(VLOOKUP(TRIM('📥 Respostas'!AR94),'⚙️ Config'!$A$4:$B$13,2,0),"")</f>
        <v/>
      </c>
      <c r="AP94" s="14" t="str">
        <f aca="false">IFERROR(VLOOKUP(TRIM('📥 Respostas'!AS94),'⚙️ Config'!$A$4:$B$13,2,0),"")</f>
        <v/>
      </c>
      <c r="AQ94" s="14" t="str">
        <f aca="false">IFERROR(VLOOKUP(TRIM('📥 Respostas'!AT94),'⚙️ Config'!$A$4:$B$13,2,0),"")</f>
        <v/>
      </c>
      <c r="AR94" s="14" t="str">
        <f aca="false">IFERROR(VLOOKUP(TRIM('📥 Respostas'!AU94),'⚙️ Config'!$A$4:$B$13,2,0),"")</f>
        <v/>
      </c>
    </row>
    <row r="95" customFormat="false" ht="15" hidden="false" customHeight="false" outlineLevel="0" collapsed="false">
      <c r="A95" s="15" t="str">
        <f aca="false">IF(ISBLANK('📥 Respostas'!D95),"",ROW()-3)</f>
        <v/>
      </c>
      <c r="B95" s="15" t="n">
        <f aca="false">'📥 Respostas'!D95</f>
        <v>0</v>
      </c>
      <c r="C95" s="5" t="n">
        <f aca="false">'📥 Respostas'!C95</f>
        <v>0</v>
      </c>
      <c r="D95" s="14" t="str">
        <f aca="false">IFERROR(VLOOKUP(TRIM('📥 Respostas'!G95),'⚙️ Config'!$A$4:$B$13,2,0),"")</f>
        <v/>
      </c>
      <c r="E95" s="14" t="str">
        <f aca="false">IFERROR(VLOOKUP(TRIM('📥 Respostas'!H95),'⚙️ Config'!$A$4:$B$13,2,0),"")</f>
        <v/>
      </c>
      <c r="F95" s="14" t="str">
        <f aca="false">IFERROR(VLOOKUP(TRIM('📥 Respostas'!I95),'⚙️ Config'!$A$4:$B$13,2,0),"")</f>
        <v/>
      </c>
      <c r="G95" s="14" t="str">
        <f aca="false">IFERROR(VLOOKUP(TRIM('📥 Respostas'!J95),'⚙️ Config'!$A$4:$B$13,2,0),"")</f>
        <v/>
      </c>
      <c r="H95" s="14" t="str">
        <f aca="false">IFERROR(VLOOKUP(TRIM('📥 Respostas'!K95),'⚙️ Config'!$A$4:$B$13,2,0),"")</f>
        <v/>
      </c>
      <c r="I95" s="14" t="str">
        <f aca="false">IFERROR(VLOOKUP(TRIM('📥 Respostas'!L95),'⚙️ Config'!$A$4:$B$13,2,0),"")</f>
        <v/>
      </c>
      <c r="J95" s="14" t="str">
        <f aca="false">IFERROR(VLOOKUP(TRIM('📥 Respostas'!M95),'⚙️ Config'!$A$4:$B$13,2,0),"")</f>
        <v/>
      </c>
      <c r="K95" s="14" t="str">
        <f aca="false">IFERROR(VLOOKUP(TRIM('📥 Respostas'!N95),'⚙️ Config'!$A$4:$B$13,2,0),"")</f>
        <v/>
      </c>
      <c r="L95" s="14" t="str">
        <f aca="false">IFERROR(VLOOKUP(TRIM('📥 Respostas'!O95),'⚙️ Config'!$A$4:$B$13,2,0),"")</f>
        <v/>
      </c>
      <c r="M95" s="14" t="str">
        <f aca="false">IFERROR(VLOOKUP(TRIM('📥 Respostas'!P95),'⚙️ Config'!$A$4:$B$13,2,0),"")</f>
        <v/>
      </c>
      <c r="N95" s="14" t="str">
        <f aca="false">IFERROR(VLOOKUP(TRIM('📥 Respostas'!Q95),'⚙️ Config'!$A$4:$B$13,2,0),"")</f>
        <v/>
      </c>
      <c r="O95" s="14" t="str">
        <f aca="false">IFERROR(VLOOKUP(TRIM('📥 Respostas'!R95),'⚙️ Config'!$A$4:$B$13,2,0),"")</f>
        <v/>
      </c>
      <c r="P95" s="14" t="str">
        <f aca="false">IFERROR(VLOOKUP(TRIM('📥 Respostas'!S95),'⚙️ Config'!$A$4:$B$13,2,0),"")</f>
        <v/>
      </c>
      <c r="Q95" s="14" t="str">
        <f aca="false">IFERROR(VLOOKUP(TRIM('📥 Respostas'!T95),'⚙️ Config'!$A$4:$B$13,2,0),"")</f>
        <v/>
      </c>
      <c r="R95" s="14" t="str">
        <f aca="false">IFERROR(VLOOKUP(TRIM('📥 Respostas'!U95),'⚙️ Config'!$A$4:$B$13,2,0),"")</f>
        <v/>
      </c>
      <c r="S95" s="14" t="str">
        <f aca="false">IFERROR(VLOOKUP(TRIM('📥 Respostas'!V95),'⚙️ Config'!$A$4:$B$13,2,0),"")</f>
        <v/>
      </c>
      <c r="T95" s="14" t="str">
        <f aca="false">IFERROR(VLOOKUP(TRIM('📥 Respostas'!W95),'⚙️ Config'!$A$4:$B$13,2,0),"")</f>
        <v/>
      </c>
      <c r="U95" s="14" t="str">
        <f aca="false">IFERROR(VLOOKUP(TRIM('📥 Respostas'!X95),'⚙️ Config'!$A$4:$B$13,2,0),"")</f>
        <v/>
      </c>
      <c r="V95" s="14" t="str">
        <f aca="false">IFERROR(VLOOKUP(TRIM('📥 Respostas'!Y95),'⚙️ Config'!$A$4:$B$13,2,0),"")</f>
        <v/>
      </c>
      <c r="W95" s="14" t="str">
        <f aca="false">IFERROR(VLOOKUP(TRIM('📥 Respostas'!Z95),'⚙️ Config'!$A$4:$B$13,2,0),"")</f>
        <v/>
      </c>
      <c r="X95" s="14" t="str">
        <f aca="false">IFERROR(VLOOKUP(TRIM('📥 Respostas'!AA95),'⚙️ Config'!$A$4:$B$13,2,0),"")</f>
        <v/>
      </c>
      <c r="Y95" s="14" t="str">
        <f aca="false">IFERROR(VLOOKUP(TRIM('📥 Respostas'!AB95),'⚙️ Config'!$A$4:$B$13,2,0),"")</f>
        <v/>
      </c>
      <c r="Z95" s="14" t="str">
        <f aca="false">IFERROR(VLOOKUP(TRIM('📥 Respostas'!AC95),'⚙️ Config'!$A$4:$B$13,2,0),"")</f>
        <v/>
      </c>
      <c r="AA95" s="14" t="str">
        <f aca="false">IFERROR(VLOOKUP(TRIM('📥 Respostas'!AD95),'⚙️ Config'!$A$4:$B$13,2,0),"")</f>
        <v/>
      </c>
      <c r="AB95" s="14" t="str">
        <f aca="false">IFERROR(VLOOKUP(TRIM('📥 Respostas'!AE95),'⚙️ Config'!$A$4:$B$13,2,0),"")</f>
        <v/>
      </c>
      <c r="AC95" s="14" t="str">
        <f aca="false">IFERROR(VLOOKUP(TRIM('📥 Respostas'!AF95),'⚙️ Config'!$A$4:$B$13,2,0),"")</f>
        <v/>
      </c>
      <c r="AD95" s="14" t="str">
        <f aca="false">IFERROR(VLOOKUP(TRIM('📥 Respostas'!AG95),'⚙️ Config'!$A$4:$B$13,2,0),"")</f>
        <v/>
      </c>
      <c r="AE95" s="14" t="str">
        <f aca="false">IFERROR(VLOOKUP(TRIM('📥 Respostas'!AH95),'⚙️ Config'!$A$4:$B$13,2,0),"")</f>
        <v/>
      </c>
      <c r="AF95" s="14" t="str">
        <f aca="false">IFERROR(VLOOKUP(TRIM('📥 Respostas'!AI95),'⚙️ Config'!$C$4:$D$11,2,0),"")</f>
        <v/>
      </c>
      <c r="AG95" s="14" t="str">
        <f aca="false">IFERROR(VLOOKUP(TRIM('📥 Respostas'!AJ95),'⚙️ Config'!$A$4:$B$13,2,0),"")</f>
        <v/>
      </c>
      <c r="AH95" s="14" t="str">
        <f aca="false">IFERROR(VLOOKUP(TRIM('📥 Respostas'!AK95),'⚙️ Config'!$A$4:$B$13,2,0),"")</f>
        <v/>
      </c>
      <c r="AI95" s="14" t="str">
        <f aca="false">IFERROR(VLOOKUP(TRIM('📥 Respostas'!AL95),'⚙️ Config'!$A$4:$B$13,2,0),"")</f>
        <v/>
      </c>
      <c r="AJ95" s="14" t="str">
        <f aca="false">IFERROR(VLOOKUP(TRIM('📥 Respostas'!AM95),'⚙️ Config'!$A$4:$B$13,2,0),"")</f>
        <v/>
      </c>
      <c r="AK95" s="14" t="str">
        <f aca="false">IFERROR(VLOOKUP(TRIM('📥 Respostas'!AN95),'⚙️ Config'!$A$4:$B$13,2,0),"")</f>
        <v/>
      </c>
      <c r="AL95" s="14" t="str">
        <f aca="false">IFERROR(VLOOKUP(TRIM('📥 Respostas'!AO95),'⚙️ Config'!$A$4:$B$13,2,0),"")</f>
        <v/>
      </c>
      <c r="AM95" s="14" t="str">
        <f aca="false">IFERROR(VLOOKUP(TRIM('📥 Respostas'!AP95),'⚙️ Config'!$A$4:$B$13,2,0),"")</f>
        <v/>
      </c>
      <c r="AN95" s="14" t="str">
        <f aca="false">IFERROR(VLOOKUP(TRIM('📥 Respostas'!AQ95),'⚙️ Config'!$A$4:$B$13,2,0),"")</f>
        <v/>
      </c>
      <c r="AO95" s="14" t="str">
        <f aca="false">IFERROR(VLOOKUP(TRIM('📥 Respostas'!AR95),'⚙️ Config'!$A$4:$B$13,2,0),"")</f>
        <v/>
      </c>
      <c r="AP95" s="14" t="str">
        <f aca="false">IFERROR(VLOOKUP(TRIM('📥 Respostas'!AS95),'⚙️ Config'!$A$4:$B$13,2,0),"")</f>
        <v/>
      </c>
      <c r="AQ95" s="14" t="str">
        <f aca="false">IFERROR(VLOOKUP(TRIM('📥 Respostas'!AT95),'⚙️ Config'!$A$4:$B$13,2,0),"")</f>
        <v/>
      </c>
      <c r="AR95" s="14" t="str">
        <f aca="false">IFERROR(VLOOKUP(TRIM('📥 Respostas'!AU95),'⚙️ Config'!$A$4:$B$13,2,0),"")</f>
        <v/>
      </c>
    </row>
    <row r="96" customFormat="false" ht="15" hidden="false" customHeight="false" outlineLevel="0" collapsed="false">
      <c r="A96" s="12" t="str">
        <f aca="false">IF(ISBLANK('📥 Respostas'!D96),"",ROW()-3)</f>
        <v/>
      </c>
      <c r="B96" s="12" t="n">
        <f aca="false">'📥 Respostas'!D96</f>
        <v>0</v>
      </c>
      <c r="C96" s="13" t="n">
        <f aca="false">'📥 Respostas'!C96</f>
        <v>0</v>
      </c>
      <c r="D96" s="14" t="str">
        <f aca="false">IFERROR(VLOOKUP(TRIM('📥 Respostas'!G96),'⚙️ Config'!$A$4:$B$13,2,0),"")</f>
        <v/>
      </c>
      <c r="E96" s="14" t="str">
        <f aca="false">IFERROR(VLOOKUP(TRIM('📥 Respostas'!H96),'⚙️ Config'!$A$4:$B$13,2,0),"")</f>
        <v/>
      </c>
      <c r="F96" s="14" t="str">
        <f aca="false">IFERROR(VLOOKUP(TRIM('📥 Respostas'!I96),'⚙️ Config'!$A$4:$B$13,2,0),"")</f>
        <v/>
      </c>
      <c r="G96" s="14" t="str">
        <f aca="false">IFERROR(VLOOKUP(TRIM('📥 Respostas'!J96),'⚙️ Config'!$A$4:$B$13,2,0),"")</f>
        <v/>
      </c>
      <c r="H96" s="14" t="str">
        <f aca="false">IFERROR(VLOOKUP(TRIM('📥 Respostas'!K96),'⚙️ Config'!$A$4:$B$13,2,0),"")</f>
        <v/>
      </c>
      <c r="I96" s="14" t="str">
        <f aca="false">IFERROR(VLOOKUP(TRIM('📥 Respostas'!L96),'⚙️ Config'!$A$4:$B$13,2,0),"")</f>
        <v/>
      </c>
      <c r="J96" s="14" t="str">
        <f aca="false">IFERROR(VLOOKUP(TRIM('📥 Respostas'!M96),'⚙️ Config'!$A$4:$B$13,2,0),"")</f>
        <v/>
      </c>
      <c r="K96" s="14" t="str">
        <f aca="false">IFERROR(VLOOKUP(TRIM('📥 Respostas'!N96),'⚙️ Config'!$A$4:$B$13,2,0),"")</f>
        <v/>
      </c>
      <c r="L96" s="14" t="str">
        <f aca="false">IFERROR(VLOOKUP(TRIM('📥 Respostas'!O96),'⚙️ Config'!$A$4:$B$13,2,0),"")</f>
        <v/>
      </c>
      <c r="M96" s="14" t="str">
        <f aca="false">IFERROR(VLOOKUP(TRIM('📥 Respostas'!P96),'⚙️ Config'!$A$4:$B$13,2,0),"")</f>
        <v/>
      </c>
      <c r="N96" s="14" t="str">
        <f aca="false">IFERROR(VLOOKUP(TRIM('📥 Respostas'!Q96),'⚙️ Config'!$A$4:$B$13,2,0),"")</f>
        <v/>
      </c>
      <c r="O96" s="14" t="str">
        <f aca="false">IFERROR(VLOOKUP(TRIM('📥 Respostas'!R96),'⚙️ Config'!$A$4:$B$13,2,0),"")</f>
        <v/>
      </c>
      <c r="P96" s="14" t="str">
        <f aca="false">IFERROR(VLOOKUP(TRIM('📥 Respostas'!S96),'⚙️ Config'!$A$4:$B$13,2,0),"")</f>
        <v/>
      </c>
      <c r="Q96" s="14" t="str">
        <f aca="false">IFERROR(VLOOKUP(TRIM('📥 Respostas'!T96),'⚙️ Config'!$A$4:$B$13,2,0),"")</f>
        <v/>
      </c>
      <c r="R96" s="14" t="str">
        <f aca="false">IFERROR(VLOOKUP(TRIM('📥 Respostas'!U96),'⚙️ Config'!$A$4:$B$13,2,0),"")</f>
        <v/>
      </c>
      <c r="S96" s="14" t="str">
        <f aca="false">IFERROR(VLOOKUP(TRIM('📥 Respostas'!V96),'⚙️ Config'!$A$4:$B$13,2,0),"")</f>
        <v/>
      </c>
      <c r="T96" s="14" t="str">
        <f aca="false">IFERROR(VLOOKUP(TRIM('📥 Respostas'!W96),'⚙️ Config'!$A$4:$B$13,2,0),"")</f>
        <v/>
      </c>
      <c r="U96" s="14" t="str">
        <f aca="false">IFERROR(VLOOKUP(TRIM('📥 Respostas'!X96),'⚙️ Config'!$A$4:$B$13,2,0),"")</f>
        <v/>
      </c>
      <c r="V96" s="14" t="str">
        <f aca="false">IFERROR(VLOOKUP(TRIM('📥 Respostas'!Y96),'⚙️ Config'!$A$4:$B$13,2,0),"")</f>
        <v/>
      </c>
      <c r="W96" s="14" t="str">
        <f aca="false">IFERROR(VLOOKUP(TRIM('📥 Respostas'!Z96),'⚙️ Config'!$A$4:$B$13,2,0),"")</f>
        <v/>
      </c>
      <c r="X96" s="14" t="str">
        <f aca="false">IFERROR(VLOOKUP(TRIM('📥 Respostas'!AA96),'⚙️ Config'!$A$4:$B$13,2,0),"")</f>
        <v/>
      </c>
      <c r="Y96" s="14" t="str">
        <f aca="false">IFERROR(VLOOKUP(TRIM('📥 Respostas'!AB96),'⚙️ Config'!$A$4:$B$13,2,0),"")</f>
        <v/>
      </c>
      <c r="Z96" s="14" t="str">
        <f aca="false">IFERROR(VLOOKUP(TRIM('📥 Respostas'!AC96),'⚙️ Config'!$A$4:$B$13,2,0),"")</f>
        <v/>
      </c>
      <c r="AA96" s="14" t="str">
        <f aca="false">IFERROR(VLOOKUP(TRIM('📥 Respostas'!AD96),'⚙️ Config'!$A$4:$B$13,2,0),"")</f>
        <v/>
      </c>
      <c r="AB96" s="14" t="str">
        <f aca="false">IFERROR(VLOOKUP(TRIM('📥 Respostas'!AE96),'⚙️ Config'!$A$4:$B$13,2,0),"")</f>
        <v/>
      </c>
      <c r="AC96" s="14" t="str">
        <f aca="false">IFERROR(VLOOKUP(TRIM('📥 Respostas'!AF96),'⚙️ Config'!$A$4:$B$13,2,0),"")</f>
        <v/>
      </c>
      <c r="AD96" s="14" t="str">
        <f aca="false">IFERROR(VLOOKUP(TRIM('📥 Respostas'!AG96),'⚙️ Config'!$A$4:$B$13,2,0),"")</f>
        <v/>
      </c>
      <c r="AE96" s="14" t="str">
        <f aca="false">IFERROR(VLOOKUP(TRIM('📥 Respostas'!AH96),'⚙️ Config'!$A$4:$B$13,2,0),"")</f>
        <v/>
      </c>
      <c r="AF96" s="14" t="str">
        <f aca="false">IFERROR(VLOOKUP(TRIM('📥 Respostas'!AI96),'⚙️ Config'!$C$4:$D$11,2,0),"")</f>
        <v/>
      </c>
      <c r="AG96" s="14" t="str">
        <f aca="false">IFERROR(VLOOKUP(TRIM('📥 Respostas'!AJ96),'⚙️ Config'!$A$4:$B$13,2,0),"")</f>
        <v/>
      </c>
      <c r="AH96" s="14" t="str">
        <f aca="false">IFERROR(VLOOKUP(TRIM('📥 Respostas'!AK96),'⚙️ Config'!$A$4:$B$13,2,0),"")</f>
        <v/>
      </c>
      <c r="AI96" s="14" t="str">
        <f aca="false">IFERROR(VLOOKUP(TRIM('📥 Respostas'!AL96),'⚙️ Config'!$A$4:$B$13,2,0),"")</f>
        <v/>
      </c>
      <c r="AJ96" s="14" t="str">
        <f aca="false">IFERROR(VLOOKUP(TRIM('📥 Respostas'!AM96),'⚙️ Config'!$A$4:$B$13,2,0),"")</f>
        <v/>
      </c>
      <c r="AK96" s="14" t="str">
        <f aca="false">IFERROR(VLOOKUP(TRIM('📥 Respostas'!AN96),'⚙️ Config'!$A$4:$B$13,2,0),"")</f>
        <v/>
      </c>
      <c r="AL96" s="14" t="str">
        <f aca="false">IFERROR(VLOOKUP(TRIM('📥 Respostas'!AO96),'⚙️ Config'!$A$4:$B$13,2,0),"")</f>
        <v/>
      </c>
      <c r="AM96" s="14" t="str">
        <f aca="false">IFERROR(VLOOKUP(TRIM('📥 Respostas'!AP96),'⚙️ Config'!$A$4:$B$13,2,0),"")</f>
        <v/>
      </c>
      <c r="AN96" s="14" t="str">
        <f aca="false">IFERROR(VLOOKUP(TRIM('📥 Respostas'!AQ96),'⚙️ Config'!$A$4:$B$13,2,0),"")</f>
        <v/>
      </c>
      <c r="AO96" s="14" t="str">
        <f aca="false">IFERROR(VLOOKUP(TRIM('📥 Respostas'!AR96),'⚙️ Config'!$A$4:$B$13,2,0),"")</f>
        <v/>
      </c>
      <c r="AP96" s="14" t="str">
        <f aca="false">IFERROR(VLOOKUP(TRIM('📥 Respostas'!AS96),'⚙️ Config'!$A$4:$B$13,2,0),"")</f>
        <v/>
      </c>
      <c r="AQ96" s="14" t="str">
        <f aca="false">IFERROR(VLOOKUP(TRIM('📥 Respostas'!AT96),'⚙️ Config'!$A$4:$B$13,2,0),"")</f>
        <v/>
      </c>
      <c r="AR96" s="14" t="str">
        <f aca="false">IFERROR(VLOOKUP(TRIM('📥 Respostas'!AU96),'⚙️ Config'!$A$4:$B$13,2,0),"")</f>
        <v/>
      </c>
    </row>
    <row r="97" customFormat="false" ht="15" hidden="false" customHeight="false" outlineLevel="0" collapsed="false">
      <c r="A97" s="15" t="str">
        <f aca="false">IF(ISBLANK('📥 Respostas'!D97),"",ROW()-3)</f>
        <v/>
      </c>
      <c r="B97" s="15" t="n">
        <f aca="false">'📥 Respostas'!D97</f>
        <v>0</v>
      </c>
      <c r="C97" s="5" t="n">
        <f aca="false">'📥 Respostas'!C97</f>
        <v>0</v>
      </c>
      <c r="D97" s="14" t="str">
        <f aca="false">IFERROR(VLOOKUP(TRIM('📥 Respostas'!G97),'⚙️ Config'!$A$4:$B$13,2,0),"")</f>
        <v/>
      </c>
      <c r="E97" s="14" t="str">
        <f aca="false">IFERROR(VLOOKUP(TRIM('📥 Respostas'!H97),'⚙️ Config'!$A$4:$B$13,2,0),"")</f>
        <v/>
      </c>
      <c r="F97" s="14" t="str">
        <f aca="false">IFERROR(VLOOKUP(TRIM('📥 Respostas'!I97),'⚙️ Config'!$A$4:$B$13,2,0),"")</f>
        <v/>
      </c>
      <c r="G97" s="14" t="str">
        <f aca="false">IFERROR(VLOOKUP(TRIM('📥 Respostas'!J97),'⚙️ Config'!$A$4:$B$13,2,0),"")</f>
        <v/>
      </c>
      <c r="H97" s="14" t="str">
        <f aca="false">IFERROR(VLOOKUP(TRIM('📥 Respostas'!K97),'⚙️ Config'!$A$4:$B$13,2,0),"")</f>
        <v/>
      </c>
      <c r="I97" s="14" t="str">
        <f aca="false">IFERROR(VLOOKUP(TRIM('📥 Respostas'!L97),'⚙️ Config'!$A$4:$B$13,2,0),"")</f>
        <v/>
      </c>
      <c r="J97" s="14" t="str">
        <f aca="false">IFERROR(VLOOKUP(TRIM('📥 Respostas'!M97),'⚙️ Config'!$A$4:$B$13,2,0),"")</f>
        <v/>
      </c>
      <c r="K97" s="14" t="str">
        <f aca="false">IFERROR(VLOOKUP(TRIM('📥 Respostas'!N97),'⚙️ Config'!$A$4:$B$13,2,0),"")</f>
        <v/>
      </c>
      <c r="L97" s="14" t="str">
        <f aca="false">IFERROR(VLOOKUP(TRIM('📥 Respostas'!O97),'⚙️ Config'!$A$4:$B$13,2,0),"")</f>
        <v/>
      </c>
      <c r="M97" s="14" t="str">
        <f aca="false">IFERROR(VLOOKUP(TRIM('📥 Respostas'!P97),'⚙️ Config'!$A$4:$B$13,2,0),"")</f>
        <v/>
      </c>
      <c r="N97" s="14" t="str">
        <f aca="false">IFERROR(VLOOKUP(TRIM('📥 Respostas'!Q97),'⚙️ Config'!$A$4:$B$13,2,0),"")</f>
        <v/>
      </c>
      <c r="O97" s="14" t="str">
        <f aca="false">IFERROR(VLOOKUP(TRIM('📥 Respostas'!R97),'⚙️ Config'!$A$4:$B$13,2,0),"")</f>
        <v/>
      </c>
      <c r="P97" s="14" t="str">
        <f aca="false">IFERROR(VLOOKUP(TRIM('📥 Respostas'!S97),'⚙️ Config'!$A$4:$B$13,2,0),"")</f>
        <v/>
      </c>
      <c r="Q97" s="14" t="str">
        <f aca="false">IFERROR(VLOOKUP(TRIM('📥 Respostas'!T97),'⚙️ Config'!$A$4:$B$13,2,0),"")</f>
        <v/>
      </c>
      <c r="R97" s="14" t="str">
        <f aca="false">IFERROR(VLOOKUP(TRIM('📥 Respostas'!U97),'⚙️ Config'!$A$4:$B$13,2,0),"")</f>
        <v/>
      </c>
      <c r="S97" s="14" t="str">
        <f aca="false">IFERROR(VLOOKUP(TRIM('📥 Respostas'!V97),'⚙️ Config'!$A$4:$B$13,2,0),"")</f>
        <v/>
      </c>
      <c r="T97" s="14" t="str">
        <f aca="false">IFERROR(VLOOKUP(TRIM('📥 Respostas'!W97),'⚙️ Config'!$A$4:$B$13,2,0),"")</f>
        <v/>
      </c>
      <c r="U97" s="14" t="str">
        <f aca="false">IFERROR(VLOOKUP(TRIM('📥 Respostas'!X97),'⚙️ Config'!$A$4:$B$13,2,0),"")</f>
        <v/>
      </c>
      <c r="V97" s="14" t="str">
        <f aca="false">IFERROR(VLOOKUP(TRIM('📥 Respostas'!Y97),'⚙️ Config'!$A$4:$B$13,2,0),"")</f>
        <v/>
      </c>
      <c r="W97" s="14" t="str">
        <f aca="false">IFERROR(VLOOKUP(TRIM('📥 Respostas'!Z97),'⚙️ Config'!$A$4:$B$13,2,0),"")</f>
        <v/>
      </c>
      <c r="X97" s="14" t="str">
        <f aca="false">IFERROR(VLOOKUP(TRIM('📥 Respostas'!AA97),'⚙️ Config'!$A$4:$B$13,2,0),"")</f>
        <v/>
      </c>
      <c r="Y97" s="14" t="str">
        <f aca="false">IFERROR(VLOOKUP(TRIM('📥 Respostas'!AB97),'⚙️ Config'!$A$4:$B$13,2,0),"")</f>
        <v/>
      </c>
      <c r="Z97" s="14" t="str">
        <f aca="false">IFERROR(VLOOKUP(TRIM('📥 Respostas'!AC97),'⚙️ Config'!$A$4:$B$13,2,0),"")</f>
        <v/>
      </c>
      <c r="AA97" s="14" t="str">
        <f aca="false">IFERROR(VLOOKUP(TRIM('📥 Respostas'!AD97),'⚙️ Config'!$A$4:$B$13,2,0),"")</f>
        <v/>
      </c>
      <c r="AB97" s="14" t="str">
        <f aca="false">IFERROR(VLOOKUP(TRIM('📥 Respostas'!AE97),'⚙️ Config'!$A$4:$B$13,2,0),"")</f>
        <v/>
      </c>
      <c r="AC97" s="14" t="str">
        <f aca="false">IFERROR(VLOOKUP(TRIM('📥 Respostas'!AF97),'⚙️ Config'!$A$4:$B$13,2,0),"")</f>
        <v/>
      </c>
      <c r="AD97" s="14" t="str">
        <f aca="false">IFERROR(VLOOKUP(TRIM('📥 Respostas'!AG97),'⚙️ Config'!$A$4:$B$13,2,0),"")</f>
        <v/>
      </c>
      <c r="AE97" s="14" t="str">
        <f aca="false">IFERROR(VLOOKUP(TRIM('📥 Respostas'!AH97),'⚙️ Config'!$A$4:$B$13,2,0),"")</f>
        <v/>
      </c>
      <c r="AF97" s="14" t="str">
        <f aca="false">IFERROR(VLOOKUP(TRIM('📥 Respostas'!AI97),'⚙️ Config'!$C$4:$D$11,2,0),"")</f>
        <v/>
      </c>
      <c r="AG97" s="14" t="str">
        <f aca="false">IFERROR(VLOOKUP(TRIM('📥 Respostas'!AJ97),'⚙️ Config'!$A$4:$B$13,2,0),"")</f>
        <v/>
      </c>
      <c r="AH97" s="14" t="str">
        <f aca="false">IFERROR(VLOOKUP(TRIM('📥 Respostas'!AK97),'⚙️ Config'!$A$4:$B$13,2,0),"")</f>
        <v/>
      </c>
      <c r="AI97" s="14" t="str">
        <f aca="false">IFERROR(VLOOKUP(TRIM('📥 Respostas'!AL97),'⚙️ Config'!$A$4:$B$13,2,0),"")</f>
        <v/>
      </c>
      <c r="AJ97" s="14" t="str">
        <f aca="false">IFERROR(VLOOKUP(TRIM('📥 Respostas'!AM97),'⚙️ Config'!$A$4:$B$13,2,0),"")</f>
        <v/>
      </c>
      <c r="AK97" s="14" t="str">
        <f aca="false">IFERROR(VLOOKUP(TRIM('📥 Respostas'!AN97),'⚙️ Config'!$A$4:$B$13,2,0),"")</f>
        <v/>
      </c>
      <c r="AL97" s="14" t="str">
        <f aca="false">IFERROR(VLOOKUP(TRIM('📥 Respostas'!AO97),'⚙️ Config'!$A$4:$B$13,2,0),"")</f>
        <v/>
      </c>
      <c r="AM97" s="14" t="str">
        <f aca="false">IFERROR(VLOOKUP(TRIM('📥 Respostas'!AP97),'⚙️ Config'!$A$4:$B$13,2,0),"")</f>
        <v/>
      </c>
      <c r="AN97" s="14" t="str">
        <f aca="false">IFERROR(VLOOKUP(TRIM('📥 Respostas'!AQ97),'⚙️ Config'!$A$4:$B$13,2,0),"")</f>
        <v/>
      </c>
      <c r="AO97" s="14" t="str">
        <f aca="false">IFERROR(VLOOKUP(TRIM('📥 Respostas'!AR97),'⚙️ Config'!$A$4:$B$13,2,0),"")</f>
        <v/>
      </c>
      <c r="AP97" s="14" t="str">
        <f aca="false">IFERROR(VLOOKUP(TRIM('📥 Respostas'!AS97),'⚙️ Config'!$A$4:$B$13,2,0),"")</f>
        <v/>
      </c>
      <c r="AQ97" s="14" t="str">
        <f aca="false">IFERROR(VLOOKUP(TRIM('📥 Respostas'!AT97),'⚙️ Config'!$A$4:$B$13,2,0),"")</f>
        <v/>
      </c>
      <c r="AR97" s="14" t="str">
        <f aca="false">IFERROR(VLOOKUP(TRIM('📥 Respostas'!AU97),'⚙️ Config'!$A$4:$B$13,2,0),"")</f>
        <v/>
      </c>
    </row>
    <row r="98" customFormat="false" ht="15" hidden="false" customHeight="false" outlineLevel="0" collapsed="false">
      <c r="A98" s="12" t="str">
        <f aca="false">IF(ISBLANK('📥 Respostas'!D98),"",ROW()-3)</f>
        <v/>
      </c>
      <c r="B98" s="12" t="n">
        <f aca="false">'📥 Respostas'!D98</f>
        <v>0</v>
      </c>
      <c r="C98" s="13" t="n">
        <f aca="false">'📥 Respostas'!C98</f>
        <v>0</v>
      </c>
      <c r="D98" s="14" t="str">
        <f aca="false">IFERROR(VLOOKUP(TRIM('📥 Respostas'!G98),'⚙️ Config'!$A$4:$B$13,2,0),"")</f>
        <v/>
      </c>
      <c r="E98" s="14" t="str">
        <f aca="false">IFERROR(VLOOKUP(TRIM('📥 Respostas'!H98),'⚙️ Config'!$A$4:$B$13,2,0),"")</f>
        <v/>
      </c>
      <c r="F98" s="14" t="str">
        <f aca="false">IFERROR(VLOOKUP(TRIM('📥 Respostas'!I98),'⚙️ Config'!$A$4:$B$13,2,0),"")</f>
        <v/>
      </c>
      <c r="G98" s="14" t="str">
        <f aca="false">IFERROR(VLOOKUP(TRIM('📥 Respostas'!J98),'⚙️ Config'!$A$4:$B$13,2,0),"")</f>
        <v/>
      </c>
      <c r="H98" s="14" t="str">
        <f aca="false">IFERROR(VLOOKUP(TRIM('📥 Respostas'!K98),'⚙️ Config'!$A$4:$B$13,2,0),"")</f>
        <v/>
      </c>
      <c r="I98" s="14" t="str">
        <f aca="false">IFERROR(VLOOKUP(TRIM('📥 Respostas'!L98),'⚙️ Config'!$A$4:$B$13,2,0),"")</f>
        <v/>
      </c>
      <c r="J98" s="14" t="str">
        <f aca="false">IFERROR(VLOOKUP(TRIM('📥 Respostas'!M98),'⚙️ Config'!$A$4:$B$13,2,0),"")</f>
        <v/>
      </c>
      <c r="K98" s="14" t="str">
        <f aca="false">IFERROR(VLOOKUP(TRIM('📥 Respostas'!N98),'⚙️ Config'!$A$4:$B$13,2,0),"")</f>
        <v/>
      </c>
      <c r="L98" s="14" t="str">
        <f aca="false">IFERROR(VLOOKUP(TRIM('📥 Respostas'!O98),'⚙️ Config'!$A$4:$B$13,2,0),"")</f>
        <v/>
      </c>
      <c r="M98" s="14" t="str">
        <f aca="false">IFERROR(VLOOKUP(TRIM('📥 Respostas'!P98),'⚙️ Config'!$A$4:$B$13,2,0),"")</f>
        <v/>
      </c>
      <c r="N98" s="14" t="str">
        <f aca="false">IFERROR(VLOOKUP(TRIM('📥 Respostas'!Q98),'⚙️ Config'!$A$4:$B$13,2,0),"")</f>
        <v/>
      </c>
      <c r="O98" s="14" t="str">
        <f aca="false">IFERROR(VLOOKUP(TRIM('📥 Respostas'!R98),'⚙️ Config'!$A$4:$B$13,2,0),"")</f>
        <v/>
      </c>
      <c r="P98" s="14" t="str">
        <f aca="false">IFERROR(VLOOKUP(TRIM('📥 Respostas'!S98),'⚙️ Config'!$A$4:$B$13,2,0),"")</f>
        <v/>
      </c>
      <c r="Q98" s="14" t="str">
        <f aca="false">IFERROR(VLOOKUP(TRIM('📥 Respostas'!T98),'⚙️ Config'!$A$4:$B$13,2,0),"")</f>
        <v/>
      </c>
      <c r="R98" s="14" t="str">
        <f aca="false">IFERROR(VLOOKUP(TRIM('📥 Respostas'!U98),'⚙️ Config'!$A$4:$B$13,2,0),"")</f>
        <v/>
      </c>
      <c r="S98" s="14" t="str">
        <f aca="false">IFERROR(VLOOKUP(TRIM('📥 Respostas'!V98),'⚙️ Config'!$A$4:$B$13,2,0),"")</f>
        <v/>
      </c>
      <c r="T98" s="14" t="str">
        <f aca="false">IFERROR(VLOOKUP(TRIM('📥 Respostas'!W98),'⚙️ Config'!$A$4:$B$13,2,0),"")</f>
        <v/>
      </c>
      <c r="U98" s="14" t="str">
        <f aca="false">IFERROR(VLOOKUP(TRIM('📥 Respostas'!X98),'⚙️ Config'!$A$4:$B$13,2,0),"")</f>
        <v/>
      </c>
      <c r="V98" s="14" t="str">
        <f aca="false">IFERROR(VLOOKUP(TRIM('📥 Respostas'!Y98),'⚙️ Config'!$A$4:$B$13,2,0),"")</f>
        <v/>
      </c>
      <c r="W98" s="14" t="str">
        <f aca="false">IFERROR(VLOOKUP(TRIM('📥 Respostas'!Z98),'⚙️ Config'!$A$4:$B$13,2,0),"")</f>
        <v/>
      </c>
      <c r="X98" s="14" t="str">
        <f aca="false">IFERROR(VLOOKUP(TRIM('📥 Respostas'!AA98),'⚙️ Config'!$A$4:$B$13,2,0),"")</f>
        <v/>
      </c>
      <c r="Y98" s="14" t="str">
        <f aca="false">IFERROR(VLOOKUP(TRIM('📥 Respostas'!AB98),'⚙️ Config'!$A$4:$B$13,2,0),"")</f>
        <v/>
      </c>
      <c r="Z98" s="14" t="str">
        <f aca="false">IFERROR(VLOOKUP(TRIM('📥 Respostas'!AC98),'⚙️ Config'!$A$4:$B$13,2,0),"")</f>
        <v/>
      </c>
      <c r="AA98" s="14" t="str">
        <f aca="false">IFERROR(VLOOKUP(TRIM('📥 Respostas'!AD98),'⚙️ Config'!$A$4:$B$13,2,0),"")</f>
        <v/>
      </c>
      <c r="AB98" s="14" t="str">
        <f aca="false">IFERROR(VLOOKUP(TRIM('📥 Respostas'!AE98),'⚙️ Config'!$A$4:$B$13,2,0),"")</f>
        <v/>
      </c>
      <c r="AC98" s="14" t="str">
        <f aca="false">IFERROR(VLOOKUP(TRIM('📥 Respostas'!AF98),'⚙️ Config'!$A$4:$B$13,2,0),"")</f>
        <v/>
      </c>
      <c r="AD98" s="14" t="str">
        <f aca="false">IFERROR(VLOOKUP(TRIM('📥 Respostas'!AG98),'⚙️ Config'!$A$4:$B$13,2,0),"")</f>
        <v/>
      </c>
      <c r="AE98" s="14" t="str">
        <f aca="false">IFERROR(VLOOKUP(TRIM('📥 Respostas'!AH98),'⚙️ Config'!$A$4:$B$13,2,0),"")</f>
        <v/>
      </c>
      <c r="AF98" s="14" t="str">
        <f aca="false">IFERROR(VLOOKUP(TRIM('📥 Respostas'!AI98),'⚙️ Config'!$C$4:$D$11,2,0),"")</f>
        <v/>
      </c>
      <c r="AG98" s="14" t="str">
        <f aca="false">IFERROR(VLOOKUP(TRIM('📥 Respostas'!AJ98),'⚙️ Config'!$A$4:$B$13,2,0),"")</f>
        <v/>
      </c>
      <c r="AH98" s="14" t="str">
        <f aca="false">IFERROR(VLOOKUP(TRIM('📥 Respostas'!AK98),'⚙️ Config'!$A$4:$B$13,2,0),"")</f>
        <v/>
      </c>
      <c r="AI98" s="14" t="str">
        <f aca="false">IFERROR(VLOOKUP(TRIM('📥 Respostas'!AL98),'⚙️ Config'!$A$4:$B$13,2,0),"")</f>
        <v/>
      </c>
      <c r="AJ98" s="14" t="str">
        <f aca="false">IFERROR(VLOOKUP(TRIM('📥 Respostas'!AM98),'⚙️ Config'!$A$4:$B$13,2,0),"")</f>
        <v/>
      </c>
      <c r="AK98" s="14" t="str">
        <f aca="false">IFERROR(VLOOKUP(TRIM('📥 Respostas'!AN98),'⚙️ Config'!$A$4:$B$13,2,0),"")</f>
        <v/>
      </c>
      <c r="AL98" s="14" t="str">
        <f aca="false">IFERROR(VLOOKUP(TRIM('📥 Respostas'!AO98),'⚙️ Config'!$A$4:$B$13,2,0),"")</f>
        <v/>
      </c>
      <c r="AM98" s="14" t="str">
        <f aca="false">IFERROR(VLOOKUP(TRIM('📥 Respostas'!AP98),'⚙️ Config'!$A$4:$B$13,2,0),"")</f>
        <v/>
      </c>
      <c r="AN98" s="14" t="str">
        <f aca="false">IFERROR(VLOOKUP(TRIM('📥 Respostas'!AQ98),'⚙️ Config'!$A$4:$B$13,2,0),"")</f>
        <v/>
      </c>
      <c r="AO98" s="14" t="str">
        <f aca="false">IFERROR(VLOOKUP(TRIM('📥 Respostas'!AR98),'⚙️ Config'!$A$4:$B$13,2,0),"")</f>
        <v/>
      </c>
      <c r="AP98" s="14" t="str">
        <f aca="false">IFERROR(VLOOKUP(TRIM('📥 Respostas'!AS98),'⚙️ Config'!$A$4:$B$13,2,0),"")</f>
        <v/>
      </c>
      <c r="AQ98" s="14" t="str">
        <f aca="false">IFERROR(VLOOKUP(TRIM('📥 Respostas'!AT98),'⚙️ Config'!$A$4:$B$13,2,0),"")</f>
        <v/>
      </c>
      <c r="AR98" s="14" t="str">
        <f aca="false">IFERROR(VLOOKUP(TRIM('📥 Respostas'!AU98),'⚙️ Config'!$A$4:$B$13,2,0),"")</f>
        <v/>
      </c>
    </row>
    <row r="99" customFormat="false" ht="15" hidden="false" customHeight="false" outlineLevel="0" collapsed="false">
      <c r="A99" s="15" t="str">
        <f aca="false">IF(ISBLANK('📥 Respostas'!D99),"",ROW()-3)</f>
        <v/>
      </c>
      <c r="B99" s="15" t="n">
        <f aca="false">'📥 Respostas'!D99</f>
        <v>0</v>
      </c>
      <c r="C99" s="5" t="n">
        <f aca="false">'📥 Respostas'!C99</f>
        <v>0</v>
      </c>
      <c r="D99" s="14" t="str">
        <f aca="false">IFERROR(VLOOKUP(TRIM('📥 Respostas'!G99),'⚙️ Config'!$A$4:$B$13,2,0),"")</f>
        <v/>
      </c>
      <c r="E99" s="14" t="str">
        <f aca="false">IFERROR(VLOOKUP(TRIM('📥 Respostas'!H99),'⚙️ Config'!$A$4:$B$13,2,0),"")</f>
        <v/>
      </c>
      <c r="F99" s="14" t="str">
        <f aca="false">IFERROR(VLOOKUP(TRIM('📥 Respostas'!I99),'⚙️ Config'!$A$4:$B$13,2,0),"")</f>
        <v/>
      </c>
      <c r="G99" s="14" t="str">
        <f aca="false">IFERROR(VLOOKUP(TRIM('📥 Respostas'!J99),'⚙️ Config'!$A$4:$B$13,2,0),"")</f>
        <v/>
      </c>
      <c r="H99" s="14" t="str">
        <f aca="false">IFERROR(VLOOKUP(TRIM('📥 Respostas'!K99),'⚙️ Config'!$A$4:$B$13,2,0),"")</f>
        <v/>
      </c>
      <c r="I99" s="14" t="str">
        <f aca="false">IFERROR(VLOOKUP(TRIM('📥 Respostas'!L99),'⚙️ Config'!$A$4:$B$13,2,0),"")</f>
        <v/>
      </c>
      <c r="J99" s="14" t="str">
        <f aca="false">IFERROR(VLOOKUP(TRIM('📥 Respostas'!M99),'⚙️ Config'!$A$4:$B$13,2,0),"")</f>
        <v/>
      </c>
      <c r="K99" s="14" t="str">
        <f aca="false">IFERROR(VLOOKUP(TRIM('📥 Respostas'!N99),'⚙️ Config'!$A$4:$B$13,2,0),"")</f>
        <v/>
      </c>
      <c r="L99" s="14" t="str">
        <f aca="false">IFERROR(VLOOKUP(TRIM('📥 Respostas'!O99),'⚙️ Config'!$A$4:$B$13,2,0),"")</f>
        <v/>
      </c>
      <c r="M99" s="14" t="str">
        <f aca="false">IFERROR(VLOOKUP(TRIM('📥 Respostas'!P99),'⚙️ Config'!$A$4:$B$13,2,0),"")</f>
        <v/>
      </c>
      <c r="N99" s="14" t="str">
        <f aca="false">IFERROR(VLOOKUP(TRIM('📥 Respostas'!Q99),'⚙️ Config'!$A$4:$B$13,2,0),"")</f>
        <v/>
      </c>
      <c r="O99" s="14" t="str">
        <f aca="false">IFERROR(VLOOKUP(TRIM('📥 Respostas'!R99),'⚙️ Config'!$A$4:$B$13,2,0),"")</f>
        <v/>
      </c>
      <c r="P99" s="14" t="str">
        <f aca="false">IFERROR(VLOOKUP(TRIM('📥 Respostas'!S99),'⚙️ Config'!$A$4:$B$13,2,0),"")</f>
        <v/>
      </c>
      <c r="Q99" s="14" t="str">
        <f aca="false">IFERROR(VLOOKUP(TRIM('📥 Respostas'!T99),'⚙️ Config'!$A$4:$B$13,2,0),"")</f>
        <v/>
      </c>
      <c r="R99" s="14" t="str">
        <f aca="false">IFERROR(VLOOKUP(TRIM('📥 Respostas'!U99),'⚙️ Config'!$A$4:$B$13,2,0),"")</f>
        <v/>
      </c>
      <c r="S99" s="14" t="str">
        <f aca="false">IFERROR(VLOOKUP(TRIM('📥 Respostas'!V99),'⚙️ Config'!$A$4:$B$13,2,0),"")</f>
        <v/>
      </c>
      <c r="T99" s="14" t="str">
        <f aca="false">IFERROR(VLOOKUP(TRIM('📥 Respostas'!W99),'⚙️ Config'!$A$4:$B$13,2,0),"")</f>
        <v/>
      </c>
      <c r="U99" s="14" t="str">
        <f aca="false">IFERROR(VLOOKUP(TRIM('📥 Respostas'!X99),'⚙️ Config'!$A$4:$B$13,2,0),"")</f>
        <v/>
      </c>
      <c r="V99" s="14" t="str">
        <f aca="false">IFERROR(VLOOKUP(TRIM('📥 Respostas'!Y99),'⚙️ Config'!$A$4:$B$13,2,0),"")</f>
        <v/>
      </c>
      <c r="W99" s="14" t="str">
        <f aca="false">IFERROR(VLOOKUP(TRIM('📥 Respostas'!Z99),'⚙️ Config'!$A$4:$B$13,2,0),"")</f>
        <v/>
      </c>
      <c r="X99" s="14" t="str">
        <f aca="false">IFERROR(VLOOKUP(TRIM('📥 Respostas'!AA99),'⚙️ Config'!$A$4:$B$13,2,0),"")</f>
        <v/>
      </c>
      <c r="Y99" s="14" t="str">
        <f aca="false">IFERROR(VLOOKUP(TRIM('📥 Respostas'!AB99),'⚙️ Config'!$A$4:$B$13,2,0),"")</f>
        <v/>
      </c>
      <c r="Z99" s="14" t="str">
        <f aca="false">IFERROR(VLOOKUP(TRIM('📥 Respostas'!AC99),'⚙️ Config'!$A$4:$B$13,2,0),"")</f>
        <v/>
      </c>
      <c r="AA99" s="14" t="str">
        <f aca="false">IFERROR(VLOOKUP(TRIM('📥 Respostas'!AD99),'⚙️ Config'!$A$4:$B$13,2,0),"")</f>
        <v/>
      </c>
      <c r="AB99" s="14" t="str">
        <f aca="false">IFERROR(VLOOKUP(TRIM('📥 Respostas'!AE99),'⚙️ Config'!$A$4:$B$13,2,0),"")</f>
        <v/>
      </c>
      <c r="AC99" s="14" t="str">
        <f aca="false">IFERROR(VLOOKUP(TRIM('📥 Respostas'!AF99),'⚙️ Config'!$A$4:$B$13,2,0),"")</f>
        <v/>
      </c>
      <c r="AD99" s="14" t="str">
        <f aca="false">IFERROR(VLOOKUP(TRIM('📥 Respostas'!AG99),'⚙️ Config'!$A$4:$B$13,2,0),"")</f>
        <v/>
      </c>
      <c r="AE99" s="14" t="str">
        <f aca="false">IFERROR(VLOOKUP(TRIM('📥 Respostas'!AH99),'⚙️ Config'!$A$4:$B$13,2,0),"")</f>
        <v/>
      </c>
      <c r="AF99" s="14" t="str">
        <f aca="false">IFERROR(VLOOKUP(TRIM('📥 Respostas'!AI99),'⚙️ Config'!$C$4:$D$11,2,0),"")</f>
        <v/>
      </c>
      <c r="AG99" s="14" t="str">
        <f aca="false">IFERROR(VLOOKUP(TRIM('📥 Respostas'!AJ99),'⚙️ Config'!$A$4:$B$13,2,0),"")</f>
        <v/>
      </c>
      <c r="AH99" s="14" t="str">
        <f aca="false">IFERROR(VLOOKUP(TRIM('📥 Respostas'!AK99),'⚙️ Config'!$A$4:$B$13,2,0),"")</f>
        <v/>
      </c>
      <c r="AI99" s="14" t="str">
        <f aca="false">IFERROR(VLOOKUP(TRIM('📥 Respostas'!AL99),'⚙️ Config'!$A$4:$B$13,2,0),"")</f>
        <v/>
      </c>
      <c r="AJ99" s="14" t="str">
        <f aca="false">IFERROR(VLOOKUP(TRIM('📥 Respostas'!AM99),'⚙️ Config'!$A$4:$B$13,2,0),"")</f>
        <v/>
      </c>
      <c r="AK99" s="14" t="str">
        <f aca="false">IFERROR(VLOOKUP(TRIM('📥 Respostas'!AN99),'⚙️ Config'!$A$4:$B$13,2,0),"")</f>
        <v/>
      </c>
      <c r="AL99" s="14" t="str">
        <f aca="false">IFERROR(VLOOKUP(TRIM('📥 Respostas'!AO99),'⚙️ Config'!$A$4:$B$13,2,0),"")</f>
        <v/>
      </c>
      <c r="AM99" s="14" t="str">
        <f aca="false">IFERROR(VLOOKUP(TRIM('📥 Respostas'!AP99),'⚙️ Config'!$A$4:$B$13,2,0),"")</f>
        <v/>
      </c>
      <c r="AN99" s="14" t="str">
        <f aca="false">IFERROR(VLOOKUP(TRIM('📥 Respostas'!AQ99),'⚙️ Config'!$A$4:$B$13,2,0),"")</f>
        <v/>
      </c>
      <c r="AO99" s="14" t="str">
        <f aca="false">IFERROR(VLOOKUP(TRIM('📥 Respostas'!AR99),'⚙️ Config'!$A$4:$B$13,2,0),"")</f>
        <v/>
      </c>
      <c r="AP99" s="14" t="str">
        <f aca="false">IFERROR(VLOOKUP(TRIM('📥 Respostas'!AS99),'⚙️ Config'!$A$4:$B$13,2,0),"")</f>
        <v/>
      </c>
      <c r="AQ99" s="14" t="str">
        <f aca="false">IFERROR(VLOOKUP(TRIM('📥 Respostas'!AT99),'⚙️ Config'!$A$4:$B$13,2,0),"")</f>
        <v/>
      </c>
      <c r="AR99" s="14" t="str">
        <f aca="false">IFERROR(VLOOKUP(TRIM('📥 Respostas'!AU99),'⚙️ Config'!$A$4:$B$13,2,0),"")</f>
        <v/>
      </c>
    </row>
    <row r="100" customFormat="false" ht="15" hidden="false" customHeight="false" outlineLevel="0" collapsed="false">
      <c r="A100" s="12" t="str">
        <f aca="false">IF(ISBLANK('📥 Respostas'!D100),"",ROW()-3)</f>
        <v/>
      </c>
      <c r="B100" s="12" t="n">
        <f aca="false">'📥 Respostas'!D100</f>
        <v>0</v>
      </c>
      <c r="C100" s="13" t="n">
        <f aca="false">'📥 Respostas'!C100</f>
        <v>0</v>
      </c>
      <c r="D100" s="14" t="str">
        <f aca="false">IFERROR(VLOOKUP(TRIM('📥 Respostas'!G100),'⚙️ Config'!$A$4:$B$13,2,0),"")</f>
        <v/>
      </c>
      <c r="E100" s="14" t="str">
        <f aca="false">IFERROR(VLOOKUP(TRIM('📥 Respostas'!H100),'⚙️ Config'!$A$4:$B$13,2,0),"")</f>
        <v/>
      </c>
      <c r="F100" s="14" t="str">
        <f aca="false">IFERROR(VLOOKUP(TRIM('📥 Respostas'!I100),'⚙️ Config'!$A$4:$B$13,2,0),"")</f>
        <v/>
      </c>
      <c r="G100" s="14" t="str">
        <f aca="false">IFERROR(VLOOKUP(TRIM('📥 Respostas'!J100),'⚙️ Config'!$A$4:$B$13,2,0),"")</f>
        <v/>
      </c>
      <c r="H100" s="14" t="str">
        <f aca="false">IFERROR(VLOOKUP(TRIM('📥 Respostas'!K100),'⚙️ Config'!$A$4:$B$13,2,0),"")</f>
        <v/>
      </c>
      <c r="I100" s="14" t="str">
        <f aca="false">IFERROR(VLOOKUP(TRIM('📥 Respostas'!L100),'⚙️ Config'!$A$4:$B$13,2,0),"")</f>
        <v/>
      </c>
      <c r="J100" s="14" t="str">
        <f aca="false">IFERROR(VLOOKUP(TRIM('📥 Respostas'!M100),'⚙️ Config'!$A$4:$B$13,2,0),"")</f>
        <v/>
      </c>
      <c r="K100" s="14" t="str">
        <f aca="false">IFERROR(VLOOKUP(TRIM('📥 Respostas'!N100),'⚙️ Config'!$A$4:$B$13,2,0),"")</f>
        <v/>
      </c>
      <c r="L100" s="14" t="str">
        <f aca="false">IFERROR(VLOOKUP(TRIM('📥 Respostas'!O100),'⚙️ Config'!$A$4:$B$13,2,0),"")</f>
        <v/>
      </c>
      <c r="M100" s="14" t="str">
        <f aca="false">IFERROR(VLOOKUP(TRIM('📥 Respostas'!P100),'⚙️ Config'!$A$4:$B$13,2,0),"")</f>
        <v/>
      </c>
      <c r="N100" s="14" t="str">
        <f aca="false">IFERROR(VLOOKUP(TRIM('📥 Respostas'!Q100),'⚙️ Config'!$A$4:$B$13,2,0),"")</f>
        <v/>
      </c>
      <c r="O100" s="14" t="str">
        <f aca="false">IFERROR(VLOOKUP(TRIM('📥 Respostas'!R100),'⚙️ Config'!$A$4:$B$13,2,0),"")</f>
        <v/>
      </c>
      <c r="P100" s="14" t="str">
        <f aca="false">IFERROR(VLOOKUP(TRIM('📥 Respostas'!S100),'⚙️ Config'!$A$4:$B$13,2,0),"")</f>
        <v/>
      </c>
      <c r="Q100" s="14" t="str">
        <f aca="false">IFERROR(VLOOKUP(TRIM('📥 Respostas'!T100),'⚙️ Config'!$A$4:$B$13,2,0),"")</f>
        <v/>
      </c>
      <c r="R100" s="14" t="str">
        <f aca="false">IFERROR(VLOOKUP(TRIM('📥 Respostas'!U100),'⚙️ Config'!$A$4:$B$13,2,0),"")</f>
        <v/>
      </c>
      <c r="S100" s="14" t="str">
        <f aca="false">IFERROR(VLOOKUP(TRIM('📥 Respostas'!V100),'⚙️ Config'!$A$4:$B$13,2,0),"")</f>
        <v/>
      </c>
      <c r="T100" s="14" t="str">
        <f aca="false">IFERROR(VLOOKUP(TRIM('📥 Respostas'!W100),'⚙️ Config'!$A$4:$B$13,2,0),"")</f>
        <v/>
      </c>
      <c r="U100" s="14" t="str">
        <f aca="false">IFERROR(VLOOKUP(TRIM('📥 Respostas'!X100),'⚙️ Config'!$A$4:$B$13,2,0),"")</f>
        <v/>
      </c>
      <c r="V100" s="14" t="str">
        <f aca="false">IFERROR(VLOOKUP(TRIM('📥 Respostas'!Y100),'⚙️ Config'!$A$4:$B$13,2,0),"")</f>
        <v/>
      </c>
      <c r="W100" s="14" t="str">
        <f aca="false">IFERROR(VLOOKUP(TRIM('📥 Respostas'!Z100),'⚙️ Config'!$A$4:$B$13,2,0),"")</f>
        <v/>
      </c>
      <c r="X100" s="14" t="str">
        <f aca="false">IFERROR(VLOOKUP(TRIM('📥 Respostas'!AA100),'⚙️ Config'!$A$4:$B$13,2,0),"")</f>
        <v/>
      </c>
      <c r="Y100" s="14" t="str">
        <f aca="false">IFERROR(VLOOKUP(TRIM('📥 Respostas'!AB100),'⚙️ Config'!$A$4:$B$13,2,0),"")</f>
        <v/>
      </c>
      <c r="Z100" s="14" t="str">
        <f aca="false">IFERROR(VLOOKUP(TRIM('📥 Respostas'!AC100),'⚙️ Config'!$A$4:$B$13,2,0),"")</f>
        <v/>
      </c>
      <c r="AA100" s="14" t="str">
        <f aca="false">IFERROR(VLOOKUP(TRIM('📥 Respostas'!AD100),'⚙️ Config'!$A$4:$B$13,2,0),"")</f>
        <v/>
      </c>
      <c r="AB100" s="14" t="str">
        <f aca="false">IFERROR(VLOOKUP(TRIM('📥 Respostas'!AE100),'⚙️ Config'!$A$4:$B$13,2,0),"")</f>
        <v/>
      </c>
      <c r="AC100" s="14" t="str">
        <f aca="false">IFERROR(VLOOKUP(TRIM('📥 Respostas'!AF100),'⚙️ Config'!$A$4:$B$13,2,0),"")</f>
        <v/>
      </c>
      <c r="AD100" s="14" t="str">
        <f aca="false">IFERROR(VLOOKUP(TRIM('📥 Respostas'!AG100),'⚙️ Config'!$A$4:$B$13,2,0),"")</f>
        <v/>
      </c>
      <c r="AE100" s="14" t="str">
        <f aca="false">IFERROR(VLOOKUP(TRIM('📥 Respostas'!AH100),'⚙️ Config'!$A$4:$B$13,2,0),"")</f>
        <v/>
      </c>
      <c r="AF100" s="14" t="str">
        <f aca="false">IFERROR(VLOOKUP(TRIM('📥 Respostas'!AI100),'⚙️ Config'!$C$4:$D$11,2,0),"")</f>
        <v/>
      </c>
      <c r="AG100" s="14" t="str">
        <f aca="false">IFERROR(VLOOKUP(TRIM('📥 Respostas'!AJ100),'⚙️ Config'!$A$4:$B$13,2,0),"")</f>
        <v/>
      </c>
      <c r="AH100" s="14" t="str">
        <f aca="false">IFERROR(VLOOKUP(TRIM('📥 Respostas'!AK100),'⚙️ Config'!$A$4:$B$13,2,0),"")</f>
        <v/>
      </c>
      <c r="AI100" s="14" t="str">
        <f aca="false">IFERROR(VLOOKUP(TRIM('📥 Respostas'!AL100),'⚙️ Config'!$A$4:$B$13,2,0),"")</f>
        <v/>
      </c>
      <c r="AJ100" s="14" t="str">
        <f aca="false">IFERROR(VLOOKUP(TRIM('📥 Respostas'!AM100),'⚙️ Config'!$A$4:$B$13,2,0),"")</f>
        <v/>
      </c>
      <c r="AK100" s="14" t="str">
        <f aca="false">IFERROR(VLOOKUP(TRIM('📥 Respostas'!AN100),'⚙️ Config'!$A$4:$B$13,2,0),"")</f>
        <v/>
      </c>
      <c r="AL100" s="14" t="str">
        <f aca="false">IFERROR(VLOOKUP(TRIM('📥 Respostas'!AO100),'⚙️ Config'!$A$4:$B$13,2,0),"")</f>
        <v/>
      </c>
      <c r="AM100" s="14" t="str">
        <f aca="false">IFERROR(VLOOKUP(TRIM('📥 Respostas'!AP100),'⚙️ Config'!$A$4:$B$13,2,0),"")</f>
        <v/>
      </c>
      <c r="AN100" s="14" t="str">
        <f aca="false">IFERROR(VLOOKUP(TRIM('📥 Respostas'!AQ100),'⚙️ Config'!$A$4:$B$13,2,0),"")</f>
        <v/>
      </c>
      <c r="AO100" s="14" t="str">
        <f aca="false">IFERROR(VLOOKUP(TRIM('📥 Respostas'!AR100),'⚙️ Config'!$A$4:$B$13,2,0),"")</f>
        <v/>
      </c>
      <c r="AP100" s="14" t="str">
        <f aca="false">IFERROR(VLOOKUP(TRIM('📥 Respostas'!AS100),'⚙️ Config'!$A$4:$B$13,2,0),"")</f>
        <v/>
      </c>
      <c r="AQ100" s="14" t="str">
        <f aca="false">IFERROR(VLOOKUP(TRIM('📥 Respostas'!AT100),'⚙️ Config'!$A$4:$B$13,2,0),"")</f>
        <v/>
      </c>
      <c r="AR100" s="14" t="str">
        <f aca="false">IFERROR(VLOOKUP(TRIM('📥 Respostas'!AU100),'⚙️ Config'!$A$4:$B$13,2,0),"")</f>
        <v/>
      </c>
    </row>
    <row r="101" customFormat="false" ht="15" hidden="false" customHeight="false" outlineLevel="0" collapsed="false">
      <c r="A101" s="15" t="str">
        <f aca="false">IF(ISBLANK('📥 Respostas'!D101),"",ROW()-3)</f>
        <v/>
      </c>
      <c r="B101" s="15" t="n">
        <f aca="false">'📥 Respostas'!D101</f>
        <v>0</v>
      </c>
      <c r="C101" s="5" t="n">
        <f aca="false">'📥 Respostas'!C101</f>
        <v>0</v>
      </c>
      <c r="D101" s="14" t="str">
        <f aca="false">IFERROR(VLOOKUP(TRIM('📥 Respostas'!G101),'⚙️ Config'!$A$4:$B$13,2,0),"")</f>
        <v/>
      </c>
      <c r="E101" s="14" t="str">
        <f aca="false">IFERROR(VLOOKUP(TRIM('📥 Respostas'!H101),'⚙️ Config'!$A$4:$B$13,2,0),"")</f>
        <v/>
      </c>
      <c r="F101" s="14" t="str">
        <f aca="false">IFERROR(VLOOKUP(TRIM('📥 Respostas'!I101),'⚙️ Config'!$A$4:$B$13,2,0),"")</f>
        <v/>
      </c>
      <c r="G101" s="14" t="str">
        <f aca="false">IFERROR(VLOOKUP(TRIM('📥 Respostas'!J101),'⚙️ Config'!$A$4:$B$13,2,0),"")</f>
        <v/>
      </c>
      <c r="H101" s="14" t="str">
        <f aca="false">IFERROR(VLOOKUP(TRIM('📥 Respostas'!K101),'⚙️ Config'!$A$4:$B$13,2,0),"")</f>
        <v/>
      </c>
      <c r="I101" s="14" t="str">
        <f aca="false">IFERROR(VLOOKUP(TRIM('📥 Respostas'!L101),'⚙️ Config'!$A$4:$B$13,2,0),"")</f>
        <v/>
      </c>
      <c r="J101" s="14" t="str">
        <f aca="false">IFERROR(VLOOKUP(TRIM('📥 Respostas'!M101),'⚙️ Config'!$A$4:$B$13,2,0),"")</f>
        <v/>
      </c>
      <c r="K101" s="14" t="str">
        <f aca="false">IFERROR(VLOOKUP(TRIM('📥 Respostas'!N101),'⚙️ Config'!$A$4:$B$13,2,0),"")</f>
        <v/>
      </c>
      <c r="L101" s="14" t="str">
        <f aca="false">IFERROR(VLOOKUP(TRIM('📥 Respostas'!O101),'⚙️ Config'!$A$4:$B$13,2,0),"")</f>
        <v/>
      </c>
      <c r="M101" s="14" t="str">
        <f aca="false">IFERROR(VLOOKUP(TRIM('📥 Respostas'!P101),'⚙️ Config'!$A$4:$B$13,2,0),"")</f>
        <v/>
      </c>
      <c r="N101" s="14" t="str">
        <f aca="false">IFERROR(VLOOKUP(TRIM('📥 Respostas'!Q101),'⚙️ Config'!$A$4:$B$13,2,0),"")</f>
        <v/>
      </c>
      <c r="O101" s="14" t="str">
        <f aca="false">IFERROR(VLOOKUP(TRIM('📥 Respostas'!R101),'⚙️ Config'!$A$4:$B$13,2,0),"")</f>
        <v/>
      </c>
      <c r="P101" s="14" t="str">
        <f aca="false">IFERROR(VLOOKUP(TRIM('📥 Respostas'!S101),'⚙️ Config'!$A$4:$B$13,2,0),"")</f>
        <v/>
      </c>
      <c r="Q101" s="14" t="str">
        <f aca="false">IFERROR(VLOOKUP(TRIM('📥 Respostas'!T101),'⚙️ Config'!$A$4:$B$13,2,0),"")</f>
        <v/>
      </c>
      <c r="R101" s="14" t="str">
        <f aca="false">IFERROR(VLOOKUP(TRIM('📥 Respostas'!U101),'⚙️ Config'!$A$4:$B$13,2,0),"")</f>
        <v/>
      </c>
      <c r="S101" s="14" t="str">
        <f aca="false">IFERROR(VLOOKUP(TRIM('📥 Respostas'!V101),'⚙️ Config'!$A$4:$B$13,2,0),"")</f>
        <v/>
      </c>
      <c r="T101" s="14" t="str">
        <f aca="false">IFERROR(VLOOKUP(TRIM('📥 Respostas'!W101),'⚙️ Config'!$A$4:$B$13,2,0),"")</f>
        <v/>
      </c>
      <c r="U101" s="14" t="str">
        <f aca="false">IFERROR(VLOOKUP(TRIM('📥 Respostas'!X101),'⚙️ Config'!$A$4:$B$13,2,0),"")</f>
        <v/>
      </c>
      <c r="V101" s="14" t="str">
        <f aca="false">IFERROR(VLOOKUP(TRIM('📥 Respostas'!Y101),'⚙️ Config'!$A$4:$B$13,2,0),"")</f>
        <v/>
      </c>
      <c r="W101" s="14" t="str">
        <f aca="false">IFERROR(VLOOKUP(TRIM('📥 Respostas'!Z101),'⚙️ Config'!$A$4:$B$13,2,0),"")</f>
        <v/>
      </c>
      <c r="X101" s="14" t="str">
        <f aca="false">IFERROR(VLOOKUP(TRIM('📥 Respostas'!AA101),'⚙️ Config'!$A$4:$B$13,2,0),"")</f>
        <v/>
      </c>
      <c r="Y101" s="14" t="str">
        <f aca="false">IFERROR(VLOOKUP(TRIM('📥 Respostas'!AB101),'⚙️ Config'!$A$4:$B$13,2,0),"")</f>
        <v/>
      </c>
      <c r="Z101" s="14" t="str">
        <f aca="false">IFERROR(VLOOKUP(TRIM('📥 Respostas'!AC101),'⚙️ Config'!$A$4:$B$13,2,0),"")</f>
        <v/>
      </c>
      <c r="AA101" s="14" t="str">
        <f aca="false">IFERROR(VLOOKUP(TRIM('📥 Respostas'!AD101),'⚙️ Config'!$A$4:$B$13,2,0),"")</f>
        <v/>
      </c>
      <c r="AB101" s="14" t="str">
        <f aca="false">IFERROR(VLOOKUP(TRIM('📥 Respostas'!AE101),'⚙️ Config'!$A$4:$B$13,2,0),"")</f>
        <v/>
      </c>
      <c r="AC101" s="14" t="str">
        <f aca="false">IFERROR(VLOOKUP(TRIM('📥 Respostas'!AF101),'⚙️ Config'!$A$4:$B$13,2,0),"")</f>
        <v/>
      </c>
      <c r="AD101" s="14" t="str">
        <f aca="false">IFERROR(VLOOKUP(TRIM('📥 Respostas'!AG101),'⚙️ Config'!$A$4:$B$13,2,0),"")</f>
        <v/>
      </c>
      <c r="AE101" s="14" t="str">
        <f aca="false">IFERROR(VLOOKUP(TRIM('📥 Respostas'!AH101),'⚙️ Config'!$A$4:$B$13,2,0),"")</f>
        <v/>
      </c>
      <c r="AF101" s="14" t="str">
        <f aca="false">IFERROR(VLOOKUP(TRIM('📥 Respostas'!AI101),'⚙️ Config'!$C$4:$D$11,2,0),"")</f>
        <v/>
      </c>
      <c r="AG101" s="14" t="str">
        <f aca="false">IFERROR(VLOOKUP(TRIM('📥 Respostas'!AJ101),'⚙️ Config'!$A$4:$B$13,2,0),"")</f>
        <v/>
      </c>
      <c r="AH101" s="14" t="str">
        <f aca="false">IFERROR(VLOOKUP(TRIM('📥 Respostas'!AK101),'⚙️ Config'!$A$4:$B$13,2,0),"")</f>
        <v/>
      </c>
      <c r="AI101" s="14" t="str">
        <f aca="false">IFERROR(VLOOKUP(TRIM('📥 Respostas'!AL101),'⚙️ Config'!$A$4:$B$13,2,0),"")</f>
        <v/>
      </c>
      <c r="AJ101" s="14" t="str">
        <f aca="false">IFERROR(VLOOKUP(TRIM('📥 Respostas'!AM101),'⚙️ Config'!$A$4:$B$13,2,0),"")</f>
        <v/>
      </c>
      <c r="AK101" s="14" t="str">
        <f aca="false">IFERROR(VLOOKUP(TRIM('📥 Respostas'!AN101),'⚙️ Config'!$A$4:$B$13,2,0),"")</f>
        <v/>
      </c>
      <c r="AL101" s="14" t="str">
        <f aca="false">IFERROR(VLOOKUP(TRIM('📥 Respostas'!AO101),'⚙️ Config'!$A$4:$B$13,2,0),"")</f>
        <v/>
      </c>
      <c r="AM101" s="14" t="str">
        <f aca="false">IFERROR(VLOOKUP(TRIM('📥 Respostas'!AP101),'⚙️ Config'!$A$4:$B$13,2,0),"")</f>
        <v/>
      </c>
      <c r="AN101" s="14" t="str">
        <f aca="false">IFERROR(VLOOKUP(TRIM('📥 Respostas'!AQ101),'⚙️ Config'!$A$4:$B$13,2,0),"")</f>
        <v/>
      </c>
      <c r="AO101" s="14" t="str">
        <f aca="false">IFERROR(VLOOKUP(TRIM('📥 Respostas'!AR101),'⚙️ Config'!$A$4:$B$13,2,0),"")</f>
        <v/>
      </c>
      <c r="AP101" s="14" t="str">
        <f aca="false">IFERROR(VLOOKUP(TRIM('📥 Respostas'!AS101),'⚙️ Config'!$A$4:$B$13,2,0),"")</f>
        <v/>
      </c>
      <c r="AQ101" s="14" t="str">
        <f aca="false">IFERROR(VLOOKUP(TRIM('📥 Respostas'!AT101),'⚙️ Config'!$A$4:$B$13,2,0),"")</f>
        <v/>
      </c>
      <c r="AR101" s="14" t="str">
        <f aca="false">IFERROR(VLOOKUP(TRIM('📥 Respostas'!AU101),'⚙️ Config'!$A$4:$B$13,2,0),"")</f>
        <v/>
      </c>
    </row>
    <row r="102" customFormat="false" ht="15" hidden="false" customHeight="false" outlineLevel="0" collapsed="false">
      <c r="A102" s="12" t="str">
        <f aca="false">IF(ISBLANK('📥 Respostas'!D102),"",ROW()-3)</f>
        <v/>
      </c>
      <c r="B102" s="12" t="n">
        <f aca="false">'📥 Respostas'!D102</f>
        <v>0</v>
      </c>
      <c r="C102" s="13" t="n">
        <f aca="false">'📥 Respostas'!C102</f>
        <v>0</v>
      </c>
      <c r="D102" s="14" t="str">
        <f aca="false">IFERROR(VLOOKUP(TRIM('📥 Respostas'!G102),'⚙️ Config'!$A$4:$B$13,2,0),"")</f>
        <v/>
      </c>
      <c r="E102" s="14" t="str">
        <f aca="false">IFERROR(VLOOKUP(TRIM('📥 Respostas'!H102),'⚙️ Config'!$A$4:$B$13,2,0),"")</f>
        <v/>
      </c>
      <c r="F102" s="14" t="str">
        <f aca="false">IFERROR(VLOOKUP(TRIM('📥 Respostas'!I102),'⚙️ Config'!$A$4:$B$13,2,0),"")</f>
        <v/>
      </c>
      <c r="G102" s="14" t="str">
        <f aca="false">IFERROR(VLOOKUP(TRIM('📥 Respostas'!J102),'⚙️ Config'!$A$4:$B$13,2,0),"")</f>
        <v/>
      </c>
      <c r="H102" s="14" t="str">
        <f aca="false">IFERROR(VLOOKUP(TRIM('📥 Respostas'!K102),'⚙️ Config'!$A$4:$B$13,2,0),"")</f>
        <v/>
      </c>
      <c r="I102" s="14" t="str">
        <f aca="false">IFERROR(VLOOKUP(TRIM('📥 Respostas'!L102),'⚙️ Config'!$A$4:$B$13,2,0),"")</f>
        <v/>
      </c>
      <c r="J102" s="14" t="str">
        <f aca="false">IFERROR(VLOOKUP(TRIM('📥 Respostas'!M102),'⚙️ Config'!$A$4:$B$13,2,0),"")</f>
        <v/>
      </c>
      <c r="K102" s="14" t="str">
        <f aca="false">IFERROR(VLOOKUP(TRIM('📥 Respostas'!N102),'⚙️ Config'!$A$4:$B$13,2,0),"")</f>
        <v/>
      </c>
      <c r="L102" s="14" t="str">
        <f aca="false">IFERROR(VLOOKUP(TRIM('📥 Respostas'!O102),'⚙️ Config'!$A$4:$B$13,2,0),"")</f>
        <v/>
      </c>
      <c r="M102" s="14" t="str">
        <f aca="false">IFERROR(VLOOKUP(TRIM('📥 Respostas'!P102),'⚙️ Config'!$A$4:$B$13,2,0),"")</f>
        <v/>
      </c>
      <c r="N102" s="14" t="str">
        <f aca="false">IFERROR(VLOOKUP(TRIM('📥 Respostas'!Q102),'⚙️ Config'!$A$4:$B$13,2,0),"")</f>
        <v/>
      </c>
      <c r="O102" s="14" t="str">
        <f aca="false">IFERROR(VLOOKUP(TRIM('📥 Respostas'!R102),'⚙️ Config'!$A$4:$B$13,2,0),"")</f>
        <v/>
      </c>
      <c r="P102" s="14" t="str">
        <f aca="false">IFERROR(VLOOKUP(TRIM('📥 Respostas'!S102),'⚙️ Config'!$A$4:$B$13,2,0),"")</f>
        <v/>
      </c>
      <c r="Q102" s="14" t="str">
        <f aca="false">IFERROR(VLOOKUP(TRIM('📥 Respostas'!T102),'⚙️ Config'!$A$4:$B$13,2,0),"")</f>
        <v/>
      </c>
      <c r="R102" s="14" t="str">
        <f aca="false">IFERROR(VLOOKUP(TRIM('📥 Respostas'!U102),'⚙️ Config'!$A$4:$B$13,2,0),"")</f>
        <v/>
      </c>
      <c r="S102" s="14" t="str">
        <f aca="false">IFERROR(VLOOKUP(TRIM('📥 Respostas'!V102),'⚙️ Config'!$A$4:$B$13,2,0),"")</f>
        <v/>
      </c>
      <c r="T102" s="14" t="str">
        <f aca="false">IFERROR(VLOOKUP(TRIM('📥 Respostas'!W102),'⚙️ Config'!$A$4:$B$13,2,0),"")</f>
        <v/>
      </c>
      <c r="U102" s="14" t="str">
        <f aca="false">IFERROR(VLOOKUP(TRIM('📥 Respostas'!X102),'⚙️ Config'!$A$4:$B$13,2,0),"")</f>
        <v/>
      </c>
      <c r="V102" s="14" t="str">
        <f aca="false">IFERROR(VLOOKUP(TRIM('📥 Respostas'!Y102),'⚙️ Config'!$A$4:$B$13,2,0),"")</f>
        <v/>
      </c>
      <c r="W102" s="14" t="str">
        <f aca="false">IFERROR(VLOOKUP(TRIM('📥 Respostas'!Z102),'⚙️ Config'!$A$4:$B$13,2,0),"")</f>
        <v/>
      </c>
      <c r="X102" s="14" t="str">
        <f aca="false">IFERROR(VLOOKUP(TRIM('📥 Respostas'!AA102),'⚙️ Config'!$A$4:$B$13,2,0),"")</f>
        <v/>
      </c>
      <c r="Y102" s="14" t="str">
        <f aca="false">IFERROR(VLOOKUP(TRIM('📥 Respostas'!AB102),'⚙️ Config'!$A$4:$B$13,2,0),"")</f>
        <v/>
      </c>
      <c r="Z102" s="14" t="str">
        <f aca="false">IFERROR(VLOOKUP(TRIM('📥 Respostas'!AC102),'⚙️ Config'!$A$4:$B$13,2,0),"")</f>
        <v/>
      </c>
      <c r="AA102" s="14" t="str">
        <f aca="false">IFERROR(VLOOKUP(TRIM('📥 Respostas'!AD102),'⚙️ Config'!$A$4:$B$13,2,0),"")</f>
        <v/>
      </c>
      <c r="AB102" s="14" t="str">
        <f aca="false">IFERROR(VLOOKUP(TRIM('📥 Respostas'!AE102),'⚙️ Config'!$A$4:$B$13,2,0),"")</f>
        <v/>
      </c>
      <c r="AC102" s="14" t="str">
        <f aca="false">IFERROR(VLOOKUP(TRIM('📥 Respostas'!AF102),'⚙️ Config'!$A$4:$B$13,2,0),"")</f>
        <v/>
      </c>
      <c r="AD102" s="14" t="str">
        <f aca="false">IFERROR(VLOOKUP(TRIM('📥 Respostas'!AG102),'⚙️ Config'!$A$4:$B$13,2,0),"")</f>
        <v/>
      </c>
      <c r="AE102" s="14" t="str">
        <f aca="false">IFERROR(VLOOKUP(TRIM('📥 Respostas'!AH102),'⚙️ Config'!$A$4:$B$13,2,0),"")</f>
        <v/>
      </c>
      <c r="AF102" s="14" t="str">
        <f aca="false">IFERROR(VLOOKUP(TRIM('📥 Respostas'!AI102),'⚙️ Config'!$C$4:$D$11,2,0),"")</f>
        <v/>
      </c>
      <c r="AG102" s="14" t="str">
        <f aca="false">IFERROR(VLOOKUP(TRIM('📥 Respostas'!AJ102),'⚙️ Config'!$A$4:$B$13,2,0),"")</f>
        <v/>
      </c>
      <c r="AH102" s="14" t="str">
        <f aca="false">IFERROR(VLOOKUP(TRIM('📥 Respostas'!AK102),'⚙️ Config'!$A$4:$B$13,2,0),"")</f>
        <v/>
      </c>
      <c r="AI102" s="14" t="str">
        <f aca="false">IFERROR(VLOOKUP(TRIM('📥 Respostas'!AL102),'⚙️ Config'!$A$4:$B$13,2,0),"")</f>
        <v/>
      </c>
      <c r="AJ102" s="14" t="str">
        <f aca="false">IFERROR(VLOOKUP(TRIM('📥 Respostas'!AM102),'⚙️ Config'!$A$4:$B$13,2,0),"")</f>
        <v/>
      </c>
      <c r="AK102" s="14" t="str">
        <f aca="false">IFERROR(VLOOKUP(TRIM('📥 Respostas'!AN102),'⚙️ Config'!$A$4:$B$13,2,0),"")</f>
        <v/>
      </c>
      <c r="AL102" s="14" t="str">
        <f aca="false">IFERROR(VLOOKUP(TRIM('📥 Respostas'!AO102),'⚙️ Config'!$A$4:$B$13,2,0),"")</f>
        <v/>
      </c>
      <c r="AM102" s="14" t="str">
        <f aca="false">IFERROR(VLOOKUP(TRIM('📥 Respostas'!AP102),'⚙️ Config'!$A$4:$B$13,2,0),"")</f>
        <v/>
      </c>
      <c r="AN102" s="14" t="str">
        <f aca="false">IFERROR(VLOOKUP(TRIM('📥 Respostas'!AQ102),'⚙️ Config'!$A$4:$B$13,2,0),"")</f>
        <v/>
      </c>
      <c r="AO102" s="14" t="str">
        <f aca="false">IFERROR(VLOOKUP(TRIM('📥 Respostas'!AR102),'⚙️ Config'!$A$4:$B$13,2,0),"")</f>
        <v/>
      </c>
      <c r="AP102" s="14" t="str">
        <f aca="false">IFERROR(VLOOKUP(TRIM('📥 Respostas'!AS102),'⚙️ Config'!$A$4:$B$13,2,0),"")</f>
        <v/>
      </c>
      <c r="AQ102" s="14" t="str">
        <f aca="false">IFERROR(VLOOKUP(TRIM('📥 Respostas'!AT102),'⚙️ Config'!$A$4:$B$13,2,0),"")</f>
        <v/>
      </c>
      <c r="AR102" s="14" t="str">
        <f aca="false">IFERROR(VLOOKUP(TRIM('📥 Respostas'!AU102),'⚙️ Config'!$A$4:$B$13,2,0),"")</f>
        <v/>
      </c>
    </row>
    <row r="103" customFormat="false" ht="15" hidden="false" customHeight="false" outlineLevel="0" collapsed="false">
      <c r="A103" s="15" t="str">
        <f aca="false">IF(ISBLANK('📥 Respostas'!D103),"",ROW()-3)</f>
        <v/>
      </c>
      <c r="B103" s="15" t="n">
        <f aca="false">'📥 Respostas'!D103</f>
        <v>0</v>
      </c>
      <c r="C103" s="5" t="n">
        <f aca="false">'📥 Respostas'!C103</f>
        <v>0</v>
      </c>
      <c r="D103" s="14" t="str">
        <f aca="false">IFERROR(VLOOKUP(TRIM('📥 Respostas'!G103),'⚙️ Config'!$A$4:$B$13,2,0),"")</f>
        <v/>
      </c>
      <c r="E103" s="14" t="str">
        <f aca="false">IFERROR(VLOOKUP(TRIM('📥 Respostas'!H103),'⚙️ Config'!$A$4:$B$13,2,0),"")</f>
        <v/>
      </c>
      <c r="F103" s="14" t="str">
        <f aca="false">IFERROR(VLOOKUP(TRIM('📥 Respostas'!I103),'⚙️ Config'!$A$4:$B$13,2,0),"")</f>
        <v/>
      </c>
      <c r="G103" s="14" t="str">
        <f aca="false">IFERROR(VLOOKUP(TRIM('📥 Respostas'!J103),'⚙️ Config'!$A$4:$B$13,2,0),"")</f>
        <v/>
      </c>
      <c r="H103" s="14" t="str">
        <f aca="false">IFERROR(VLOOKUP(TRIM('📥 Respostas'!K103),'⚙️ Config'!$A$4:$B$13,2,0),"")</f>
        <v/>
      </c>
      <c r="I103" s="14" t="str">
        <f aca="false">IFERROR(VLOOKUP(TRIM('📥 Respostas'!L103),'⚙️ Config'!$A$4:$B$13,2,0),"")</f>
        <v/>
      </c>
      <c r="J103" s="14" t="str">
        <f aca="false">IFERROR(VLOOKUP(TRIM('📥 Respostas'!M103),'⚙️ Config'!$A$4:$B$13,2,0),"")</f>
        <v/>
      </c>
      <c r="K103" s="14" t="str">
        <f aca="false">IFERROR(VLOOKUP(TRIM('📥 Respostas'!N103),'⚙️ Config'!$A$4:$B$13,2,0),"")</f>
        <v/>
      </c>
      <c r="L103" s="14" t="str">
        <f aca="false">IFERROR(VLOOKUP(TRIM('📥 Respostas'!O103),'⚙️ Config'!$A$4:$B$13,2,0),"")</f>
        <v/>
      </c>
      <c r="M103" s="14" t="str">
        <f aca="false">IFERROR(VLOOKUP(TRIM('📥 Respostas'!P103),'⚙️ Config'!$A$4:$B$13,2,0),"")</f>
        <v/>
      </c>
      <c r="N103" s="14" t="str">
        <f aca="false">IFERROR(VLOOKUP(TRIM('📥 Respostas'!Q103),'⚙️ Config'!$A$4:$B$13,2,0),"")</f>
        <v/>
      </c>
      <c r="O103" s="14" t="str">
        <f aca="false">IFERROR(VLOOKUP(TRIM('📥 Respostas'!R103),'⚙️ Config'!$A$4:$B$13,2,0),"")</f>
        <v/>
      </c>
      <c r="P103" s="14" t="str">
        <f aca="false">IFERROR(VLOOKUP(TRIM('📥 Respostas'!S103),'⚙️ Config'!$A$4:$B$13,2,0),"")</f>
        <v/>
      </c>
      <c r="Q103" s="14" t="str">
        <f aca="false">IFERROR(VLOOKUP(TRIM('📥 Respostas'!T103),'⚙️ Config'!$A$4:$B$13,2,0),"")</f>
        <v/>
      </c>
      <c r="R103" s="14" t="str">
        <f aca="false">IFERROR(VLOOKUP(TRIM('📥 Respostas'!U103),'⚙️ Config'!$A$4:$B$13,2,0),"")</f>
        <v/>
      </c>
      <c r="S103" s="14" t="str">
        <f aca="false">IFERROR(VLOOKUP(TRIM('📥 Respostas'!V103),'⚙️ Config'!$A$4:$B$13,2,0),"")</f>
        <v/>
      </c>
      <c r="T103" s="14" t="str">
        <f aca="false">IFERROR(VLOOKUP(TRIM('📥 Respostas'!W103),'⚙️ Config'!$A$4:$B$13,2,0),"")</f>
        <v/>
      </c>
      <c r="U103" s="14" t="str">
        <f aca="false">IFERROR(VLOOKUP(TRIM('📥 Respostas'!X103),'⚙️ Config'!$A$4:$B$13,2,0),"")</f>
        <v/>
      </c>
      <c r="V103" s="14" t="str">
        <f aca="false">IFERROR(VLOOKUP(TRIM('📥 Respostas'!Y103),'⚙️ Config'!$A$4:$B$13,2,0),"")</f>
        <v/>
      </c>
      <c r="W103" s="14" t="str">
        <f aca="false">IFERROR(VLOOKUP(TRIM('📥 Respostas'!Z103),'⚙️ Config'!$A$4:$B$13,2,0),"")</f>
        <v/>
      </c>
      <c r="X103" s="14" t="str">
        <f aca="false">IFERROR(VLOOKUP(TRIM('📥 Respostas'!AA103),'⚙️ Config'!$A$4:$B$13,2,0),"")</f>
        <v/>
      </c>
      <c r="Y103" s="14" t="str">
        <f aca="false">IFERROR(VLOOKUP(TRIM('📥 Respostas'!AB103),'⚙️ Config'!$A$4:$B$13,2,0),"")</f>
        <v/>
      </c>
      <c r="Z103" s="14" t="str">
        <f aca="false">IFERROR(VLOOKUP(TRIM('📥 Respostas'!AC103),'⚙️ Config'!$A$4:$B$13,2,0),"")</f>
        <v/>
      </c>
      <c r="AA103" s="14" t="str">
        <f aca="false">IFERROR(VLOOKUP(TRIM('📥 Respostas'!AD103),'⚙️ Config'!$A$4:$B$13,2,0),"")</f>
        <v/>
      </c>
      <c r="AB103" s="14" t="str">
        <f aca="false">IFERROR(VLOOKUP(TRIM('📥 Respostas'!AE103),'⚙️ Config'!$A$4:$B$13,2,0),"")</f>
        <v/>
      </c>
      <c r="AC103" s="14" t="str">
        <f aca="false">IFERROR(VLOOKUP(TRIM('📥 Respostas'!AF103),'⚙️ Config'!$A$4:$B$13,2,0),"")</f>
        <v/>
      </c>
      <c r="AD103" s="14" t="str">
        <f aca="false">IFERROR(VLOOKUP(TRIM('📥 Respostas'!AG103),'⚙️ Config'!$A$4:$B$13,2,0),"")</f>
        <v/>
      </c>
      <c r="AE103" s="14" t="str">
        <f aca="false">IFERROR(VLOOKUP(TRIM('📥 Respostas'!AH103),'⚙️ Config'!$A$4:$B$13,2,0),"")</f>
        <v/>
      </c>
      <c r="AF103" s="14" t="str">
        <f aca="false">IFERROR(VLOOKUP(TRIM('📥 Respostas'!AI103),'⚙️ Config'!$C$4:$D$11,2,0),"")</f>
        <v/>
      </c>
      <c r="AG103" s="14" t="str">
        <f aca="false">IFERROR(VLOOKUP(TRIM('📥 Respostas'!AJ103),'⚙️ Config'!$A$4:$B$13,2,0),"")</f>
        <v/>
      </c>
      <c r="AH103" s="14" t="str">
        <f aca="false">IFERROR(VLOOKUP(TRIM('📥 Respostas'!AK103),'⚙️ Config'!$A$4:$B$13,2,0),"")</f>
        <v/>
      </c>
      <c r="AI103" s="14" t="str">
        <f aca="false">IFERROR(VLOOKUP(TRIM('📥 Respostas'!AL103),'⚙️ Config'!$A$4:$B$13,2,0),"")</f>
        <v/>
      </c>
      <c r="AJ103" s="14" t="str">
        <f aca="false">IFERROR(VLOOKUP(TRIM('📥 Respostas'!AM103),'⚙️ Config'!$A$4:$B$13,2,0),"")</f>
        <v/>
      </c>
      <c r="AK103" s="14" t="str">
        <f aca="false">IFERROR(VLOOKUP(TRIM('📥 Respostas'!AN103),'⚙️ Config'!$A$4:$B$13,2,0),"")</f>
        <v/>
      </c>
      <c r="AL103" s="14" t="str">
        <f aca="false">IFERROR(VLOOKUP(TRIM('📥 Respostas'!AO103),'⚙️ Config'!$A$4:$B$13,2,0),"")</f>
        <v/>
      </c>
      <c r="AM103" s="14" t="str">
        <f aca="false">IFERROR(VLOOKUP(TRIM('📥 Respostas'!AP103),'⚙️ Config'!$A$4:$B$13,2,0),"")</f>
        <v/>
      </c>
      <c r="AN103" s="14" t="str">
        <f aca="false">IFERROR(VLOOKUP(TRIM('📥 Respostas'!AQ103),'⚙️ Config'!$A$4:$B$13,2,0),"")</f>
        <v/>
      </c>
      <c r="AO103" s="14" t="str">
        <f aca="false">IFERROR(VLOOKUP(TRIM('📥 Respostas'!AR103),'⚙️ Config'!$A$4:$B$13,2,0),"")</f>
        <v/>
      </c>
      <c r="AP103" s="14" t="str">
        <f aca="false">IFERROR(VLOOKUP(TRIM('📥 Respostas'!AS103),'⚙️ Config'!$A$4:$B$13,2,0),"")</f>
        <v/>
      </c>
      <c r="AQ103" s="14" t="str">
        <f aca="false">IFERROR(VLOOKUP(TRIM('📥 Respostas'!AT103),'⚙️ Config'!$A$4:$B$13,2,0),"")</f>
        <v/>
      </c>
      <c r="AR103" s="14" t="str">
        <f aca="false">IFERROR(VLOOKUP(TRIM('📥 Respostas'!AU103),'⚙️ Config'!$A$4:$B$13,2,0),"")</f>
        <v/>
      </c>
    </row>
    <row r="104" customFormat="false" ht="15" hidden="false" customHeight="false" outlineLevel="0" collapsed="false">
      <c r="A104" s="12" t="str">
        <f aca="false">IF(ISBLANK('📥 Respostas'!D104),"",ROW()-3)</f>
        <v/>
      </c>
      <c r="B104" s="12" t="n">
        <f aca="false">'📥 Respostas'!D104</f>
        <v>0</v>
      </c>
      <c r="C104" s="13" t="n">
        <f aca="false">'📥 Respostas'!C104</f>
        <v>0</v>
      </c>
      <c r="D104" s="14" t="str">
        <f aca="false">IFERROR(VLOOKUP(TRIM('📥 Respostas'!G104),'⚙️ Config'!$A$4:$B$13,2,0),"")</f>
        <v/>
      </c>
      <c r="E104" s="14" t="str">
        <f aca="false">IFERROR(VLOOKUP(TRIM('📥 Respostas'!H104),'⚙️ Config'!$A$4:$B$13,2,0),"")</f>
        <v/>
      </c>
      <c r="F104" s="14" t="str">
        <f aca="false">IFERROR(VLOOKUP(TRIM('📥 Respostas'!I104),'⚙️ Config'!$A$4:$B$13,2,0),"")</f>
        <v/>
      </c>
      <c r="G104" s="14" t="str">
        <f aca="false">IFERROR(VLOOKUP(TRIM('📥 Respostas'!J104),'⚙️ Config'!$A$4:$B$13,2,0),"")</f>
        <v/>
      </c>
      <c r="H104" s="14" t="str">
        <f aca="false">IFERROR(VLOOKUP(TRIM('📥 Respostas'!K104),'⚙️ Config'!$A$4:$B$13,2,0),"")</f>
        <v/>
      </c>
      <c r="I104" s="14" t="str">
        <f aca="false">IFERROR(VLOOKUP(TRIM('📥 Respostas'!L104),'⚙️ Config'!$A$4:$B$13,2,0),"")</f>
        <v/>
      </c>
      <c r="J104" s="14" t="str">
        <f aca="false">IFERROR(VLOOKUP(TRIM('📥 Respostas'!M104),'⚙️ Config'!$A$4:$B$13,2,0),"")</f>
        <v/>
      </c>
      <c r="K104" s="14" t="str">
        <f aca="false">IFERROR(VLOOKUP(TRIM('📥 Respostas'!N104),'⚙️ Config'!$A$4:$B$13,2,0),"")</f>
        <v/>
      </c>
      <c r="L104" s="14" t="str">
        <f aca="false">IFERROR(VLOOKUP(TRIM('📥 Respostas'!O104),'⚙️ Config'!$A$4:$B$13,2,0),"")</f>
        <v/>
      </c>
      <c r="M104" s="14" t="str">
        <f aca="false">IFERROR(VLOOKUP(TRIM('📥 Respostas'!P104),'⚙️ Config'!$A$4:$B$13,2,0),"")</f>
        <v/>
      </c>
      <c r="N104" s="14" t="str">
        <f aca="false">IFERROR(VLOOKUP(TRIM('📥 Respostas'!Q104),'⚙️ Config'!$A$4:$B$13,2,0),"")</f>
        <v/>
      </c>
      <c r="O104" s="14" t="str">
        <f aca="false">IFERROR(VLOOKUP(TRIM('📥 Respostas'!R104),'⚙️ Config'!$A$4:$B$13,2,0),"")</f>
        <v/>
      </c>
      <c r="P104" s="14" t="str">
        <f aca="false">IFERROR(VLOOKUP(TRIM('📥 Respostas'!S104),'⚙️ Config'!$A$4:$B$13,2,0),"")</f>
        <v/>
      </c>
      <c r="Q104" s="14" t="str">
        <f aca="false">IFERROR(VLOOKUP(TRIM('📥 Respostas'!T104),'⚙️ Config'!$A$4:$B$13,2,0),"")</f>
        <v/>
      </c>
      <c r="R104" s="14" t="str">
        <f aca="false">IFERROR(VLOOKUP(TRIM('📥 Respostas'!U104),'⚙️ Config'!$A$4:$B$13,2,0),"")</f>
        <v/>
      </c>
      <c r="S104" s="14" t="str">
        <f aca="false">IFERROR(VLOOKUP(TRIM('📥 Respostas'!V104),'⚙️ Config'!$A$4:$B$13,2,0),"")</f>
        <v/>
      </c>
      <c r="T104" s="14" t="str">
        <f aca="false">IFERROR(VLOOKUP(TRIM('📥 Respostas'!W104),'⚙️ Config'!$A$4:$B$13,2,0),"")</f>
        <v/>
      </c>
      <c r="U104" s="14" t="str">
        <f aca="false">IFERROR(VLOOKUP(TRIM('📥 Respostas'!X104),'⚙️ Config'!$A$4:$B$13,2,0),"")</f>
        <v/>
      </c>
      <c r="V104" s="14" t="str">
        <f aca="false">IFERROR(VLOOKUP(TRIM('📥 Respostas'!Y104),'⚙️ Config'!$A$4:$B$13,2,0),"")</f>
        <v/>
      </c>
      <c r="W104" s="14" t="str">
        <f aca="false">IFERROR(VLOOKUP(TRIM('📥 Respostas'!Z104),'⚙️ Config'!$A$4:$B$13,2,0),"")</f>
        <v/>
      </c>
      <c r="X104" s="14" t="str">
        <f aca="false">IFERROR(VLOOKUP(TRIM('📥 Respostas'!AA104),'⚙️ Config'!$A$4:$B$13,2,0),"")</f>
        <v/>
      </c>
      <c r="Y104" s="14" t="str">
        <f aca="false">IFERROR(VLOOKUP(TRIM('📥 Respostas'!AB104),'⚙️ Config'!$A$4:$B$13,2,0),"")</f>
        <v/>
      </c>
      <c r="Z104" s="14" t="str">
        <f aca="false">IFERROR(VLOOKUP(TRIM('📥 Respostas'!AC104),'⚙️ Config'!$A$4:$B$13,2,0),"")</f>
        <v/>
      </c>
      <c r="AA104" s="14" t="str">
        <f aca="false">IFERROR(VLOOKUP(TRIM('📥 Respostas'!AD104),'⚙️ Config'!$A$4:$B$13,2,0),"")</f>
        <v/>
      </c>
      <c r="AB104" s="14" t="str">
        <f aca="false">IFERROR(VLOOKUP(TRIM('📥 Respostas'!AE104),'⚙️ Config'!$A$4:$B$13,2,0),"")</f>
        <v/>
      </c>
      <c r="AC104" s="14" t="str">
        <f aca="false">IFERROR(VLOOKUP(TRIM('📥 Respostas'!AF104),'⚙️ Config'!$A$4:$B$13,2,0),"")</f>
        <v/>
      </c>
      <c r="AD104" s="14" t="str">
        <f aca="false">IFERROR(VLOOKUP(TRIM('📥 Respostas'!AG104),'⚙️ Config'!$A$4:$B$13,2,0),"")</f>
        <v/>
      </c>
      <c r="AE104" s="14" t="str">
        <f aca="false">IFERROR(VLOOKUP(TRIM('📥 Respostas'!AH104),'⚙️ Config'!$A$4:$B$13,2,0),"")</f>
        <v/>
      </c>
      <c r="AF104" s="14" t="str">
        <f aca="false">IFERROR(VLOOKUP(TRIM('📥 Respostas'!AI104),'⚙️ Config'!$C$4:$D$11,2,0),"")</f>
        <v/>
      </c>
      <c r="AG104" s="14" t="str">
        <f aca="false">IFERROR(VLOOKUP(TRIM('📥 Respostas'!AJ104),'⚙️ Config'!$A$4:$B$13,2,0),"")</f>
        <v/>
      </c>
      <c r="AH104" s="14" t="str">
        <f aca="false">IFERROR(VLOOKUP(TRIM('📥 Respostas'!AK104),'⚙️ Config'!$A$4:$B$13,2,0),"")</f>
        <v/>
      </c>
      <c r="AI104" s="14" t="str">
        <f aca="false">IFERROR(VLOOKUP(TRIM('📥 Respostas'!AL104),'⚙️ Config'!$A$4:$B$13,2,0),"")</f>
        <v/>
      </c>
      <c r="AJ104" s="14" t="str">
        <f aca="false">IFERROR(VLOOKUP(TRIM('📥 Respostas'!AM104),'⚙️ Config'!$A$4:$B$13,2,0),"")</f>
        <v/>
      </c>
      <c r="AK104" s="14" t="str">
        <f aca="false">IFERROR(VLOOKUP(TRIM('📥 Respostas'!AN104),'⚙️ Config'!$A$4:$B$13,2,0),"")</f>
        <v/>
      </c>
      <c r="AL104" s="14" t="str">
        <f aca="false">IFERROR(VLOOKUP(TRIM('📥 Respostas'!AO104),'⚙️ Config'!$A$4:$B$13,2,0),"")</f>
        <v/>
      </c>
      <c r="AM104" s="14" t="str">
        <f aca="false">IFERROR(VLOOKUP(TRIM('📥 Respostas'!AP104),'⚙️ Config'!$A$4:$B$13,2,0),"")</f>
        <v/>
      </c>
      <c r="AN104" s="14" t="str">
        <f aca="false">IFERROR(VLOOKUP(TRIM('📥 Respostas'!AQ104),'⚙️ Config'!$A$4:$B$13,2,0),"")</f>
        <v/>
      </c>
      <c r="AO104" s="14" t="str">
        <f aca="false">IFERROR(VLOOKUP(TRIM('📥 Respostas'!AR104),'⚙️ Config'!$A$4:$B$13,2,0),"")</f>
        <v/>
      </c>
      <c r="AP104" s="14" t="str">
        <f aca="false">IFERROR(VLOOKUP(TRIM('📥 Respostas'!AS104),'⚙️ Config'!$A$4:$B$13,2,0),"")</f>
        <v/>
      </c>
      <c r="AQ104" s="14" t="str">
        <f aca="false">IFERROR(VLOOKUP(TRIM('📥 Respostas'!AT104),'⚙️ Config'!$A$4:$B$13,2,0),"")</f>
        <v/>
      </c>
      <c r="AR104" s="14" t="str">
        <f aca="false">IFERROR(VLOOKUP(TRIM('📥 Respostas'!AU104),'⚙️ Config'!$A$4:$B$13,2,0),"")</f>
        <v/>
      </c>
    </row>
    <row r="105" customFormat="false" ht="15" hidden="false" customHeight="false" outlineLevel="0" collapsed="false">
      <c r="A105" s="15" t="str">
        <f aca="false">IF(ISBLANK('📥 Respostas'!D105),"",ROW()-3)</f>
        <v/>
      </c>
      <c r="B105" s="15" t="n">
        <f aca="false">'📥 Respostas'!D105</f>
        <v>0</v>
      </c>
      <c r="C105" s="5" t="n">
        <f aca="false">'📥 Respostas'!C105</f>
        <v>0</v>
      </c>
      <c r="D105" s="14" t="str">
        <f aca="false">IFERROR(VLOOKUP(TRIM('📥 Respostas'!G105),'⚙️ Config'!$A$4:$B$13,2,0),"")</f>
        <v/>
      </c>
      <c r="E105" s="14" t="str">
        <f aca="false">IFERROR(VLOOKUP(TRIM('📥 Respostas'!H105),'⚙️ Config'!$A$4:$B$13,2,0),"")</f>
        <v/>
      </c>
      <c r="F105" s="14" t="str">
        <f aca="false">IFERROR(VLOOKUP(TRIM('📥 Respostas'!I105),'⚙️ Config'!$A$4:$B$13,2,0),"")</f>
        <v/>
      </c>
      <c r="G105" s="14" t="str">
        <f aca="false">IFERROR(VLOOKUP(TRIM('📥 Respostas'!J105),'⚙️ Config'!$A$4:$B$13,2,0),"")</f>
        <v/>
      </c>
      <c r="H105" s="14" t="str">
        <f aca="false">IFERROR(VLOOKUP(TRIM('📥 Respostas'!K105),'⚙️ Config'!$A$4:$B$13,2,0),"")</f>
        <v/>
      </c>
      <c r="I105" s="14" t="str">
        <f aca="false">IFERROR(VLOOKUP(TRIM('📥 Respostas'!L105),'⚙️ Config'!$A$4:$B$13,2,0),"")</f>
        <v/>
      </c>
      <c r="J105" s="14" t="str">
        <f aca="false">IFERROR(VLOOKUP(TRIM('📥 Respostas'!M105),'⚙️ Config'!$A$4:$B$13,2,0),"")</f>
        <v/>
      </c>
      <c r="K105" s="14" t="str">
        <f aca="false">IFERROR(VLOOKUP(TRIM('📥 Respostas'!N105),'⚙️ Config'!$A$4:$B$13,2,0),"")</f>
        <v/>
      </c>
      <c r="L105" s="14" t="str">
        <f aca="false">IFERROR(VLOOKUP(TRIM('📥 Respostas'!O105),'⚙️ Config'!$A$4:$B$13,2,0),"")</f>
        <v/>
      </c>
      <c r="M105" s="14" t="str">
        <f aca="false">IFERROR(VLOOKUP(TRIM('📥 Respostas'!P105),'⚙️ Config'!$A$4:$B$13,2,0),"")</f>
        <v/>
      </c>
      <c r="N105" s="14" t="str">
        <f aca="false">IFERROR(VLOOKUP(TRIM('📥 Respostas'!Q105),'⚙️ Config'!$A$4:$B$13,2,0),"")</f>
        <v/>
      </c>
      <c r="O105" s="14" t="str">
        <f aca="false">IFERROR(VLOOKUP(TRIM('📥 Respostas'!R105),'⚙️ Config'!$A$4:$B$13,2,0),"")</f>
        <v/>
      </c>
      <c r="P105" s="14" t="str">
        <f aca="false">IFERROR(VLOOKUP(TRIM('📥 Respostas'!S105),'⚙️ Config'!$A$4:$B$13,2,0),"")</f>
        <v/>
      </c>
      <c r="Q105" s="14" t="str">
        <f aca="false">IFERROR(VLOOKUP(TRIM('📥 Respostas'!T105),'⚙️ Config'!$A$4:$B$13,2,0),"")</f>
        <v/>
      </c>
      <c r="R105" s="14" t="str">
        <f aca="false">IFERROR(VLOOKUP(TRIM('📥 Respostas'!U105),'⚙️ Config'!$A$4:$B$13,2,0),"")</f>
        <v/>
      </c>
      <c r="S105" s="14" t="str">
        <f aca="false">IFERROR(VLOOKUP(TRIM('📥 Respostas'!V105),'⚙️ Config'!$A$4:$B$13,2,0),"")</f>
        <v/>
      </c>
      <c r="T105" s="14" t="str">
        <f aca="false">IFERROR(VLOOKUP(TRIM('📥 Respostas'!W105),'⚙️ Config'!$A$4:$B$13,2,0),"")</f>
        <v/>
      </c>
      <c r="U105" s="14" t="str">
        <f aca="false">IFERROR(VLOOKUP(TRIM('📥 Respostas'!X105),'⚙️ Config'!$A$4:$B$13,2,0),"")</f>
        <v/>
      </c>
      <c r="V105" s="14" t="str">
        <f aca="false">IFERROR(VLOOKUP(TRIM('📥 Respostas'!Y105),'⚙️ Config'!$A$4:$B$13,2,0),"")</f>
        <v/>
      </c>
      <c r="W105" s="14" t="str">
        <f aca="false">IFERROR(VLOOKUP(TRIM('📥 Respostas'!Z105),'⚙️ Config'!$A$4:$B$13,2,0),"")</f>
        <v/>
      </c>
      <c r="X105" s="14" t="str">
        <f aca="false">IFERROR(VLOOKUP(TRIM('📥 Respostas'!AA105),'⚙️ Config'!$A$4:$B$13,2,0),"")</f>
        <v/>
      </c>
      <c r="Y105" s="14" t="str">
        <f aca="false">IFERROR(VLOOKUP(TRIM('📥 Respostas'!AB105),'⚙️ Config'!$A$4:$B$13,2,0),"")</f>
        <v/>
      </c>
      <c r="Z105" s="14" t="str">
        <f aca="false">IFERROR(VLOOKUP(TRIM('📥 Respostas'!AC105),'⚙️ Config'!$A$4:$B$13,2,0),"")</f>
        <v/>
      </c>
      <c r="AA105" s="14" t="str">
        <f aca="false">IFERROR(VLOOKUP(TRIM('📥 Respostas'!AD105),'⚙️ Config'!$A$4:$B$13,2,0),"")</f>
        <v/>
      </c>
      <c r="AB105" s="14" t="str">
        <f aca="false">IFERROR(VLOOKUP(TRIM('📥 Respostas'!AE105),'⚙️ Config'!$A$4:$B$13,2,0),"")</f>
        <v/>
      </c>
      <c r="AC105" s="14" t="str">
        <f aca="false">IFERROR(VLOOKUP(TRIM('📥 Respostas'!AF105),'⚙️ Config'!$A$4:$B$13,2,0),"")</f>
        <v/>
      </c>
      <c r="AD105" s="14" t="str">
        <f aca="false">IFERROR(VLOOKUP(TRIM('📥 Respostas'!AG105),'⚙️ Config'!$A$4:$B$13,2,0),"")</f>
        <v/>
      </c>
      <c r="AE105" s="14" t="str">
        <f aca="false">IFERROR(VLOOKUP(TRIM('📥 Respostas'!AH105),'⚙️ Config'!$A$4:$B$13,2,0),"")</f>
        <v/>
      </c>
      <c r="AF105" s="14" t="str">
        <f aca="false">IFERROR(VLOOKUP(TRIM('📥 Respostas'!AI105),'⚙️ Config'!$C$4:$D$11,2,0),"")</f>
        <v/>
      </c>
      <c r="AG105" s="14" t="str">
        <f aca="false">IFERROR(VLOOKUP(TRIM('📥 Respostas'!AJ105),'⚙️ Config'!$A$4:$B$13,2,0),"")</f>
        <v/>
      </c>
      <c r="AH105" s="14" t="str">
        <f aca="false">IFERROR(VLOOKUP(TRIM('📥 Respostas'!AK105),'⚙️ Config'!$A$4:$B$13,2,0),"")</f>
        <v/>
      </c>
      <c r="AI105" s="14" t="str">
        <f aca="false">IFERROR(VLOOKUP(TRIM('📥 Respostas'!AL105),'⚙️ Config'!$A$4:$B$13,2,0),"")</f>
        <v/>
      </c>
      <c r="AJ105" s="14" t="str">
        <f aca="false">IFERROR(VLOOKUP(TRIM('📥 Respostas'!AM105),'⚙️ Config'!$A$4:$B$13,2,0),"")</f>
        <v/>
      </c>
      <c r="AK105" s="14" t="str">
        <f aca="false">IFERROR(VLOOKUP(TRIM('📥 Respostas'!AN105),'⚙️ Config'!$A$4:$B$13,2,0),"")</f>
        <v/>
      </c>
      <c r="AL105" s="14" t="str">
        <f aca="false">IFERROR(VLOOKUP(TRIM('📥 Respostas'!AO105),'⚙️ Config'!$A$4:$B$13,2,0),"")</f>
        <v/>
      </c>
      <c r="AM105" s="14" t="str">
        <f aca="false">IFERROR(VLOOKUP(TRIM('📥 Respostas'!AP105),'⚙️ Config'!$A$4:$B$13,2,0),"")</f>
        <v/>
      </c>
      <c r="AN105" s="14" t="str">
        <f aca="false">IFERROR(VLOOKUP(TRIM('📥 Respostas'!AQ105),'⚙️ Config'!$A$4:$B$13,2,0),"")</f>
        <v/>
      </c>
      <c r="AO105" s="14" t="str">
        <f aca="false">IFERROR(VLOOKUP(TRIM('📥 Respostas'!AR105),'⚙️ Config'!$A$4:$B$13,2,0),"")</f>
        <v/>
      </c>
      <c r="AP105" s="14" t="str">
        <f aca="false">IFERROR(VLOOKUP(TRIM('📥 Respostas'!AS105),'⚙️ Config'!$A$4:$B$13,2,0),"")</f>
        <v/>
      </c>
      <c r="AQ105" s="14" t="str">
        <f aca="false">IFERROR(VLOOKUP(TRIM('📥 Respostas'!AT105),'⚙️ Config'!$A$4:$B$13,2,0),"")</f>
        <v/>
      </c>
      <c r="AR105" s="14" t="str">
        <f aca="false">IFERROR(VLOOKUP(TRIM('📥 Respostas'!AU105),'⚙️ Config'!$A$4:$B$13,2,0),"")</f>
        <v/>
      </c>
    </row>
    <row r="106" customFormat="false" ht="15" hidden="false" customHeight="false" outlineLevel="0" collapsed="false">
      <c r="A106" s="12" t="str">
        <f aca="false">IF(ISBLANK('📥 Respostas'!D106),"",ROW()-3)</f>
        <v/>
      </c>
      <c r="B106" s="12" t="n">
        <f aca="false">'📥 Respostas'!D106</f>
        <v>0</v>
      </c>
      <c r="C106" s="13" t="n">
        <f aca="false">'📥 Respostas'!C106</f>
        <v>0</v>
      </c>
      <c r="D106" s="14" t="str">
        <f aca="false">IFERROR(VLOOKUP(TRIM('📥 Respostas'!G106),'⚙️ Config'!$A$4:$B$13,2,0),"")</f>
        <v/>
      </c>
      <c r="E106" s="14" t="str">
        <f aca="false">IFERROR(VLOOKUP(TRIM('📥 Respostas'!H106),'⚙️ Config'!$A$4:$B$13,2,0),"")</f>
        <v/>
      </c>
      <c r="F106" s="14" t="str">
        <f aca="false">IFERROR(VLOOKUP(TRIM('📥 Respostas'!I106),'⚙️ Config'!$A$4:$B$13,2,0),"")</f>
        <v/>
      </c>
      <c r="G106" s="14" t="str">
        <f aca="false">IFERROR(VLOOKUP(TRIM('📥 Respostas'!J106),'⚙️ Config'!$A$4:$B$13,2,0),"")</f>
        <v/>
      </c>
      <c r="H106" s="14" t="str">
        <f aca="false">IFERROR(VLOOKUP(TRIM('📥 Respostas'!K106),'⚙️ Config'!$A$4:$B$13,2,0),"")</f>
        <v/>
      </c>
      <c r="I106" s="14" t="str">
        <f aca="false">IFERROR(VLOOKUP(TRIM('📥 Respostas'!L106),'⚙️ Config'!$A$4:$B$13,2,0),"")</f>
        <v/>
      </c>
      <c r="J106" s="14" t="str">
        <f aca="false">IFERROR(VLOOKUP(TRIM('📥 Respostas'!M106),'⚙️ Config'!$A$4:$B$13,2,0),"")</f>
        <v/>
      </c>
      <c r="K106" s="14" t="str">
        <f aca="false">IFERROR(VLOOKUP(TRIM('📥 Respostas'!N106),'⚙️ Config'!$A$4:$B$13,2,0),"")</f>
        <v/>
      </c>
      <c r="L106" s="14" t="str">
        <f aca="false">IFERROR(VLOOKUP(TRIM('📥 Respostas'!O106),'⚙️ Config'!$A$4:$B$13,2,0),"")</f>
        <v/>
      </c>
      <c r="M106" s="14" t="str">
        <f aca="false">IFERROR(VLOOKUP(TRIM('📥 Respostas'!P106),'⚙️ Config'!$A$4:$B$13,2,0),"")</f>
        <v/>
      </c>
      <c r="N106" s="14" t="str">
        <f aca="false">IFERROR(VLOOKUP(TRIM('📥 Respostas'!Q106),'⚙️ Config'!$A$4:$B$13,2,0),"")</f>
        <v/>
      </c>
      <c r="O106" s="14" t="str">
        <f aca="false">IFERROR(VLOOKUP(TRIM('📥 Respostas'!R106),'⚙️ Config'!$A$4:$B$13,2,0),"")</f>
        <v/>
      </c>
      <c r="P106" s="14" t="str">
        <f aca="false">IFERROR(VLOOKUP(TRIM('📥 Respostas'!S106),'⚙️ Config'!$A$4:$B$13,2,0),"")</f>
        <v/>
      </c>
      <c r="Q106" s="14" t="str">
        <f aca="false">IFERROR(VLOOKUP(TRIM('📥 Respostas'!T106),'⚙️ Config'!$A$4:$B$13,2,0),"")</f>
        <v/>
      </c>
      <c r="R106" s="14" t="str">
        <f aca="false">IFERROR(VLOOKUP(TRIM('📥 Respostas'!U106),'⚙️ Config'!$A$4:$B$13,2,0),"")</f>
        <v/>
      </c>
      <c r="S106" s="14" t="str">
        <f aca="false">IFERROR(VLOOKUP(TRIM('📥 Respostas'!V106),'⚙️ Config'!$A$4:$B$13,2,0),"")</f>
        <v/>
      </c>
      <c r="T106" s="14" t="str">
        <f aca="false">IFERROR(VLOOKUP(TRIM('📥 Respostas'!W106),'⚙️ Config'!$A$4:$B$13,2,0),"")</f>
        <v/>
      </c>
      <c r="U106" s="14" t="str">
        <f aca="false">IFERROR(VLOOKUP(TRIM('📥 Respostas'!X106),'⚙️ Config'!$A$4:$B$13,2,0),"")</f>
        <v/>
      </c>
      <c r="V106" s="14" t="str">
        <f aca="false">IFERROR(VLOOKUP(TRIM('📥 Respostas'!Y106),'⚙️ Config'!$A$4:$B$13,2,0),"")</f>
        <v/>
      </c>
      <c r="W106" s="14" t="str">
        <f aca="false">IFERROR(VLOOKUP(TRIM('📥 Respostas'!Z106),'⚙️ Config'!$A$4:$B$13,2,0),"")</f>
        <v/>
      </c>
      <c r="X106" s="14" t="str">
        <f aca="false">IFERROR(VLOOKUP(TRIM('📥 Respostas'!AA106),'⚙️ Config'!$A$4:$B$13,2,0),"")</f>
        <v/>
      </c>
      <c r="Y106" s="14" t="str">
        <f aca="false">IFERROR(VLOOKUP(TRIM('📥 Respostas'!AB106),'⚙️ Config'!$A$4:$B$13,2,0),"")</f>
        <v/>
      </c>
      <c r="Z106" s="14" t="str">
        <f aca="false">IFERROR(VLOOKUP(TRIM('📥 Respostas'!AC106),'⚙️ Config'!$A$4:$B$13,2,0),"")</f>
        <v/>
      </c>
      <c r="AA106" s="14" t="str">
        <f aca="false">IFERROR(VLOOKUP(TRIM('📥 Respostas'!AD106),'⚙️ Config'!$A$4:$B$13,2,0),"")</f>
        <v/>
      </c>
      <c r="AB106" s="14" t="str">
        <f aca="false">IFERROR(VLOOKUP(TRIM('📥 Respostas'!AE106),'⚙️ Config'!$A$4:$B$13,2,0),"")</f>
        <v/>
      </c>
      <c r="AC106" s="14" t="str">
        <f aca="false">IFERROR(VLOOKUP(TRIM('📥 Respostas'!AF106),'⚙️ Config'!$A$4:$B$13,2,0),"")</f>
        <v/>
      </c>
      <c r="AD106" s="14" t="str">
        <f aca="false">IFERROR(VLOOKUP(TRIM('📥 Respostas'!AG106),'⚙️ Config'!$A$4:$B$13,2,0),"")</f>
        <v/>
      </c>
      <c r="AE106" s="14" t="str">
        <f aca="false">IFERROR(VLOOKUP(TRIM('📥 Respostas'!AH106),'⚙️ Config'!$A$4:$B$13,2,0),"")</f>
        <v/>
      </c>
      <c r="AF106" s="14" t="str">
        <f aca="false">IFERROR(VLOOKUP(TRIM('📥 Respostas'!AI106),'⚙️ Config'!$C$4:$D$11,2,0),"")</f>
        <v/>
      </c>
      <c r="AG106" s="14" t="str">
        <f aca="false">IFERROR(VLOOKUP(TRIM('📥 Respostas'!AJ106),'⚙️ Config'!$A$4:$B$13,2,0),"")</f>
        <v/>
      </c>
      <c r="AH106" s="14" t="str">
        <f aca="false">IFERROR(VLOOKUP(TRIM('📥 Respostas'!AK106),'⚙️ Config'!$A$4:$B$13,2,0),"")</f>
        <v/>
      </c>
      <c r="AI106" s="14" t="str">
        <f aca="false">IFERROR(VLOOKUP(TRIM('📥 Respostas'!AL106),'⚙️ Config'!$A$4:$B$13,2,0),"")</f>
        <v/>
      </c>
      <c r="AJ106" s="14" t="str">
        <f aca="false">IFERROR(VLOOKUP(TRIM('📥 Respostas'!AM106),'⚙️ Config'!$A$4:$B$13,2,0),"")</f>
        <v/>
      </c>
      <c r="AK106" s="14" t="str">
        <f aca="false">IFERROR(VLOOKUP(TRIM('📥 Respostas'!AN106),'⚙️ Config'!$A$4:$B$13,2,0),"")</f>
        <v/>
      </c>
      <c r="AL106" s="14" t="str">
        <f aca="false">IFERROR(VLOOKUP(TRIM('📥 Respostas'!AO106),'⚙️ Config'!$A$4:$B$13,2,0),"")</f>
        <v/>
      </c>
      <c r="AM106" s="14" t="str">
        <f aca="false">IFERROR(VLOOKUP(TRIM('📥 Respostas'!AP106),'⚙️ Config'!$A$4:$B$13,2,0),"")</f>
        <v/>
      </c>
      <c r="AN106" s="14" t="str">
        <f aca="false">IFERROR(VLOOKUP(TRIM('📥 Respostas'!AQ106),'⚙️ Config'!$A$4:$B$13,2,0),"")</f>
        <v/>
      </c>
      <c r="AO106" s="14" t="str">
        <f aca="false">IFERROR(VLOOKUP(TRIM('📥 Respostas'!AR106),'⚙️ Config'!$A$4:$B$13,2,0),"")</f>
        <v/>
      </c>
      <c r="AP106" s="14" t="str">
        <f aca="false">IFERROR(VLOOKUP(TRIM('📥 Respostas'!AS106),'⚙️ Config'!$A$4:$B$13,2,0),"")</f>
        <v/>
      </c>
      <c r="AQ106" s="14" t="str">
        <f aca="false">IFERROR(VLOOKUP(TRIM('📥 Respostas'!AT106),'⚙️ Config'!$A$4:$B$13,2,0),"")</f>
        <v/>
      </c>
      <c r="AR106" s="14" t="str">
        <f aca="false">IFERROR(VLOOKUP(TRIM('📥 Respostas'!AU106),'⚙️ Config'!$A$4:$B$13,2,0),"")</f>
        <v/>
      </c>
    </row>
    <row r="107" customFormat="false" ht="15" hidden="false" customHeight="false" outlineLevel="0" collapsed="false">
      <c r="A107" s="15" t="str">
        <f aca="false">IF(ISBLANK('📥 Respostas'!D107),"",ROW()-3)</f>
        <v/>
      </c>
      <c r="B107" s="15" t="n">
        <f aca="false">'📥 Respostas'!D107</f>
        <v>0</v>
      </c>
      <c r="C107" s="5" t="n">
        <f aca="false">'📥 Respostas'!C107</f>
        <v>0</v>
      </c>
      <c r="D107" s="14" t="str">
        <f aca="false">IFERROR(VLOOKUP(TRIM('📥 Respostas'!G107),'⚙️ Config'!$A$4:$B$13,2,0),"")</f>
        <v/>
      </c>
      <c r="E107" s="14" t="str">
        <f aca="false">IFERROR(VLOOKUP(TRIM('📥 Respostas'!H107),'⚙️ Config'!$A$4:$B$13,2,0),"")</f>
        <v/>
      </c>
      <c r="F107" s="14" t="str">
        <f aca="false">IFERROR(VLOOKUP(TRIM('📥 Respostas'!I107),'⚙️ Config'!$A$4:$B$13,2,0),"")</f>
        <v/>
      </c>
      <c r="G107" s="14" t="str">
        <f aca="false">IFERROR(VLOOKUP(TRIM('📥 Respostas'!J107),'⚙️ Config'!$A$4:$B$13,2,0),"")</f>
        <v/>
      </c>
      <c r="H107" s="14" t="str">
        <f aca="false">IFERROR(VLOOKUP(TRIM('📥 Respostas'!K107),'⚙️ Config'!$A$4:$B$13,2,0),"")</f>
        <v/>
      </c>
      <c r="I107" s="14" t="str">
        <f aca="false">IFERROR(VLOOKUP(TRIM('📥 Respostas'!L107),'⚙️ Config'!$A$4:$B$13,2,0),"")</f>
        <v/>
      </c>
      <c r="J107" s="14" t="str">
        <f aca="false">IFERROR(VLOOKUP(TRIM('📥 Respostas'!M107),'⚙️ Config'!$A$4:$B$13,2,0),"")</f>
        <v/>
      </c>
      <c r="K107" s="14" t="str">
        <f aca="false">IFERROR(VLOOKUP(TRIM('📥 Respostas'!N107),'⚙️ Config'!$A$4:$B$13,2,0),"")</f>
        <v/>
      </c>
      <c r="L107" s="14" t="str">
        <f aca="false">IFERROR(VLOOKUP(TRIM('📥 Respostas'!O107),'⚙️ Config'!$A$4:$B$13,2,0),"")</f>
        <v/>
      </c>
      <c r="M107" s="14" t="str">
        <f aca="false">IFERROR(VLOOKUP(TRIM('📥 Respostas'!P107),'⚙️ Config'!$A$4:$B$13,2,0),"")</f>
        <v/>
      </c>
      <c r="N107" s="14" t="str">
        <f aca="false">IFERROR(VLOOKUP(TRIM('📥 Respostas'!Q107),'⚙️ Config'!$A$4:$B$13,2,0),"")</f>
        <v/>
      </c>
      <c r="O107" s="14" t="str">
        <f aca="false">IFERROR(VLOOKUP(TRIM('📥 Respostas'!R107),'⚙️ Config'!$A$4:$B$13,2,0),"")</f>
        <v/>
      </c>
      <c r="P107" s="14" t="str">
        <f aca="false">IFERROR(VLOOKUP(TRIM('📥 Respostas'!S107),'⚙️ Config'!$A$4:$B$13,2,0),"")</f>
        <v/>
      </c>
      <c r="Q107" s="14" t="str">
        <f aca="false">IFERROR(VLOOKUP(TRIM('📥 Respostas'!T107),'⚙️ Config'!$A$4:$B$13,2,0),"")</f>
        <v/>
      </c>
      <c r="R107" s="14" t="str">
        <f aca="false">IFERROR(VLOOKUP(TRIM('📥 Respostas'!U107),'⚙️ Config'!$A$4:$B$13,2,0),"")</f>
        <v/>
      </c>
      <c r="S107" s="14" t="str">
        <f aca="false">IFERROR(VLOOKUP(TRIM('📥 Respostas'!V107),'⚙️ Config'!$A$4:$B$13,2,0),"")</f>
        <v/>
      </c>
      <c r="T107" s="14" t="str">
        <f aca="false">IFERROR(VLOOKUP(TRIM('📥 Respostas'!W107),'⚙️ Config'!$A$4:$B$13,2,0),"")</f>
        <v/>
      </c>
      <c r="U107" s="14" t="str">
        <f aca="false">IFERROR(VLOOKUP(TRIM('📥 Respostas'!X107),'⚙️ Config'!$A$4:$B$13,2,0),"")</f>
        <v/>
      </c>
      <c r="V107" s="14" t="str">
        <f aca="false">IFERROR(VLOOKUP(TRIM('📥 Respostas'!Y107),'⚙️ Config'!$A$4:$B$13,2,0),"")</f>
        <v/>
      </c>
      <c r="W107" s="14" t="str">
        <f aca="false">IFERROR(VLOOKUP(TRIM('📥 Respostas'!Z107),'⚙️ Config'!$A$4:$B$13,2,0),"")</f>
        <v/>
      </c>
      <c r="X107" s="14" t="str">
        <f aca="false">IFERROR(VLOOKUP(TRIM('📥 Respostas'!AA107),'⚙️ Config'!$A$4:$B$13,2,0),"")</f>
        <v/>
      </c>
      <c r="Y107" s="14" t="str">
        <f aca="false">IFERROR(VLOOKUP(TRIM('📥 Respostas'!AB107),'⚙️ Config'!$A$4:$B$13,2,0),"")</f>
        <v/>
      </c>
      <c r="Z107" s="14" t="str">
        <f aca="false">IFERROR(VLOOKUP(TRIM('📥 Respostas'!AC107),'⚙️ Config'!$A$4:$B$13,2,0),"")</f>
        <v/>
      </c>
      <c r="AA107" s="14" t="str">
        <f aca="false">IFERROR(VLOOKUP(TRIM('📥 Respostas'!AD107),'⚙️ Config'!$A$4:$B$13,2,0),"")</f>
        <v/>
      </c>
      <c r="AB107" s="14" t="str">
        <f aca="false">IFERROR(VLOOKUP(TRIM('📥 Respostas'!AE107),'⚙️ Config'!$A$4:$B$13,2,0),"")</f>
        <v/>
      </c>
      <c r="AC107" s="14" t="str">
        <f aca="false">IFERROR(VLOOKUP(TRIM('📥 Respostas'!AF107),'⚙️ Config'!$A$4:$B$13,2,0),"")</f>
        <v/>
      </c>
      <c r="AD107" s="14" t="str">
        <f aca="false">IFERROR(VLOOKUP(TRIM('📥 Respostas'!AG107),'⚙️ Config'!$A$4:$B$13,2,0),"")</f>
        <v/>
      </c>
      <c r="AE107" s="14" t="str">
        <f aca="false">IFERROR(VLOOKUP(TRIM('📥 Respostas'!AH107),'⚙️ Config'!$A$4:$B$13,2,0),"")</f>
        <v/>
      </c>
      <c r="AF107" s="14" t="str">
        <f aca="false">IFERROR(VLOOKUP(TRIM('📥 Respostas'!AI107),'⚙️ Config'!$C$4:$D$11,2,0),"")</f>
        <v/>
      </c>
      <c r="AG107" s="14" t="str">
        <f aca="false">IFERROR(VLOOKUP(TRIM('📥 Respostas'!AJ107),'⚙️ Config'!$A$4:$B$13,2,0),"")</f>
        <v/>
      </c>
      <c r="AH107" s="14" t="str">
        <f aca="false">IFERROR(VLOOKUP(TRIM('📥 Respostas'!AK107),'⚙️ Config'!$A$4:$B$13,2,0),"")</f>
        <v/>
      </c>
      <c r="AI107" s="14" t="str">
        <f aca="false">IFERROR(VLOOKUP(TRIM('📥 Respostas'!AL107),'⚙️ Config'!$A$4:$B$13,2,0),"")</f>
        <v/>
      </c>
      <c r="AJ107" s="14" t="str">
        <f aca="false">IFERROR(VLOOKUP(TRIM('📥 Respostas'!AM107),'⚙️ Config'!$A$4:$B$13,2,0),"")</f>
        <v/>
      </c>
      <c r="AK107" s="14" t="str">
        <f aca="false">IFERROR(VLOOKUP(TRIM('📥 Respostas'!AN107),'⚙️ Config'!$A$4:$B$13,2,0),"")</f>
        <v/>
      </c>
      <c r="AL107" s="14" t="str">
        <f aca="false">IFERROR(VLOOKUP(TRIM('📥 Respostas'!AO107),'⚙️ Config'!$A$4:$B$13,2,0),"")</f>
        <v/>
      </c>
      <c r="AM107" s="14" t="str">
        <f aca="false">IFERROR(VLOOKUP(TRIM('📥 Respostas'!AP107),'⚙️ Config'!$A$4:$B$13,2,0),"")</f>
        <v/>
      </c>
      <c r="AN107" s="14" t="str">
        <f aca="false">IFERROR(VLOOKUP(TRIM('📥 Respostas'!AQ107),'⚙️ Config'!$A$4:$B$13,2,0),"")</f>
        <v/>
      </c>
      <c r="AO107" s="14" t="str">
        <f aca="false">IFERROR(VLOOKUP(TRIM('📥 Respostas'!AR107),'⚙️ Config'!$A$4:$B$13,2,0),"")</f>
        <v/>
      </c>
      <c r="AP107" s="14" t="str">
        <f aca="false">IFERROR(VLOOKUP(TRIM('📥 Respostas'!AS107),'⚙️ Config'!$A$4:$B$13,2,0),"")</f>
        <v/>
      </c>
      <c r="AQ107" s="14" t="str">
        <f aca="false">IFERROR(VLOOKUP(TRIM('📥 Respostas'!AT107),'⚙️ Config'!$A$4:$B$13,2,0),"")</f>
        <v/>
      </c>
      <c r="AR107" s="14" t="str">
        <f aca="false">IFERROR(VLOOKUP(TRIM('📥 Respostas'!AU107),'⚙️ Config'!$A$4:$B$13,2,0),"")</f>
        <v/>
      </c>
    </row>
    <row r="108" customFormat="false" ht="15" hidden="false" customHeight="false" outlineLevel="0" collapsed="false">
      <c r="A108" s="12" t="str">
        <f aca="false">IF(ISBLANK('📥 Respostas'!D108),"",ROW()-3)</f>
        <v/>
      </c>
      <c r="B108" s="12" t="n">
        <f aca="false">'📥 Respostas'!D108</f>
        <v>0</v>
      </c>
      <c r="C108" s="13" t="n">
        <f aca="false">'📥 Respostas'!C108</f>
        <v>0</v>
      </c>
      <c r="D108" s="14" t="str">
        <f aca="false">IFERROR(VLOOKUP(TRIM('📥 Respostas'!G108),'⚙️ Config'!$A$4:$B$13,2,0),"")</f>
        <v/>
      </c>
      <c r="E108" s="14" t="str">
        <f aca="false">IFERROR(VLOOKUP(TRIM('📥 Respostas'!H108),'⚙️ Config'!$A$4:$B$13,2,0),"")</f>
        <v/>
      </c>
      <c r="F108" s="14" t="str">
        <f aca="false">IFERROR(VLOOKUP(TRIM('📥 Respostas'!I108),'⚙️ Config'!$A$4:$B$13,2,0),"")</f>
        <v/>
      </c>
      <c r="G108" s="14" t="str">
        <f aca="false">IFERROR(VLOOKUP(TRIM('📥 Respostas'!J108),'⚙️ Config'!$A$4:$B$13,2,0),"")</f>
        <v/>
      </c>
      <c r="H108" s="14" t="str">
        <f aca="false">IFERROR(VLOOKUP(TRIM('📥 Respostas'!K108),'⚙️ Config'!$A$4:$B$13,2,0),"")</f>
        <v/>
      </c>
      <c r="I108" s="14" t="str">
        <f aca="false">IFERROR(VLOOKUP(TRIM('📥 Respostas'!L108),'⚙️ Config'!$A$4:$B$13,2,0),"")</f>
        <v/>
      </c>
      <c r="J108" s="14" t="str">
        <f aca="false">IFERROR(VLOOKUP(TRIM('📥 Respostas'!M108),'⚙️ Config'!$A$4:$B$13,2,0),"")</f>
        <v/>
      </c>
      <c r="K108" s="14" t="str">
        <f aca="false">IFERROR(VLOOKUP(TRIM('📥 Respostas'!N108),'⚙️ Config'!$A$4:$B$13,2,0),"")</f>
        <v/>
      </c>
      <c r="L108" s="14" t="str">
        <f aca="false">IFERROR(VLOOKUP(TRIM('📥 Respostas'!O108),'⚙️ Config'!$A$4:$B$13,2,0),"")</f>
        <v/>
      </c>
      <c r="M108" s="14" t="str">
        <f aca="false">IFERROR(VLOOKUP(TRIM('📥 Respostas'!P108),'⚙️ Config'!$A$4:$B$13,2,0),"")</f>
        <v/>
      </c>
      <c r="N108" s="14" t="str">
        <f aca="false">IFERROR(VLOOKUP(TRIM('📥 Respostas'!Q108),'⚙️ Config'!$A$4:$B$13,2,0),"")</f>
        <v/>
      </c>
      <c r="O108" s="14" t="str">
        <f aca="false">IFERROR(VLOOKUP(TRIM('📥 Respostas'!R108),'⚙️ Config'!$A$4:$B$13,2,0),"")</f>
        <v/>
      </c>
      <c r="P108" s="14" t="str">
        <f aca="false">IFERROR(VLOOKUP(TRIM('📥 Respostas'!S108),'⚙️ Config'!$A$4:$B$13,2,0),"")</f>
        <v/>
      </c>
      <c r="Q108" s="14" t="str">
        <f aca="false">IFERROR(VLOOKUP(TRIM('📥 Respostas'!T108),'⚙️ Config'!$A$4:$B$13,2,0),"")</f>
        <v/>
      </c>
      <c r="R108" s="14" t="str">
        <f aca="false">IFERROR(VLOOKUP(TRIM('📥 Respostas'!U108),'⚙️ Config'!$A$4:$B$13,2,0),"")</f>
        <v/>
      </c>
      <c r="S108" s="14" t="str">
        <f aca="false">IFERROR(VLOOKUP(TRIM('📥 Respostas'!V108),'⚙️ Config'!$A$4:$B$13,2,0),"")</f>
        <v/>
      </c>
      <c r="T108" s="14" t="str">
        <f aca="false">IFERROR(VLOOKUP(TRIM('📥 Respostas'!W108),'⚙️ Config'!$A$4:$B$13,2,0),"")</f>
        <v/>
      </c>
      <c r="U108" s="14" t="str">
        <f aca="false">IFERROR(VLOOKUP(TRIM('📥 Respostas'!X108),'⚙️ Config'!$A$4:$B$13,2,0),"")</f>
        <v/>
      </c>
      <c r="V108" s="14" t="str">
        <f aca="false">IFERROR(VLOOKUP(TRIM('📥 Respostas'!Y108),'⚙️ Config'!$A$4:$B$13,2,0),"")</f>
        <v/>
      </c>
      <c r="W108" s="14" t="str">
        <f aca="false">IFERROR(VLOOKUP(TRIM('📥 Respostas'!Z108),'⚙️ Config'!$A$4:$B$13,2,0),"")</f>
        <v/>
      </c>
      <c r="X108" s="14" t="str">
        <f aca="false">IFERROR(VLOOKUP(TRIM('📥 Respostas'!AA108),'⚙️ Config'!$A$4:$B$13,2,0),"")</f>
        <v/>
      </c>
      <c r="Y108" s="14" t="str">
        <f aca="false">IFERROR(VLOOKUP(TRIM('📥 Respostas'!AB108),'⚙️ Config'!$A$4:$B$13,2,0),"")</f>
        <v/>
      </c>
      <c r="Z108" s="14" t="str">
        <f aca="false">IFERROR(VLOOKUP(TRIM('📥 Respostas'!AC108),'⚙️ Config'!$A$4:$B$13,2,0),"")</f>
        <v/>
      </c>
      <c r="AA108" s="14" t="str">
        <f aca="false">IFERROR(VLOOKUP(TRIM('📥 Respostas'!AD108),'⚙️ Config'!$A$4:$B$13,2,0),"")</f>
        <v/>
      </c>
      <c r="AB108" s="14" t="str">
        <f aca="false">IFERROR(VLOOKUP(TRIM('📥 Respostas'!AE108),'⚙️ Config'!$A$4:$B$13,2,0),"")</f>
        <v/>
      </c>
      <c r="AC108" s="14" t="str">
        <f aca="false">IFERROR(VLOOKUP(TRIM('📥 Respostas'!AF108),'⚙️ Config'!$A$4:$B$13,2,0),"")</f>
        <v/>
      </c>
      <c r="AD108" s="14" t="str">
        <f aca="false">IFERROR(VLOOKUP(TRIM('📥 Respostas'!AG108),'⚙️ Config'!$A$4:$B$13,2,0),"")</f>
        <v/>
      </c>
      <c r="AE108" s="14" t="str">
        <f aca="false">IFERROR(VLOOKUP(TRIM('📥 Respostas'!AH108),'⚙️ Config'!$A$4:$B$13,2,0),"")</f>
        <v/>
      </c>
      <c r="AF108" s="14" t="str">
        <f aca="false">IFERROR(VLOOKUP(TRIM('📥 Respostas'!AI108),'⚙️ Config'!$C$4:$D$11,2,0),"")</f>
        <v/>
      </c>
      <c r="AG108" s="14" t="str">
        <f aca="false">IFERROR(VLOOKUP(TRIM('📥 Respostas'!AJ108),'⚙️ Config'!$A$4:$B$13,2,0),"")</f>
        <v/>
      </c>
      <c r="AH108" s="14" t="str">
        <f aca="false">IFERROR(VLOOKUP(TRIM('📥 Respostas'!AK108),'⚙️ Config'!$A$4:$B$13,2,0),"")</f>
        <v/>
      </c>
      <c r="AI108" s="14" t="str">
        <f aca="false">IFERROR(VLOOKUP(TRIM('📥 Respostas'!AL108),'⚙️ Config'!$A$4:$B$13,2,0),"")</f>
        <v/>
      </c>
      <c r="AJ108" s="14" t="str">
        <f aca="false">IFERROR(VLOOKUP(TRIM('📥 Respostas'!AM108),'⚙️ Config'!$A$4:$B$13,2,0),"")</f>
        <v/>
      </c>
      <c r="AK108" s="14" t="str">
        <f aca="false">IFERROR(VLOOKUP(TRIM('📥 Respostas'!AN108),'⚙️ Config'!$A$4:$B$13,2,0),"")</f>
        <v/>
      </c>
      <c r="AL108" s="14" t="str">
        <f aca="false">IFERROR(VLOOKUP(TRIM('📥 Respostas'!AO108),'⚙️ Config'!$A$4:$B$13,2,0),"")</f>
        <v/>
      </c>
      <c r="AM108" s="14" t="str">
        <f aca="false">IFERROR(VLOOKUP(TRIM('📥 Respostas'!AP108),'⚙️ Config'!$A$4:$B$13,2,0),"")</f>
        <v/>
      </c>
      <c r="AN108" s="14" t="str">
        <f aca="false">IFERROR(VLOOKUP(TRIM('📥 Respostas'!AQ108),'⚙️ Config'!$A$4:$B$13,2,0),"")</f>
        <v/>
      </c>
      <c r="AO108" s="14" t="str">
        <f aca="false">IFERROR(VLOOKUP(TRIM('📥 Respostas'!AR108),'⚙️ Config'!$A$4:$B$13,2,0),"")</f>
        <v/>
      </c>
      <c r="AP108" s="14" t="str">
        <f aca="false">IFERROR(VLOOKUP(TRIM('📥 Respostas'!AS108),'⚙️ Config'!$A$4:$B$13,2,0),"")</f>
        <v/>
      </c>
      <c r="AQ108" s="14" t="str">
        <f aca="false">IFERROR(VLOOKUP(TRIM('📥 Respostas'!AT108),'⚙️ Config'!$A$4:$B$13,2,0),"")</f>
        <v/>
      </c>
      <c r="AR108" s="14" t="str">
        <f aca="false">IFERROR(VLOOKUP(TRIM('📥 Respostas'!AU108),'⚙️ Config'!$A$4:$B$13,2,0),"")</f>
        <v/>
      </c>
    </row>
    <row r="109" customFormat="false" ht="15" hidden="false" customHeight="false" outlineLevel="0" collapsed="false">
      <c r="A109" s="15" t="str">
        <f aca="false">IF(ISBLANK('📥 Respostas'!D109),"",ROW()-3)</f>
        <v/>
      </c>
      <c r="B109" s="15" t="n">
        <f aca="false">'📥 Respostas'!D109</f>
        <v>0</v>
      </c>
      <c r="C109" s="5" t="n">
        <f aca="false">'📥 Respostas'!C109</f>
        <v>0</v>
      </c>
      <c r="D109" s="14" t="str">
        <f aca="false">IFERROR(VLOOKUP(TRIM('📥 Respostas'!G109),'⚙️ Config'!$A$4:$B$13,2,0),"")</f>
        <v/>
      </c>
      <c r="E109" s="14" t="str">
        <f aca="false">IFERROR(VLOOKUP(TRIM('📥 Respostas'!H109),'⚙️ Config'!$A$4:$B$13,2,0),"")</f>
        <v/>
      </c>
      <c r="F109" s="14" t="str">
        <f aca="false">IFERROR(VLOOKUP(TRIM('📥 Respostas'!I109),'⚙️ Config'!$A$4:$B$13,2,0),"")</f>
        <v/>
      </c>
      <c r="G109" s="14" t="str">
        <f aca="false">IFERROR(VLOOKUP(TRIM('📥 Respostas'!J109),'⚙️ Config'!$A$4:$B$13,2,0),"")</f>
        <v/>
      </c>
      <c r="H109" s="14" t="str">
        <f aca="false">IFERROR(VLOOKUP(TRIM('📥 Respostas'!K109),'⚙️ Config'!$A$4:$B$13,2,0),"")</f>
        <v/>
      </c>
      <c r="I109" s="14" t="str">
        <f aca="false">IFERROR(VLOOKUP(TRIM('📥 Respostas'!L109),'⚙️ Config'!$A$4:$B$13,2,0),"")</f>
        <v/>
      </c>
      <c r="J109" s="14" t="str">
        <f aca="false">IFERROR(VLOOKUP(TRIM('📥 Respostas'!M109),'⚙️ Config'!$A$4:$B$13,2,0),"")</f>
        <v/>
      </c>
      <c r="K109" s="14" t="str">
        <f aca="false">IFERROR(VLOOKUP(TRIM('📥 Respostas'!N109),'⚙️ Config'!$A$4:$B$13,2,0),"")</f>
        <v/>
      </c>
      <c r="L109" s="14" t="str">
        <f aca="false">IFERROR(VLOOKUP(TRIM('📥 Respostas'!O109),'⚙️ Config'!$A$4:$B$13,2,0),"")</f>
        <v/>
      </c>
      <c r="M109" s="14" t="str">
        <f aca="false">IFERROR(VLOOKUP(TRIM('📥 Respostas'!P109),'⚙️ Config'!$A$4:$B$13,2,0),"")</f>
        <v/>
      </c>
      <c r="N109" s="14" t="str">
        <f aca="false">IFERROR(VLOOKUP(TRIM('📥 Respostas'!Q109),'⚙️ Config'!$A$4:$B$13,2,0),"")</f>
        <v/>
      </c>
      <c r="O109" s="14" t="str">
        <f aca="false">IFERROR(VLOOKUP(TRIM('📥 Respostas'!R109),'⚙️ Config'!$A$4:$B$13,2,0),"")</f>
        <v/>
      </c>
      <c r="P109" s="14" t="str">
        <f aca="false">IFERROR(VLOOKUP(TRIM('📥 Respostas'!S109),'⚙️ Config'!$A$4:$B$13,2,0),"")</f>
        <v/>
      </c>
      <c r="Q109" s="14" t="str">
        <f aca="false">IFERROR(VLOOKUP(TRIM('📥 Respostas'!T109),'⚙️ Config'!$A$4:$B$13,2,0),"")</f>
        <v/>
      </c>
      <c r="R109" s="14" t="str">
        <f aca="false">IFERROR(VLOOKUP(TRIM('📥 Respostas'!U109),'⚙️ Config'!$A$4:$B$13,2,0),"")</f>
        <v/>
      </c>
      <c r="S109" s="14" t="str">
        <f aca="false">IFERROR(VLOOKUP(TRIM('📥 Respostas'!V109),'⚙️ Config'!$A$4:$B$13,2,0),"")</f>
        <v/>
      </c>
      <c r="T109" s="14" t="str">
        <f aca="false">IFERROR(VLOOKUP(TRIM('📥 Respostas'!W109),'⚙️ Config'!$A$4:$B$13,2,0),"")</f>
        <v/>
      </c>
      <c r="U109" s="14" t="str">
        <f aca="false">IFERROR(VLOOKUP(TRIM('📥 Respostas'!X109),'⚙️ Config'!$A$4:$B$13,2,0),"")</f>
        <v/>
      </c>
      <c r="V109" s="14" t="str">
        <f aca="false">IFERROR(VLOOKUP(TRIM('📥 Respostas'!Y109),'⚙️ Config'!$A$4:$B$13,2,0),"")</f>
        <v/>
      </c>
      <c r="W109" s="14" t="str">
        <f aca="false">IFERROR(VLOOKUP(TRIM('📥 Respostas'!Z109),'⚙️ Config'!$A$4:$B$13,2,0),"")</f>
        <v/>
      </c>
      <c r="X109" s="14" t="str">
        <f aca="false">IFERROR(VLOOKUP(TRIM('📥 Respostas'!AA109),'⚙️ Config'!$A$4:$B$13,2,0),"")</f>
        <v/>
      </c>
      <c r="Y109" s="14" t="str">
        <f aca="false">IFERROR(VLOOKUP(TRIM('📥 Respostas'!AB109),'⚙️ Config'!$A$4:$B$13,2,0),"")</f>
        <v/>
      </c>
      <c r="Z109" s="14" t="str">
        <f aca="false">IFERROR(VLOOKUP(TRIM('📥 Respostas'!AC109),'⚙️ Config'!$A$4:$B$13,2,0),"")</f>
        <v/>
      </c>
      <c r="AA109" s="14" t="str">
        <f aca="false">IFERROR(VLOOKUP(TRIM('📥 Respostas'!AD109),'⚙️ Config'!$A$4:$B$13,2,0),"")</f>
        <v/>
      </c>
      <c r="AB109" s="14" t="str">
        <f aca="false">IFERROR(VLOOKUP(TRIM('📥 Respostas'!AE109),'⚙️ Config'!$A$4:$B$13,2,0),"")</f>
        <v/>
      </c>
      <c r="AC109" s="14" t="str">
        <f aca="false">IFERROR(VLOOKUP(TRIM('📥 Respostas'!AF109),'⚙️ Config'!$A$4:$B$13,2,0),"")</f>
        <v/>
      </c>
      <c r="AD109" s="14" t="str">
        <f aca="false">IFERROR(VLOOKUP(TRIM('📥 Respostas'!AG109),'⚙️ Config'!$A$4:$B$13,2,0),"")</f>
        <v/>
      </c>
      <c r="AE109" s="14" t="str">
        <f aca="false">IFERROR(VLOOKUP(TRIM('📥 Respostas'!AH109),'⚙️ Config'!$A$4:$B$13,2,0),"")</f>
        <v/>
      </c>
      <c r="AF109" s="14" t="str">
        <f aca="false">IFERROR(VLOOKUP(TRIM('📥 Respostas'!AI109),'⚙️ Config'!$C$4:$D$11,2,0),"")</f>
        <v/>
      </c>
      <c r="AG109" s="14" t="str">
        <f aca="false">IFERROR(VLOOKUP(TRIM('📥 Respostas'!AJ109),'⚙️ Config'!$A$4:$B$13,2,0),"")</f>
        <v/>
      </c>
      <c r="AH109" s="14" t="str">
        <f aca="false">IFERROR(VLOOKUP(TRIM('📥 Respostas'!AK109),'⚙️ Config'!$A$4:$B$13,2,0),"")</f>
        <v/>
      </c>
      <c r="AI109" s="14" t="str">
        <f aca="false">IFERROR(VLOOKUP(TRIM('📥 Respostas'!AL109),'⚙️ Config'!$A$4:$B$13,2,0),"")</f>
        <v/>
      </c>
      <c r="AJ109" s="14" t="str">
        <f aca="false">IFERROR(VLOOKUP(TRIM('📥 Respostas'!AM109),'⚙️ Config'!$A$4:$B$13,2,0),"")</f>
        <v/>
      </c>
      <c r="AK109" s="14" t="str">
        <f aca="false">IFERROR(VLOOKUP(TRIM('📥 Respostas'!AN109),'⚙️ Config'!$A$4:$B$13,2,0),"")</f>
        <v/>
      </c>
      <c r="AL109" s="14" t="str">
        <f aca="false">IFERROR(VLOOKUP(TRIM('📥 Respostas'!AO109),'⚙️ Config'!$A$4:$B$13,2,0),"")</f>
        <v/>
      </c>
      <c r="AM109" s="14" t="str">
        <f aca="false">IFERROR(VLOOKUP(TRIM('📥 Respostas'!AP109),'⚙️ Config'!$A$4:$B$13,2,0),"")</f>
        <v/>
      </c>
      <c r="AN109" s="14" t="str">
        <f aca="false">IFERROR(VLOOKUP(TRIM('📥 Respostas'!AQ109),'⚙️ Config'!$A$4:$B$13,2,0),"")</f>
        <v/>
      </c>
      <c r="AO109" s="14" t="str">
        <f aca="false">IFERROR(VLOOKUP(TRIM('📥 Respostas'!AR109),'⚙️ Config'!$A$4:$B$13,2,0),"")</f>
        <v/>
      </c>
      <c r="AP109" s="14" t="str">
        <f aca="false">IFERROR(VLOOKUP(TRIM('📥 Respostas'!AS109),'⚙️ Config'!$A$4:$B$13,2,0),"")</f>
        <v/>
      </c>
      <c r="AQ109" s="14" t="str">
        <f aca="false">IFERROR(VLOOKUP(TRIM('📥 Respostas'!AT109),'⚙️ Config'!$A$4:$B$13,2,0),"")</f>
        <v/>
      </c>
      <c r="AR109" s="14" t="str">
        <f aca="false">IFERROR(VLOOKUP(TRIM('📥 Respostas'!AU109),'⚙️ Config'!$A$4:$B$13,2,0),"")</f>
        <v/>
      </c>
    </row>
    <row r="110" customFormat="false" ht="15" hidden="false" customHeight="false" outlineLevel="0" collapsed="false">
      <c r="A110" s="12" t="str">
        <f aca="false">IF(ISBLANK('📥 Respostas'!D110),"",ROW()-3)</f>
        <v/>
      </c>
      <c r="B110" s="12" t="n">
        <f aca="false">'📥 Respostas'!D110</f>
        <v>0</v>
      </c>
      <c r="C110" s="13" t="n">
        <f aca="false">'📥 Respostas'!C110</f>
        <v>0</v>
      </c>
      <c r="D110" s="14" t="str">
        <f aca="false">IFERROR(VLOOKUP(TRIM('📥 Respostas'!G110),'⚙️ Config'!$A$4:$B$13,2,0),"")</f>
        <v/>
      </c>
      <c r="E110" s="14" t="str">
        <f aca="false">IFERROR(VLOOKUP(TRIM('📥 Respostas'!H110),'⚙️ Config'!$A$4:$B$13,2,0),"")</f>
        <v/>
      </c>
      <c r="F110" s="14" t="str">
        <f aca="false">IFERROR(VLOOKUP(TRIM('📥 Respostas'!I110),'⚙️ Config'!$A$4:$B$13,2,0),"")</f>
        <v/>
      </c>
      <c r="G110" s="14" t="str">
        <f aca="false">IFERROR(VLOOKUP(TRIM('📥 Respostas'!J110),'⚙️ Config'!$A$4:$B$13,2,0),"")</f>
        <v/>
      </c>
      <c r="H110" s="14" t="str">
        <f aca="false">IFERROR(VLOOKUP(TRIM('📥 Respostas'!K110),'⚙️ Config'!$A$4:$B$13,2,0),"")</f>
        <v/>
      </c>
      <c r="I110" s="14" t="str">
        <f aca="false">IFERROR(VLOOKUP(TRIM('📥 Respostas'!L110),'⚙️ Config'!$A$4:$B$13,2,0),"")</f>
        <v/>
      </c>
      <c r="J110" s="14" t="str">
        <f aca="false">IFERROR(VLOOKUP(TRIM('📥 Respostas'!M110),'⚙️ Config'!$A$4:$B$13,2,0),"")</f>
        <v/>
      </c>
      <c r="K110" s="14" t="str">
        <f aca="false">IFERROR(VLOOKUP(TRIM('📥 Respostas'!N110),'⚙️ Config'!$A$4:$B$13,2,0),"")</f>
        <v/>
      </c>
      <c r="L110" s="14" t="str">
        <f aca="false">IFERROR(VLOOKUP(TRIM('📥 Respostas'!O110),'⚙️ Config'!$A$4:$B$13,2,0),"")</f>
        <v/>
      </c>
      <c r="M110" s="14" t="str">
        <f aca="false">IFERROR(VLOOKUP(TRIM('📥 Respostas'!P110),'⚙️ Config'!$A$4:$B$13,2,0),"")</f>
        <v/>
      </c>
      <c r="N110" s="14" t="str">
        <f aca="false">IFERROR(VLOOKUP(TRIM('📥 Respostas'!Q110),'⚙️ Config'!$A$4:$B$13,2,0),"")</f>
        <v/>
      </c>
      <c r="O110" s="14" t="str">
        <f aca="false">IFERROR(VLOOKUP(TRIM('📥 Respostas'!R110),'⚙️ Config'!$A$4:$B$13,2,0),"")</f>
        <v/>
      </c>
      <c r="P110" s="14" t="str">
        <f aca="false">IFERROR(VLOOKUP(TRIM('📥 Respostas'!S110),'⚙️ Config'!$A$4:$B$13,2,0),"")</f>
        <v/>
      </c>
      <c r="Q110" s="14" t="str">
        <f aca="false">IFERROR(VLOOKUP(TRIM('📥 Respostas'!T110),'⚙️ Config'!$A$4:$B$13,2,0),"")</f>
        <v/>
      </c>
      <c r="R110" s="14" t="str">
        <f aca="false">IFERROR(VLOOKUP(TRIM('📥 Respostas'!U110),'⚙️ Config'!$A$4:$B$13,2,0),"")</f>
        <v/>
      </c>
      <c r="S110" s="14" t="str">
        <f aca="false">IFERROR(VLOOKUP(TRIM('📥 Respostas'!V110),'⚙️ Config'!$A$4:$B$13,2,0),"")</f>
        <v/>
      </c>
      <c r="T110" s="14" t="str">
        <f aca="false">IFERROR(VLOOKUP(TRIM('📥 Respostas'!W110),'⚙️ Config'!$A$4:$B$13,2,0),"")</f>
        <v/>
      </c>
      <c r="U110" s="14" t="str">
        <f aca="false">IFERROR(VLOOKUP(TRIM('📥 Respostas'!X110),'⚙️ Config'!$A$4:$B$13,2,0),"")</f>
        <v/>
      </c>
      <c r="V110" s="14" t="str">
        <f aca="false">IFERROR(VLOOKUP(TRIM('📥 Respostas'!Y110),'⚙️ Config'!$A$4:$B$13,2,0),"")</f>
        <v/>
      </c>
      <c r="W110" s="14" t="str">
        <f aca="false">IFERROR(VLOOKUP(TRIM('📥 Respostas'!Z110),'⚙️ Config'!$A$4:$B$13,2,0),"")</f>
        <v/>
      </c>
      <c r="X110" s="14" t="str">
        <f aca="false">IFERROR(VLOOKUP(TRIM('📥 Respostas'!AA110),'⚙️ Config'!$A$4:$B$13,2,0),"")</f>
        <v/>
      </c>
      <c r="Y110" s="14" t="str">
        <f aca="false">IFERROR(VLOOKUP(TRIM('📥 Respostas'!AB110),'⚙️ Config'!$A$4:$B$13,2,0),"")</f>
        <v/>
      </c>
      <c r="Z110" s="14" t="str">
        <f aca="false">IFERROR(VLOOKUP(TRIM('📥 Respostas'!AC110),'⚙️ Config'!$A$4:$B$13,2,0),"")</f>
        <v/>
      </c>
      <c r="AA110" s="14" t="str">
        <f aca="false">IFERROR(VLOOKUP(TRIM('📥 Respostas'!AD110),'⚙️ Config'!$A$4:$B$13,2,0),"")</f>
        <v/>
      </c>
      <c r="AB110" s="14" t="str">
        <f aca="false">IFERROR(VLOOKUP(TRIM('📥 Respostas'!AE110),'⚙️ Config'!$A$4:$B$13,2,0),"")</f>
        <v/>
      </c>
      <c r="AC110" s="14" t="str">
        <f aca="false">IFERROR(VLOOKUP(TRIM('📥 Respostas'!AF110),'⚙️ Config'!$A$4:$B$13,2,0),"")</f>
        <v/>
      </c>
      <c r="AD110" s="14" t="str">
        <f aca="false">IFERROR(VLOOKUP(TRIM('📥 Respostas'!AG110),'⚙️ Config'!$A$4:$B$13,2,0),"")</f>
        <v/>
      </c>
      <c r="AE110" s="14" t="str">
        <f aca="false">IFERROR(VLOOKUP(TRIM('📥 Respostas'!AH110),'⚙️ Config'!$A$4:$B$13,2,0),"")</f>
        <v/>
      </c>
      <c r="AF110" s="14" t="str">
        <f aca="false">IFERROR(VLOOKUP(TRIM('📥 Respostas'!AI110),'⚙️ Config'!$C$4:$D$11,2,0),"")</f>
        <v/>
      </c>
      <c r="AG110" s="14" t="str">
        <f aca="false">IFERROR(VLOOKUP(TRIM('📥 Respostas'!AJ110),'⚙️ Config'!$A$4:$B$13,2,0),"")</f>
        <v/>
      </c>
      <c r="AH110" s="14" t="str">
        <f aca="false">IFERROR(VLOOKUP(TRIM('📥 Respostas'!AK110),'⚙️ Config'!$A$4:$B$13,2,0),"")</f>
        <v/>
      </c>
      <c r="AI110" s="14" t="str">
        <f aca="false">IFERROR(VLOOKUP(TRIM('📥 Respostas'!AL110),'⚙️ Config'!$A$4:$B$13,2,0),"")</f>
        <v/>
      </c>
      <c r="AJ110" s="14" t="str">
        <f aca="false">IFERROR(VLOOKUP(TRIM('📥 Respostas'!AM110),'⚙️ Config'!$A$4:$B$13,2,0),"")</f>
        <v/>
      </c>
      <c r="AK110" s="14" t="str">
        <f aca="false">IFERROR(VLOOKUP(TRIM('📥 Respostas'!AN110),'⚙️ Config'!$A$4:$B$13,2,0),"")</f>
        <v/>
      </c>
      <c r="AL110" s="14" t="str">
        <f aca="false">IFERROR(VLOOKUP(TRIM('📥 Respostas'!AO110),'⚙️ Config'!$A$4:$B$13,2,0),"")</f>
        <v/>
      </c>
      <c r="AM110" s="14" t="str">
        <f aca="false">IFERROR(VLOOKUP(TRIM('📥 Respostas'!AP110),'⚙️ Config'!$A$4:$B$13,2,0),"")</f>
        <v/>
      </c>
      <c r="AN110" s="14" t="str">
        <f aca="false">IFERROR(VLOOKUP(TRIM('📥 Respostas'!AQ110),'⚙️ Config'!$A$4:$B$13,2,0),"")</f>
        <v/>
      </c>
      <c r="AO110" s="14" t="str">
        <f aca="false">IFERROR(VLOOKUP(TRIM('📥 Respostas'!AR110),'⚙️ Config'!$A$4:$B$13,2,0),"")</f>
        <v/>
      </c>
      <c r="AP110" s="14" t="str">
        <f aca="false">IFERROR(VLOOKUP(TRIM('📥 Respostas'!AS110),'⚙️ Config'!$A$4:$B$13,2,0),"")</f>
        <v/>
      </c>
      <c r="AQ110" s="14" t="str">
        <f aca="false">IFERROR(VLOOKUP(TRIM('📥 Respostas'!AT110),'⚙️ Config'!$A$4:$B$13,2,0),"")</f>
        <v/>
      </c>
      <c r="AR110" s="14" t="str">
        <f aca="false">IFERROR(VLOOKUP(TRIM('📥 Respostas'!AU110),'⚙️ Config'!$A$4:$B$13,2,0),"")</f>
        <v/>
      </c>
    </row>
    <row r="111" customFormat="false" ht="15" hidden="false" customHeight="false" outlineLevel="0" collapsed="false">
      <c r="A111" s="15" t="str">
        <f aca="false">IF(ISBLANK('📥 Respostas'!D111),"",ROW()-3)</f>
        <v/>
      </c>
      <c r="B111" s="15" t="n">
        <f aca="false">'📥 Respostas'!D111</f>
        <v>0</v>
      </c>
      <c r="C111" s="5" t="n">
        <f aca="false">'📥 Respostas'!C111</f>
        <v>0</v>
      </c>
      <c r="D111" s="14" t="str">
        <f aca="false">IFERROR(VLOOKUP(TRIM('📥 Respostas'!G111),'⚙️ Config'!$A$4:$B$13,2,0),"")</f>
        <v/>
      </c>
      <c r="E111" s="14" t="str">
        <f aca="false">IFERROR(VLOOKUP(TRIM('📥 Respostas'!H111),'⚙️ Config'!$A$4:$B$13,2,0),"")</f>
        <v/>
      </c>
      <c r="F111" s="14" t="str">
        <f aca="false">IFERROR(VLOOKUP(TRIM('📥 Respostas'!I111),'⚙️ Config'!$A$4:$B$13,2,0),"")</f>
        <v/>
      </c>
      <c r="G111" s="14" t="str">
        <f aca="false">IFERROR(VLOOKUP(TRIM('📥 Respostas'!J111),'⚙️ Config'!$A$4:$B$13,2,0),"")</f>
        <v/>
      </c>
      <c r="H111" s="14" t="str">
        <f aca="false">IFERROR(VLOOKUP(TRIM('📥 Respostas'!K111),'⚙️ Config'!$A$4:$B$13,2,0),"")</f>
        <v/>
      </c>
      <c r="I111" s="14" t="str">
        <f aca="false">IFERROR(VLOOKUP(TRIM('📥 Respostas'!L111),'⚙️ Config'!$A$4:$B$13,2,0),"")</f>
        <v/>
      </c>
      <c r="J111" s="14" t="str">
        <f aca="false">IFERROR(VLOOKUP(TRIM('📥 Respostas'!M111),'⚙️ Config'!$A$4:$B$13,2,0),"")</f>
        <v/>
      </c>
      <c r="K111" s="14" t="str">
        <f aca="false">IFERROR(VLOOKUP(TRIM('📥 Respostas'!N111),'⚙️ Config'!$A$4:$B$13,2,0),"")</f>
        <v/>
      </c>
      <c r="L111" s="14" t="str">
        <f aca="false">IFERROR(VLOOKUP(TRIM('📥 Respostas'!O111),'⚙️ Config'!$A$4:$B$13,2,0),"")</f>
        <v/>
      </c>
      <c r="M111" s="14" t="str">
        <f aca="false">IFERROR(VLOOKUP(TRIM('📥 Respostas'!P111),'⚙️ Config'!$A$4:$B$13,2,0),"")</f>
        <v/>
      </c>
      <c r="N111" s="14" t="str">
        <f aca="false">IFERROR(VLOOKUP(TRIM('📥 Respostas'!Q111),'⚙️ Config'!$A$4:$B$13,2,0),"")</f>
        <v/>
      </c>
      <c r="O111" s="14" t="str">
        <f aca="false">IFERROR(VLOOKUP(TRIM('📥 Respostas'!R111),'⚙️ Config'!$A$4:$B$13,2,0),"")</f>
        <v/>
      </c>
      <c r="P111" s="14" t="str">
        <f aca="false">IFERROR(VLOOKUP(TRIM('📥 Respostas'!S111),'⚙️ Config'!$A$4:$B$13,2,0),"")</f>
        <v/>
      </c>
      <c r="Q111" s="14" t="str">
        <f aca="false">IFERROR(VLOOKUP(TRIM('📥 Respostas'!T111),'⚙️ Config'!$A$4:$B$13,2,0),"")</f>
        <v/>
      </c>
      <c r="R111" s="14" t="str">
        <f aca="false">IFERROR(VLOOKUP(TRIM('📥 Respostas'!U111),'⚙️ Config'!$A$4:$B$13,2,0),"")</f>
        <v/>
      </c>
      <c r="S111" s="14" t="str">
        <f aca="false">IFERROR(VLOOKUP(TRIM('📥 Respostas'!V111),'⚙️ Config'!$A$4:$B$13,2,0),"")</f>
        <v/>
      </c>
      <c r="T111" s="14" t="str">
        <f aca="false">IFERROR(VLOOKUP(TRIM('📥 Respostas'!W111),'⚙️ Config'!$A$4:$B$13,2,0),"")</f>
        <v/>
      </c>
      <c r="U111" s="14" t="str">
        <f aca="false">IFERROR(VLOOKUP(TRIM('📥 Respostas'!X111),'⚙️ Config'!$A$4:$B$13,2,0),"")</f>
        <v/>
      </c>
      <c r="V111" s="14" t="str">
        <f aca="false">IFERROR(VLOOKUP(TRIM('📥 Respostas'!Y111),'⚙️ Config'!$A$4:$B$13,2,0),"")</f>
        <v/>
      </c>
      <c r="W111" s="14" t="str">
        <f aca="false">IFERROR(VLOOKUP(TRIM('📥 Respostas'!Z111),'⚙️ Config'!$A$4:$B$13,2,0),"")</f>
        <v/>
      </c>
      <c r="X111" s="14" t="str">
        <f aca="false">IFERROR(VLOOKUP(TRIM('📥 Respostas'!AA111),'⚙️ Config'!$A$4:$B$13,2,0),"")</f>
        <v/>
      </c>
      <c r="Y111" s="14" t="str">
        <f aca="false">IFERROR(VLOOKUP(TRIM('📥 Respostas'!AB111),'⚙️ Config'!$A$4:$B$13,2,0),"")</f>
        <v/>
      </c>
      <c r="Z111" s="14" t="str">
        <f aca="false">IFERROR(VLOOKUP(TRIM('📥 Respostas'!AC111),'⚙️ Config'!$A$4:$B$13,2,0),"")</f>
        <v/>
      </c>
      <c r="AA111" s="14" t="str">
        <f aca="false">IFERROR(VLOOKUP(TRIM('📥 Respostas'!AD111),'⚙️ Config'!$A$4:$B$13,2,0),"")</f>
        <v/>
      </c>
      <c r="AB111" s="14" t="str">
        <f aca="false">IFERROR(VLOOKUP(TRIM('📥 Respostas'!AE111),'⚙️ Config'!$A$4:$B$13,2,0),"")</f>
        <v/>
      </c>
      <c r="AC111" s="14" t="str">
        <f aca="false">IFERROR(VLOOKUP(TRIM('📥 Respostas'!AF111),'⚙️ Config'!$A$4:$B$13,2,0),"")</f>
        <v/>
      </c>
      <c r="AD111" s="14" t="str">
        <f aca="false">IFERROR(VLOOKUP(TRIM('📥 Respostas'!AG111),'⚙️ Config'!$A$4:$B$13,2,0),"")</f>
        <v/>
      </c>
      <c r="AE111" s="14" t="str">
        <f aca="false">IFERROR(VLOOKUP(TRIM('📥 Respostas'!AH111),'⚙️ Config'!$A$4:$B$13,2,0),"")</f>
        <v/>
      </c>
      <c r="AF111" s="14" t="str">
        <f aca="false">IFERROR(VLOOKUP(TRIM('📥 Respostas'!AI111),'⚙️ Config'!$C$4:$D$11,2,0),"")</f>
        <v/>
      </c>
      <c r="AG111" s="14" t="str">
        <f aca="false">IFERROR(VLOOKUP(TRIM('📥 Respostas'!AJ111),'⚙️ Config'!$A$4:$B$13,2,0),"")</f>
        <v/>
      </c>
      <c r="AH111" s="14" t="str">
        <f aca="false">IFERROR(VLOOKUP(TRIM('📥 Respostas'!AK111),'⚙️ Config'!$A$4:$B$13,2,0),"")</f>
        <v/>
      </c>
      <c r="AI111" s="14" t="str">
        <f aca="false">IFERROR(VLOOKUP(TRIM('📥 Respostas'!AL111),'⚙️ Config'!$A$4:$B$13,2,0),"")</f>
        <v/>
      </c>
      <c r="AJ111" s="14" t="str">
        <f aca="false">IFERROR(VLOOKUP(TRIM('📥 Respostas'!AM111),'⚙️ Config'!$A$4:$B$13,2,0),"")</f>
        <v/>
      </c>
      <c r="AK111" s="14" t="str">
        <f aca="false">IFERROR(VLOOKUP(TRIM('📥 Respostas'!AN111),'⚙️ Config'!$A$4:$B$13,2,0),"")</f>
        <v/>
      </c>
      <c r="AL111" s="14" t="str">
        <f aca="false">IFERROR(VLOOKUP(TRIM('📥 Respostas'!AO111),'⚙️ Config'!$A$4:$B$13,2,0),"")</f>
        <v/>
      </c>
      <c r="AM111" s="14" t="str">
        <f aca="false">IFERROR(VLOOKUP(TRIM('📥 Respostas'!AP111),'⚙️ Config'!$A$4:$B$13,2,0),"")</f>
        <v/>
      </c>
      <c r="AN111" s="14" t="str">
        <f aca="false">IFERROR(VLOOKUP(TRIM('📥 Respostas'!AQ111),'⚙️ Config'!$A$4:$B$13,2,0),"")</f>
        <v/>
      </c>
      <c r="AO111" s="14" t="str">
        <f aca="false">IFERROR(VLOOKUP(TRIM('📥 Respostas'!AR111),'⚙️ Config'!$A$4:$B$13,2,0),"")</f>
        <v/>
      </c>
      <c r="AP111" s="14" t="str">
        <f aca="false">IFERROR(VLOOKUP(TRIM('📥 Respostas'!AS111),'⚙️ Config'!$A$4:$B$13,2,0),"")</f>
        <v/>
      </c>
      <c r="AQ111" s="14" t="str">
        <f aca="false">IFERROR(VLOOKUP(TRIM('📥 Respostas'!AT111),'⚙️ Config'!$A$4:$B$13,2,0),"")</f>
        <v/>
      </c>
      <c r="AR111" s="14" t="str">
        <f aca="false">IFERROR(VLOOKUP(TRIM('📥 Respostas'!AU111),'⚙️ Config'!$A$4:$B$13,2,0),"")</f>
        <v/>
      </c>
    </row>
    <row r="112" customFormat="false" ht="15" hidden="false" customHeight="false" outlineLevel="0" collapsed="false">
      <c r="A112" s="12" t="str">
        <f aca="false">IF(ISBLANK('📥 Respostas'!D112),"",ROW()-3)</f>
        <v/>
      </c>
      <c r="B112" s="12" t="n">
        <f aca="false">'📥 Respostas'!D112</f>
        <v>0</v>
      </c>
      <c r="C112" s="13" t="n">
        <f aca="false">'📥 Respostas'!C112</f>
        <v>0</v>
      </c>
      <c r="D112" s="14" t="str">
        <f aca="false">IFERROR(VLOOKUP(TRIM('📥 Respostas'!G112),'⚙️ Config'!$A$4:$B$13,2,0),"")</f>
        <v/>
      </c>
      <c r="E112" s="14" t="str">
        <f aca="false">IFERROR(VLOOKUP(TRIM('📥 Respostas'!H112),'⚙️ Config'!$A$4:$B$13,2,0),"")</f>
        <v/>
      </c>
      <c r="F112" s="14" t="str">
        <f aca="false">IFERROR(VLOOKUP(TRIM('📥 Respostas'!I112),'⚙️ Config'!$A$4:$B$13,2,0),"")</f>
        <v/>
      </c>
      <c r="G112" s="14" t="str">
        <f aca="false">IFERROR(VLOOKUP(TRIM('📥 Respostas'!J112),'⚙️ Config'!$A$4:$B$13,2,0),"")</f>
        <v/>
      </c>
      <c r="H112" s="14" t="str">
        <f aca="false">IFERROR(VLOOKUP(TRIM('📥 Respostas'!K112),'⚙️ Config'!$A$4:$B$13,2,0),"")</f>
        <v/>
      </c>
      <c r="I112" s="14" t="str">
        <f aca="false">IFERROR(VLOOKUP(TRIM('📥 Respostas'!L112),'⚙️ Config'!$A$4:$B$13,2,0),"")</f>
        <v/>
      </c>
      <c r="J112" s="14" t="str">
        <f aca="false">IFERROR(VLOOKUP(TRIM('📥 Respostas'!M112),'⚙️ Config'!$A$4:$B$13,2,0),"")</f>
        <v/>
      </c>
      <c r="K112" s="14" t="str">
        <f aca="false">IFERROR(VLOOKUP(TRIM('📥 Respostas'!N112),'⚙️ Config'!$A$4:$B$13,2,0),"")</f>
        <v/>
      </c>
      <c r="L112" s="14" t="str">
        <f aca="false">IFERROR(VLOOKUP(TRIM('📥 Respostas'!O112),'⚙️ Config'!$A$4:$B$13,2,0),"")</f>
        <v/>
      </c>
      <c r="M112" s="14" t="str">
        <f aca="false">IFERROR(VLOOKUP(TRIM('📥 Respostas'!P112),'⚙️ Config'!$A$4:$B$13,2,0),"")</f>
        <v/>
      </c>
      <c r="N112" s="14" t="str">
        <f aca="false">IFERROR(VLOOKUP(TRIM('📥 Respostas'!Q112),'⚙️ Config'!$A$4:$B$13,2,0),"")</f>
        <v/>
      </c>
      <c r="O112" s="14" t="str">
        <f aca="false">IFERROR(VLOOKUP(TRIM('📥 Respostas'!R112),'⚙️ Config'!$A$4:$B$13,2,0),"")</f>
        <v/>
      </c>
      <c r="P112" s="14" t="str">
        <f aca="false">IFERROR(VLOOKUP(TRIM('📥 Respostas'!S112),'⚙️ Config'!$A$4:$B$13,2,0),"")</f>
        <v/>
      </c>
      <c r="Q112" s="14" t="str">
        <f aca="false">IFERROR(VLOOKUP(TRIM('📥 Respostas'!T112),'⚙️ Config'!$A$4:$B$13,2,0),"")</f>
        <v/>
      </c>
      <c r="R112" s="14" t="str">
        <f aca="false">IFERROR(VLOOKUP(TRIM('📥 Respostas'!U112),'⚙️ Config'!$A$4:$B$13,2,0),"")</f>
        <v/>
      </c>
      <c r="S112" s="14" t="str">
        <f aca="false">IFERROR(VLOOKUP(TRIM('📥 Respostas'!V112),'⚙️ Config'!$A$4:$B$13,2,0),"")</f>
        <v/>
      </c>
      <c r="T112" s="14" t="str">
        <f aca="false">IFERROR(VLOOKUP(TRIM('📥 Respostas'!W112),'⚙️ Config'!$A$4:$B$13,2,0),"")</f>
        <v/>
      </c>
      <c r="U112" s="14" t="str">
        <f aca="false">IFERROR(VLOOKUP(TRIM('📥 Respostas'!X112),'⚙️ Config'!$A$4:$B$13,2,0),"")</f>
        <v/>
      </c>
      <c r="V112" s="14" t="str">
        <f aca="false">IFERROR(VLOOKUP(TRIM('📥 Respostas'!Y112),'⚙️ Config'!$A$4:$B$13,2,0),"")</f>
        <v/>
      </c>
      <c r="W112" s="14" t="str">
        <f aca="false">IFERROR(VLOOKUP(TRIM('📥 Respostas'!Z112),'⚙️ Config'!$A$4:$B$13,2,0),"")</f>
        <v/>
      </c>
      <c r="X112" s="14" t="str">
        <f aca="false">IFERROR(VLOOKUP(TRIM('📥 Respostas'!AA112),'⚙️ Config'!$A$4:$B$13,2,0),"")</f>
        <v/>
      </c>
      <c r="Y112" s="14" t="str">
        <f aca="false">IFERROR(VLOOKUP(TRIM('📥 Respostas'!AB112),'⚙️ Config'!$A$4:$B$13,2,0),"")</f>
        <v/>
      </c>
      <c r="Z112" s="14" t="str">
        <f aca="false">IFERROR(VLOOKUP(TRIM('📥 Respostas'!AC112),'⚙️ Config'!$A$4:$B$13,2,0),"")</f>
        <v/>
      </c>
      <c r="AA112" s="14" t="str">
        <f aca="false">IFERROR(VLOOKUP(TRIM('📥 Respostas'!AD112),'⚙️ Config'!$A$4:$B$13,2,0),"")</f>
        <v/>
      </c>
      <c r="AB112" s="14" t="str">
        <f aca="false">IFERROR(VLOOKUP(TRIM('📥 Respostas'!AE112),'⚙️ Config'!$A$4:$B$13,2,0),"")</f>
        <v/>
      </c>
      <c r="AC112" s="14" t="str">
        <f aca="false">IFERROR(VLOOKUP(TRIM('📥 Respostas'!AF112),'⚙️ Config'!$A$4:$B$13,2,0),"")</f>
        <v/>
      </c>
      <c r="AD112" s="14" t="str">
        <f aca="false">IFERROR(VLOOKUP(TRIM('📥 Respostas'!AG112),'⚙️ Config'!$A$4:$B$13,2,0),"")</f>
        <v/>
      </c>
      <c r="AE112" s="14" t="str">
        <f aca="false">IFERROR(VLOOKUP(TRIM('📥 Respostas'!AH112),'⚙️ Config'!$A$4:$B$13,2,0),"")</f>
        <v/>
      </c>
      <c r="AF112" s="14" t="str">
        <f aca="false">IFERROR(VLOOKUP(TRIM('📥 Respostas'!AI112),'⚙️ Config'!$C$4:$D$11,2,0),"")</f>
        <v/>
      </c>
      <c r="AG112" s="14" t="str">
        <f aca="false">IFERROR(VLOOKUP(TRIM('📥 Respostas'!AJ112),'⚙️ Config'!$A$4:$B$13,2,0),"")</f>
        <v/>
      </c>
      <c r="AH112" s="14" t="str">
        <f aca="false">IFERROR(VLOOKUP(TRIM('📥 Respostas'!AK112),'⚙️ Config'!$A$4:$B$13,2,0),"")</f>
        <v/>
      </c>
      <c r="AI112" s="14" t="str">
        <f aca="false">IFERROR(VLOOKUP(TRIM('📥 Respostas'!AL112),'⚙️ Config'!$A$4:$B$13,2,0),"")</f>
        <v/>
      </c>
      <c r="AJ112" s="14" t="str">
        <f aca="false">IFERROR(VLOOKUP(TRIM('📥 Respostas'!AM112),'⚙️ Config'!$A$4:$B$13,2,0),"")</f>
        <v/>
      </c>
      <c r="AK112" s="14" t="str">
        <f aca="false">IFERROR(VLOOKUP(TRIM('📥 Respostas'!AN112),'⚙️ Config'!$A$4:$B$13,2,0),"")</f>
        <v/>
      </c>
      <c r="AL112" s="14" t="str">
        <f aca="false">IFERROR(VLOOKUP(TRIM('📥 Respostas'!AO112),'⚙️ Config'!$A$4:$B$13,2,0),"")</f>
        <v/>
      </c>
      <c r="AM112" s="14" t="str">
        <f aca="false">IFERROR(VLOOKUP(TRIM('📥 Respostas'!AP112),'⚙️ Config'!$A$4:$B$13,2,0),"")</f>
        <v/>
      </c>
      <c r="AN112" s="14" t="str">
        <f aca="false">IFERROR(VLOOKUP(TRIM('📥 Respostas'!AQ112),'⚙️ Config'!$A$4:$B$13,2,0),"")</f>
        <v/>
      </c>
      <c r="AO112" s="14" t="str">
        <f aca="false">IFERROR(VLOOKUP(TRIM('📥 Respostas'!AR112),'⚙️ Config'!$A$4:$B$13,2,0),"")</f>
        <v/>
      </c>
      <c r="AP112" s="14" t="str">
        <f aca="false">IFERROR(VLOOKUP(TRIM('📥 Respostas'!AS112),'⚙️ Config'!$A$4:$B$13,2,0),"")</f>
        <v/>
      </c>
      <c r="AQ112" s="14" t="str">
        <f aca="false">IFERROR(VLOOKUP(TRIM('📥 Respostas'!AT112),'⚙️ Config'!$A$4:$B$13,2,0),"")</f>
        <v/>
      </c>
      <c r="AR112" s="14" t="str">
        <f aca="false">IFERROR(VLOOKUP(TRIM('📥 Respostas'!AU112),'⚙️ Config'!$A$4:$B$13,2,0),"")</f>
        <v/>
      </c>
    </row>
    <row r="113" customFormat="false" ht="15" hidden="false" customHeight="false" outlineLevel="0" collapsed="false">
      <c r="A113" s="15" t="str">
        <f aca="false">IF(ISBLANK('📥 Respostas'!D113),"",ROW()-3)</f>
        <v/>
      </c>
      <c r="B113" s="15" t="n">
        <f aca="false">'📥 Respostas'!D113</f>
        <v>0</v>
      </c>
      <c r="C113" s="5" t="n">
        <f aca="false">'📥 Respostas'!C113</f>
        <v>0</v>
      </c>
      <c r="D113" s="14" t="str">
        <f aca="false">IFERROR(VLOOKUP(TRIM('📥 Respostas'!G113),'⚙️ Config'!$A$4:$B$13,2,0),"")</f>
        <v/>
      </c>
      <c r="E113" s="14" t="str">
        <f aca="false">IFERROR(VLOOKUP(TRIM('📥 Respostas'!H113),'⚙️ Config'!$A$4:$B$13,2,0),"")</f>
        <v/>
      </c>
      <c r="F113" s="14" t="str">
        <f aca="false">IFERROR(VLOOKUP(TRIM('📥 Respostas'!I113),'⚙️ Config'!$A$4:$B$13,2,0),"")</f>
        <v/>
      </c>
      <c r="G113" s="14" t="str">
        <f aca="false">IFERROR(VLOOKUP(TRIM('📥 Respostas'!J113),'⚙️ Config'!$A$4:$B$13,2,0),"")</f>
        <v/>
      </c>
      <c r="H113" s="14" t="str">
        <f aca="false">IFERROR(VLOOKUP(TRIM('📥 Respostas'!K113),'⚙️ Config'!$A$4:$B$13,2,0),"")</f>
        <v/>
      </c>
      <c r="I113" s="14" t="str">
        <f aca="false">IFERROR(VLOOKUP(TRIM('📥 Respostas'!L113),'⚙️ Config'!$A$4:$B$13,2,0),"")</f>
        <v/>
      </c>
      <c r="J113" s="14" t="str">
        <f aca="false">IFERROR(VLOOKUP(TRIM('📥 Respostas'!M113),'⚙️ Config'!$A$4:$B$13,2,0),"")</f>
        <v/>
      </c>
      <c r="K113" s="14" t="str">
        <f aca="false">IFERROR(VLOOKUP(TRIM('📥 Respostas'!N113),'⚙️ Config'!$A$4:$B$13,2,0),"")</f>
        <v/>
      </c>
      <c r="L113" s="14" t="str">
        <f aca="false">IFERROR(VLOOKUP(TRIM('📥 Respostas'!O113),'⚙️ Config'!$A$4:$B$13,2,0),"")</f>
        <v/>
      </c>
      <c r="M113" s="14" t="str">
        <f aca="false">IFERROR(VLOOKUP(TRIM('📥 Respostas'!P113),'⚙️ Config'!$A$4:$B$13,2,0),"")</f>
        <v/>
      </c>
      <c r="N113" s="14" t="str">
        <f aca="false">IFERROR(VLOOKUP(TRIM('📥 Respostas'!Q113),'⚙️ Config'!$A$4:$B$13,2,0),"")</f>
        <v/>
      </c>
      <c r="O113" s="14" t="str">
        <f aca="false">IFERROR(VLOOKUP(TRIM('📥 Respostas'!R113),'⚙️ Config'!$A$4:$B$13,2,0),"")</f>
        <v/>
      </c>
      <c r="P113" s="14" t="str">
        <f aca="false">IFERROR(VLOOKUP(TRIM('📥 Respostas'!S113),'⚙️ Config'!$A$4:$B$13,2,0),"")</f>
        <v/>
      </c>
      <c r="Q113" s="14" t="str">
        <f aca="false">IFERROR(VLOOKUP(TRIM('📥 Respostas'!T113),'⚙️ Config'!$A$4:$B$13,2,0),"")</f>
        <v/>
      </c>
      <c r="R113" s="14" t="str">
        <f aca="false">IFERROR(VLOOKUP(TRIM('📥 Respostas'!U113),'⚙️ Config'!$A$4:$B$13,2,0),"")</f>
        <v/>
      </c>
      <c r="S113" s="14" t="str">
        <f aca="false">IFERROR(VLOOKUP(TRIM('📥 Respostas'!V113),'⚙️ Config'!$A$4:$B$13,2,0),"")</f>
        <v/>
      </c>
      <c r="T113" s="14" t="str">
        <f aca="false">IFERROR(VLOOKUP(TRIM('📥 Respostas'!W113),'⚙️ Config'!$A$4:$B$13,2,0),"")</f>
        <v/>
      </c>
      <c r="U113" s="14" t="str">
        <f aca="false">IFERROR(VLOOKUP(TRIM('📥 Respostas'!X113),'⚙️ Config'!$A$4:$B$13,2,0),"")</f>
        <v/>
      </c>
      <c r="V113" s="14" t="str">
        <f aca="false">IFERROR(VLOOKUP(TRIM('📥 Respostas'!Y113),'⚙️ Config'!$A$4:$B$13,2,0),"")</f>
        <v/>
      </c>
      <c r="W113" s="14" t="str">
        <f aca="false">IFERROR(VLOOKUP(TRIM('📥 Respostas'!Z113),'⚙️ Config'!$A$4:$B$13,2,0),"")</f>
        <v/>
      </c>
      <c r="X113" s="14" t="str">
        <f aca="false">IFERROR(VLOOKUP(TRIM('📥 Respostas'!AA113),'⚙️ Config'!$A$4:$B$13,2,0),"")</f>
        <v/>
      </c>
      <c r="Y113" s="14" t="str">
        <f aca="false">IFERROR(VLOOKUP(TRIM('📥 Respostas'!AB113),'⚙️ Config'!$A$4:$B$13,2,0),"")</f>
        <v/>
      </c>
      <c r="Z113" s="14" t="str">
        <f aca="false">IFERROR(VLOOKUP(TRIM('📥 Respostas'!AC113),'⚙️ Config'!$A$4:$B$13,2,0),"")</f>
        <v/>
      </c>
      <c r="AA113" s="14" t="str">
        <f aca="false">IFERROR(VLOOKUP(TRIM('📥 Respostas'!AD113),'⚙️ Config'!$A$4:$B$13,2,0),"")</f>
        <v/>
      </c>
      <c r="AB113" s="14" t="str">
        <f aca="false">IFERROR(VLOOKUP(TRIM('📥 Respostas'!AE113),'⚙️ Config'!$A$4:$B$13,2,0),"")</f>
        <v/>
      </c>
      <c r="AC113" s="14" t="str">
        <f aca="false">IFERROR(VLOOKUP(TRIM('📥 Respostas'!AF113),'⚙️ Config'!$A$4:$B$13,2,0),"")</f>
        <v/>
      </c>
      <c r="AD113" s="14" t="str">
        <f aca="false">IFERROR(VLOOKUP(TRIM('📥 Respostas'!AG113),'⚙️ Config'!$A$4:$B$13,2,0),"")</f>
        <v/>
      </c>
      <c r="AE113" s="14" t="str">
        <f aca="false">IFERROR(VLOOKUP(TRIM('📥 Respostas'!AH113),'⚙️ Config'!$A$4:$B$13,2,0),"")</f>
        <v/>
      </c>
      <c r="AF113" s="14" t="str">
        <f aca="false">IFERROR(VLOOKUP(TRIM('📥 Respostas'!AI113),'⚙️ Config'!$C$4:$D$11,2,0),"")</f>
        <v/>
      </c>
      <c r="AG113" s="14" t="str">
        <f aca="false">IFERROR(VLOOKUP(TRIM('📥 Respostas'!AJ113),'⚙️ Config'!$A$4:$B$13,2,0),"")</f>
        <v/>
      </c>
      <c r="AH113" s="14" t="str">
        <f aca="false">IFERROR(VLOOKUP(TRIM('📥 Respostas'!AK113),'⚙️ Config'!$A$4:$B$13,2,0),"")</f>
        <v/>
      </c>
      <c r="AI113" s="14" t="str">
        <f aca="false">IFERROR(VLOOKUP(TRIM('📥 Respostas'!AL113),'⚙️ Config'!$A$4:$B$13,2,0),"")</f>
        <v/>
      </c>
      <c r="AJ113" s="14" t="str">
        <f aca="false">IFERROR(VLOOKUP(TRIM('📥 Respostas'!AM113),'⚙️ Config'!$A$4:$B$13,2,0),"")</f>
        <v/>
      </c>
      <c r="AK113" s="14" t="str">
        <f aca="false">IFERROR(VLOOKUP(TRIM('📥 Respostas'!AN113),'⚙️ Config'!$A$4:$B$13,2,0),"")</f>
        <v/>
      </c>
      <c r="AL113" s="14" t="str">
        <f aca="false">IFERROR(VLOOKUP(TRIM('📥 Respostas'!AO113),'⚙️ Config'!$A$4:$B$13,2,0),"")</f>
        <v/>
      </c>
      <c r="AM113" s="14" t="str">
        <f aca="false">IFERROR(VLOOKUP(TRIM('📥 Respostas'!AP113),'⚙️ Config'!$A$4:$B$13,2,0),"")</f>
        <v/>
      </c>
      <c r="AN113" s="14" t="str">
        <f aca="false">IFERROR(VLOOKUP(TRIM('📥 Respostas'!AQ113),'⚙️ Config'!$A$4:$B$13,2,0),"")</f>
        <v/>
      </c>
      <c r="AO113" s="14" t="str">
        <f aca="false">IFERROR(VLOOKUP(TRIM('📥 Respostas'!AR113),'⚙️ Config'!$A$4:$B$13,2,0),"")</f>
        <v/>
      </c>
      <c r="AP113" s="14" t="str">
        <f aca="false">IFERROR(VLOOKUP(TRIM('📥 Respostas'!AS113),'⚙️ Config'!$A$4:$B$13,2,0),"")</f>
        <v/>
      </c>
      <c r="AQ113" s="14" t="str">
        <f aca="false">IFERROR(VLOOKUP(TRIM('📥 Respostas'!AT113),'⚙️ Config'!$A$4:$B$13,2,0),"")</f>
        <v/>
      </c>
      <c r="AR113" s="14" t="str">
        <f aca="false">IFERROR(VLOOKUP(TRIM('📥 Respostas'!AU113),'⚙️ Config'!$A$4:$B$13,2,0),"")</f>
        <v/>
      </c>
    </row>
    <row r="114" customFormat="false" ht="15" hidden="false" customHeight="false" outlineLevel="0" collapsed="false">
      <c r="A114" s="12" t="str">
        <f aca="false">IF(ISBLANK('📥 Respostas'!D114),"",ROW()-3)</f>
        <v/>
      </c>
      <c r="B114" s="12" t="n">
        <f aca="false">'📥 Respostas'!D114</f>
        <v>0</v>
      </c>
      <c r="C114" s="13" t="n">
        <f aca="false">'📥 Respostas'!C114</f>
        <v>0</v>
      </c>
      <c r="D114" s="14" t="str">
        <f aca="false">IFERROR(VLOOKUP(TRIM('📥 Respostas'!G114),'⚙️ Config'!$A$4:$B$13,2,0),"")</f>
        <v/>
      </c>
      <c r="E114" s="14" t="str">
        <f aca="false">IFERROR(VLOOKUP(TRIM('📥 Respostas'!H114),'⚙️ Config'!$A$4:$B$13,2,0),"")</f>
        <v/>
      </c>
      <c r="F114" s="14" t="str">
        <f aca="false">IFERROR(VLOOKUP(TRIM('📥 Respostas'!I114),'⚙️ Config'!$A$4:$B$13,2,0),"")</f>
        <v/>
      </c>
      <c r="G114" s="14" t="str">
        <f aca="false">IFERROR(VLOOKUP(TRIM('📥 Respostas'!J114),'⚙️ Config'!$A$4:$B$13,2,0),"")</f>
        <v/>
      </c>
      <c r="H114" s="14" t="str">
        <f aca="false">IFERROR(VLOOKUP(TRIM('📥 Respostas'!K114),'⚙️ Config'!$A$4:$B$13,2,0),"")</f>
        <v/>
      </c>
      <c r="I114" s="14" t="str">
        <f aca="false">IFERROR(VLOOKUP(TRIM('📥 Respostas'!L114),'⚙️ Config'!$A$4:$B$13,2,0),"")</f>
        <v/>
      </c>
      <c r="J114" s="14" t="str">
        <f aca="false">IFERROR(VLOOKUP(TRIM('📥 Respostas'!M114),'⚙️ Config'!$A$4:$B$13,2,0),"")</f>
        <v/>
      </c>
      <c r="K114" s="14" t="str">
        <f aca="false">IFERROR(VLOOKUP(TRIM('📥 Respostas'!N114),'⚙️ Config'!$A$4:$B$13,2,0),"")</f>
        <v/>
      </c>
      <c r="L114" s="14" t="str">
        <f aca="false">IFERROR(VLOOKUP(TRIM('📥 Respostas'!O114),'⚙️ Config'!$A$4:$B$13,2,0),"")</f>
        <v/>
      </c>
      <c r="M114" s="14" t="str">
        <f aca="false">IFERROR(VLOOKUP(TRIM('📥 Respostas'!P114),'⚙️ Config'!$A$4:$B$13,2,0),"")</f>
        <v/>
      </c>
      <c r="N114" s="14" t="str">
        <f aca="false">IFERROR(VLOOKUP(TRIM('📥 Respostas'!Q114),'⚙️ Config'!$A$4:$B$13,2,0),"")</f>
        <v/>
      </c>
      <c r="O114" s="14" t="str">
        <f aca="false">IFERROR(VLOOKUP(TRIM('📥 Respostas'!R114),'⚙️ Config'!$A$4:$B$13,2,0),"")</f>
        <v/>
      </c>
      <c r="P114" s="14" t="str">
        <f aca="false">IFERROR(VLOOKUP(TRIM('📥 Respostas'!S114),'⚙️ Config'!$A$4:$B$13,2,0),"")</f>
        <v/>
      </c>
      <c r="Q114" s="14" t="str">
        <f aca="false">IFERROR(VLOOKUP(TRIM('📥 Respostas'!T114),'⚙️ Config'!$A$4:$B$13,2,0),"")</f>
        <v/>
      </c>
      <c r="R114" s="14" t="str">
        <f aca="false">IFERROR(VLOOKUP(TRIM('📥 Respostas'!U114),'⚙️ Config'!$A$4:$B$13,2,0),"")</f>
        <v/>
      </c>
      <c r="S114" s="14" t="str">
        <f aca="false">IFERROR(VLOOKUP(TRIM('📥 Respostas'!V114),'⚙️ Config'!$A$4:$B$13,2,0),"")</f>
        <v/>
      </c>
      <c r="T114" s="14" t="str">
        <f aca="false">IFERROR(VLOOKUP(TRIM('📥 Respostas'!W114),'⚙️ Config'!$A$4:$B$13,2,0),"")</f>
        <v/>
      </c>
      <c r="U114" s="14" t="str">
        <f aca="false">IFERROR(VLOOKUP(TRIM('📥 Respostas'!X114),'⚙️ Config'!$A$4:$B$13,2,0),"")</f>
        <v/>
      </c>
      <c r="V114" s="14" t="str">
        <f aca="false">IFERROR(VLOOKUP(TRIM('📥 Respostas'!Y114),'⚙️ Config'!$A$4:$B$13,2,0),"")</f>
        <v/>
      </c>
      <c r="W114" s="14" t="str">
        <f aca="false">IFERROR(VLOOKUP(TRIM('📥 Respostas'!Z114),'⚙️ Config'!$A$4:$B$13,2,0),"")</f>
        <v/>
      </c>
      <c r="X114" s="14" t="str">
        <f aca="false">IFERROR(VLOOKUP(TRIM('📥 Respostas'!AA114),'⚙️ Config'!$A$4:$B$13,2,0),"")</f>
        <v/>
      </c>
      <c r="Y114" s="14" t="str">
        <f aca="false">IFERROR(VLOOKUP(TRIM('📥 Respostas'!AB114),'⚙️ Config'!$A$4:$B$13,2,0),"")</f>
        <v/>
      </c>
      <c r="Z114" s="14" t="str">
        <f aca="false">IFERROR(VLOOKUP(TRIM('📥 Respostas'!AC114),'⚙️ Config'!$A$4:$B$13,2,0),"")</f>
        <v/>
      </c>
      <c r="AA114" s="14" t="str">
        <f aca="false">IFERROR(VLOOKUP(TRIM('📥 Respostas'!AD114),'⚙️ Config'!$A$4:$B$13,2,0),"")</f>
        <v/>
      </c>
      <c r="AB114" s="14" t="str">
        <f aca="false">IFERROR(VLOOKUP(TRIM('📥 Respostas'!AE114),'⚙️ Config'!$A$4:$B$13,2,0),"")</f>
        <v/>
      </c>
      <c r="AC114" s="14" t="str">
        <f aca="false">IFERROR(VLOOKUP(TRIM('📥 Respostas'!AF114),'⚙️ Config'!$A$4:$B$13,2,0),"")</f>
        <v/>
      </c>
      <c r="AD114" s="14" t="str">
        <f aca="false">IFERROR(VLOOKUP(TRIM('📥 Respostas'!AG114),'⚙️ Config'!$A$4:$B$13,2,0),"")</f>
        <v/>
      </c>
      <c r="AE114" s="14" t="str">
        <f aca="false">IFERROR(VLOOKUP(TRIM('📥 Respostas'!AH114),'⚙️ Config'!$A$4:$B$13,2,0),"")</f>
        <v/>
      </c>
      <c r="AF114" s="14" t="str">
        <f aca="false">IFERROR(VLOOKUP(TRIM('📥 Respostas'!AI114),'⚙️ Config'!$C$4:$D$11,2,0),"")</f>
        <v/>
      </c>
      <c r="AG114" s="14" t="str">
        <f aca="false">IFERROR(VLOOKUP(TRIM('📥 Respostas'!AJ114),'⚙️ Config'!$A$4:$B$13,2,0),"")</f>
        <v/>
      </c>
      <c r="AH114" s="14" t="str">
        <f aca="false">IFERROR(VLOOKUP(TRIM('📥 Respostas'!AK114),'⚙️ Config'!$A$4:$B$13,2,0),"")</f>
        <v/>
      </c>
      <c r="AI114" s="14" t="str">
        <f aca="false">IFERROR(VLOOKUP(TRIM('📥 Respostas'!AL114),'⚙️ Config'!$A$4:$B$13,2,0),"")</f>
        <v/>
      </c>
      <c r="AJ114" s="14" t="str">
        <f aca="false">IFERROR(VLOOKUP(TRIM('📥 Respostas'!AM114),'⚙️ Config'!$A$4:$B$13,2,0),"")</f>
        <v/>
      </c>
      <c r="AK114" s="14" t="str">
        <f aca="false">IFERROR(VLOOKUP(TRIM('📥 Respostas'!AN114),'⚙️ Config'!$A$4:$B$13,2,0),"")</f>
        <v/>
      </c>
      <c r="AL114" s="14" t="str">
        <f aca="false">IFERROR(VLOOKUP(TRIM('📥 Respostas'!AO114),'⚙️ Config'!$A$4:$B$13,2,0),"")</f>
        <v/>
      </c>
      <c r="AM114" s="14" t="str">
        <f aca="false">IFERROR(VLOOKUP(TRIM('📥 Respostas'!AP114),'⚙️ Config'!$A$4:$B$13,2,0),"")</f>
        <v/>
      </c>
      <c r="AN114" s="14" t="str">
        <f aca="false">IFERROR(VLOOKUP(TRIM('📥 Respostas'!AQ114),'⚙️ Config'!$A$4:$B$13,2,0),"")</f>
        <v/>
      </c>
      <c r="AO114" s="14" t="str">
        <f aca="false">IFERROR(VLOOKUP(TRIM('📥 Respostas'!AR114),'⚙️ Config'!$A$4:$B$13,2,0),"")</f>
        <v/>
      </c>
      <c r="AP114" s="14" t="str">
        <f aca="false">IFERROR(VLOOKUP(TRIM('📥 Respostas'!AS114),'⚙️ Config'!$A$4:$B$13,2,0),"")</f>
        <v/>
      </c>
      <c r="AQ114" s="14" t="str">
        <f aca="false">IFERROR(VLOOKUP(TRIM('📥 Respostas'!AT114),'⚙️ Config'!$A$4:$B$13,2,0),"")</f>
        <v/>
      </c>
      <c r="AR114" s="14" t="str">
        <f aca="false">IFERROR(VLOOKUP(TRIM('📥 Respostas'!AU114),'⚙️ Config'!$A$4:$B$13,2,0),"")</f>
        <v/>
      </c>
    </row>
    <row r="115" customFormat="false" ht="15" hidden="false" customHeight="false" outlineLevel="0" collapsed="false">
      <c r="A115" s="15" t="str">
        <f aca="false">IF(ISBLANK('📥 Respostas'!D115),"",ROW()-3)</f>
        <v/>
      </c>
      <c r="B115" s="15" t="n">
        <f aca="false">'📥 Respostas'!D115</f>
        <v>0</v>
      </c>
      <c r="C115" s="5" t="n">
        <f aca="false">'📥 Respostas'!C115</f>
        <v>0</v>
      </c>
      <c r="D115" s="14" t="str">
        <f aca="false">IFERROR(VLOOKUP(TRIM('📥 Respostas'!G115),'⚙️ Config'!$A$4:$B$13,2,0),"")</f>
        <v/>
      </c>
      <c r="E115" s="14" t="str">
        <f aca="false">IFERROR(VLOOKUP(TRIM('📥 Respostas'!H115),'⚙️ Config'!$A$4:$B$13,2,0),"")</f>
        <v/>
      </c>
      <c r="F115" s="14" t="str">
        <f aca="false">IFERROR(VLOOKUP(TRIM('📥 Respostas'!I115),'⚙️ Config'!$A$4:$B$13,2,0),"")</f>
        <v/>
      </c>
      <c r="G115" s="14" t="str">
        <f aca="false">IFERROR(VLOOKUP(TRIM('📥 Respostas'!J115),'⚙️ Config'!$A$4:$B$13,2,0),"")</f>
        <v/>
      </c>
      <c r="H115" s="14" t="str">
        <f aca="false">IFERROR(VLOOKUP(TRIM('📥 Respostas'!K115),'⚙️ Config'!$A$4:$B$13,2,0),"")</f>
        <v/>
      </c>
      <c r="I115" s="14" t="str">
        <f aca="false">IFERROR(VLOOKUP(TRIM('📥 Respostas'!L115),'⚙️ Config'!$A$4:$B$13,2,0),"")</f>
        <v/>
      </c>
      <c r="J115" s="14" t="str">
        <f aca="false">IFERROR(VLOOKUP(TRIM('📥 Respostas'!M115),'⚙️ Config'!$A$4:$B$13,2,0),"")</f>
        <v/>
      </c>
      <c r="K115" s="14" t="str">
        <f aca="false">IFERROR(VLOOKUP(TRIM('📥 Respostas'!N115),'⚙️ Config'!$A$4:$B$13,2,0),"")</f>
        <v/>
      </c>
      <c r="L115" s="14" t="str">
        <f aca="false">IFERROR(VLOOKUP(TRIM('📥 Respostas'!O115),'⚙️ Config'!$A$4:$B$13,2,0),"")</f>
        <v/>
      </c>
      <c r="M115" s="14" t="str">
        <f aca="false">IFERROR(VLOOKUP(TRIM('📥 Respostas'!P115),'⚙️ Config'!$A$4:$B$13,2,0),"")</f>
        <v/>
      </c>
      <c r="N115" s="14" t="str">
        <f aca="false">IFERROR(VLOOKUP(TRIM('📥 Respostas'!Q115),'⚙️ Config'!$A$4:$B$13,2,0),"")</f>
        <v/>
      </c>
      <c r="O115" s="14" t="str">
        <f aca="false">IFERROR(VLOOKUP(TRIM('📥 Respostas'!R115),'⚙️ Config'!$A$4:$B$13,2,0),"")</f>
        <v/>
      </c>
      <c r="P115" s="14" t="str">
        <f aca="false">IFERROR(VLOOKUP(TRIM('📥 Respostas'!S115),'⚙️ Config'!$A$4:$B$13,2,0),"")</f>
        <v/>
      </c>
      <c r="Q115" s="14" t="str">
        <f aca="false">IFERROR(VLOOKUP(TRIM('📥 Respostas'!T115),'⚙️ Config'!$A$4:$B$13,2,0),"")</f>
        <v/>
      </c>
      <c r="R115" s="14" t="str">
        <f aca="false">IFERROR(VLOOKUP(TRIM('📥 Respostas'!U115),'⚙️ Config'!$A$4:$B$13,2,0),"")</f>
        <v/>
      </c>
      <c r="S115" s="14" t="str">
        <f aca="false">IFERROR(VLOOKUP(TRIM('📥 Respostas'!V115),'⚙️ Config'!$A$4:$B$13,2,0),"")</f>
        <v/>
      </c>
      <c r="T115" s="14" t="str">
        <f aca="false">IFERROR(VLOOKUP(TRIM('📥 Respostas'!W115),'⚙️ Config'!$A$4:$B$13,2,0),"")</f>
        <v/>
      </c>
      <c r="U115" s="14" t="str">
        <f aca="false">IFERROR(VLOOKUP(TRIM('📥 Respostas'!X115),'⚙️ Config'!$A$4:$B$13,2,0),"")</f>
        <v/>
      </c>
      <c r="V115" s="14" t="str">
        <f aca="false">IFERROR(VLOOKUP(TRIM('📥 Respostas'!Y115),'⚙️ Config'!$A$4:$B$13,2,0),"")</f>
        <v/>
      </c>
      <c r="W115" s="14" t="str">
        <f aca="false">IFERROR(VLOOKUP(TRIM('📥 Respostas'!Z115),'⚙️ Config'!$A$4:$B$13,2,0),"")</f>
        <v/>
      </c>
      <c r="X115" s="14" t="str">
        <f aca="false">IFERROR(VLOOKUP(TRIM('📥 Respostas'!AA115),'⚙️ Config'!$A$4:$B$13,2,0),"")</f>
        <v/>
      </c>
      <c r="Y115" s="14" t="str">
        <f aca="false">IFERROR(VLOOKUP(TRIM('📥 Respostas'!AB115),'⚙️ Config'!$A$4:$B$13,2,0),"")</f>
        <v/>
      </c>
      <c r="Z115" s="14" t="str">
        <f aca="false">IFERROR(VLOOKUP(TRIM('📥 Respostas'!AC115),'⚙️ Config'!$A$4:$B$13,2,0),"")</f>
        <v/>
      </c>
      <c r="AA115" s="14" t="str">
        <f aca="false">IFERROR(VLOOKUP(TRIM('📥 Respostas'!AD115),'⚙️ Config'!$A$4:$B$13,2,0),"")</f>
        <v/>
      </c>
      <c r="AB115" s="14" t="str">
        <f aca="false">IFERROR(VLOOKUP(TRIM('📥 Respostas'!AE115),'⚙️ Config'!$A$4:$B$13,2,0),"")</f>
        <v/>
      </c>
      <c r="AC115" s="14" t="str">
        <f aca="false">IFERROR(VLOOKUP(TRIM('📥 Respostas'!AF115),'⚙️ Config'!$A$4:$B$13,2,0),"")</f>
        <v/>
      </c>
      <c r="AD115" s="14" t="str">
        <f aca="false">IFERROR(VLOOKUP(TRIM('📥 Respostas'!AG115),'⚙️ Config'!$A$4:$B$13,2,0),"")</f>
        <v/>
      </c>
      <c r="AE115" s="14" t="str">
        <f aca="false">IFERROR(VLOOKUP(TRIM('📥 Respostas'!AH115),'⚙️ Config'!$A$4:$B$13,2,0),"")</f>
        <v/>
      </c>
      <c r="AF115" s="14" t="str">
        <f aca="false">IFERROR(VLOOKUP(TRIM('📥 Respostas'!AI115),'⚙️ Config'!$C$4:$D$11,2,0),"")</f>
        <v/>
      </c>
      <c r="AG115" s="14" t="str">
        <f aca="false">IFERROR(VLOOKUP(TRIM('📥 Respostas'!AJ115),'⚙️ Config'!$A$4:$B$13,2,0),"")</f>
        <v/>
      </c>
      <c r="AH115" s="14" t="str">
        <f aca="false">IFERROR(VLOOKUP(TRIM('📥 Respostas'!AK115),'⚙️ Config'!$A$4:$B$13,2,0),"")</f>
        <v/>
      </c>
      <c r="AI115" s="14" t="str">
        <f aca="false">IFERROR(VLOOKUP(TRIM('📥 Respostas'!AL115),'⚙️ Config'!$A$4:$B$13,2,0),"")</f>
        <v/>
      </c>
      <c r="AJ115" s="14" t="str">
        <f aca="false">IFERROR(VLOOKUP(TRIM('📥 Respostas'!AM115),'⚙️ Config'!$A$4:$B$13,2,0),"")</f>
        <v/>
      </c>
      <c r="AK115" s="14" t="str">
        <f aca="false">IFERROR(VLOOKUP(TRIM('📥 Respostas'!AN115),'⚙️ Config'!$A$4:$B$13,2,0),"")</f>
        <v/>
      </c>
      <c r="AL115" s="14" t="str">
        <f aca="false">IFERROR(VLOOKUP(TRIM('📥 Respostas'!AO115),'⚙️ Config'!$A$4:$B$13,2,0),"")</f>
        <v/>
      </c>
      <c r="AM115" s="14" t="str">
        <f aca="false">IFERROR(VLOOKUP(TRIM('📥 Respostas'!AP115),'⚙️ Config'!$A$4:$B$13,2,0),"")</f>
        <v/>
      </c>
      <c r="AN115" s="14" t="str">
        <f aca="false">IFERROR(VLOOKUP(TRIM('📥 Respostas'!AQ115),'⚙️ Config'!$A$4:$B$13,2,0),"")</f>
        <v/>
      </c>
      <c r="AO115" s="14" t="str">
        <f aca="false">IFERROR(VLOOKUP(TRIM('📥 Respostas'!AR115),'⚙️ Config'!$A$4:$B$13,2,0),"")</f>
        <v/>
      </c>
      <c r="AP115" s="14" t="str">
        <f aca="false">IFERROR(VLOOKUP(TRIM('📥 Respostas'!AS115),'⚙️ Config'!$A$4:$B$13,2,0),"")</f>
        <v/>
      </c>
      <c r="AQ115" s="14" t="str">
        <f aca="false">IFERROR(VLOOKUP(TRIM('📥 Respostas'!AT115),'⚙️ Config'!$A$4:$B$13,2,0),"")</f>
        <v/>
      </c>
      <c r="AR115" s="14" t="str">
        <f aca="false">IFERROR(VLOOKUP(TRIM('📥 Respostas'!AU115),'⚙️ Config'!$A$4:$B$13,2,0),"")</f>
        <v/>
      </c>
    </row>
    <row r="116" customFormat="false" ht="15" hidden="false" customHeight="false" outlineLevel="0" collapsed="false">
      <c r="A116" s="12" t="str">
        <f aca="false">IF(ISBLANK('📥 Respostas'!D116),"",ROW()-3)</f>
        <v/>
      </c>
      <c r="B116" s="12" t="n">
        <f aca="false">'📥 Respostas'!D116</f>
        <v>0</v>
      </c>
      <c r="C116" s="13" t="n">
        <f aca="false">'📥 Respostas'!C116</f>
        <v>0</v>
      </c>
      <c r="D116" s="14" t="str">
        <f aca="false">IFERROR(VLOOKUP(TRIM('📥 Respostas'!G116),'⚙️ Config'!$A$4:$B$13,2,0),"")</f>
        <v/>
      </c>
      <c r="E116" s="14" t="str">
        <f aca="false">IFERROR(VLOOKUP(TRIM('📥 Respostas'!H116),'⚙️ Config'!$A$4:$B$13,2,0),"")</f>
        <v/>
      </c>
      <c r="F116" s="14" t="str">
        <f aca="false">IFERROR(VLOOKUP(TRIM('📥 Respostas'!I116),'⚙️ Config'!$A$4:$B$13,2,0),"")</f>
        <v/>
      </c>
      <c r="G116" s="14" t="str">
        <f aca="false">IFERROR(VLOOKUP(TRIM('📥 Respostas'!J116),'⚙️ Config'!$A$4:$B$13,2,0),"")</f>
        <v/>
      </c>
      <c r="H116" s="14" t="str">
        <f aca="false">IFERROR(VLOOKUP(TRIM('📥 Respostas'!K116),'⚙️ Config'!$A$4:$B$13,2,0),"")</f>
        <v/>
      </c>
      <c r="I116" s="14" t="str">
        <f aca="false">IFERROR(VLOOKUP(TRIM('📥 Respostas'!L116),'⚙️ Config'!$A$4:$B$13,2,0),"")</f>
        <v/>
      </c>
      <c r="J116" s="14" t="str">
        <f aca="false">IFERROR(VLOOKUP(TRIM('📥 Respostas'!M116),'⚙️ Config'!$A$4:$B$13,2,0),"")</f>
        <v/>
      </c>
      <c r="K116" s="14" t="str">
        <f aca="false">IFERROR(VLOOKUP(TRIM('📥 Respostas'!N116),'⚙️ Config'!$A$4:$B$13,2,0),"")</f>
        <v/>
      </c>
      <c r="L116" s="14" t="str">
        <f aca="false">IFERROR(VLOOKUP(TRIM('📥 Respostas'!O116),'⚙️ Config'!$A$4:$B$13,2,0),"")</f>
        <v/>
      </c>
      <c r="M116" s="14" t="str">
        <f aca="false">IFERROR(VLOOKUP(TRIM('📥 Respostas'!P116),'⚙️ Config'!$A$4:$B$13,2,0),"")</f>
        <v/>
      </c>
      <c r="N116" s="14" t="str">
        <f aca="false">IFERROR(VLOOKUP(TRIM('📥 Respostas'!Q116),'⚙️ Config'!$A$4:$B$13,2,0),"")</f>
        <v/>
      </c>
      <c r="O116" s="14" t="str">
        <f aca="false">IFERROR(VLOOKUP(TRIM('📥 Respostas'!R116),'⚙️ Config'!$A$4:$B$13,2,0),"")</f>
        <v/>
      </c>
      <c r="P116" s="14" t="str">
        <f aca="false">IFERROR(VLOOKUP(TRIM('📥 Respostas'!S116),'⚙️ Config'!$A$4:$B$13,2,0),"")</f>
        <v/>
      </c>
      <c r="Q116" s="14" t="str">
        <f aca="false">IFERROR(VLOOKUP(TRIM('📥 Respostas'!T116),'⚙️ Config'!$A$4:$B$13,2,0),"")</f>
        <v/>
      </c>
      <c r="R116" s="14" t="str">
        <f aca="false">IFERROR(VLOOKUP(TRIM('📥 Respostas'!U116),'⚙️ Config'!$A$4:$B$13,2,0),"")</f>
        <v/>
      </c>
      <c r="S116" s="14" t="str">
        <f aca="false">IFERROR(VLOOKUP(TRIM('📥 Respostas'!V116),'⚙️ Config'!$A$4:$B$13,2,0),"")</f>
        <v/>
      </c>
      <c r="T116" s="14" t="str">
        <f aca="false">IFERROR(VLOOKUP(TRIM('📥 Respostas'!W116),'⚙️ Config'!$A$4:$B$13,2,0),"")</f>
        <v/>
      </c>
      <c r="U116" s="14" t="str">
        <f aca="false">IFERROR(VLOOKUP(TRIM('📥 Respostas'!X116),'⚙️ Config'!$A$4:$B$13,2,0),"")</f>
        <v/>
      </c>
      <c r="V116" s="14" t="str">
        <f aca="false">IFERROR(VLOOKUP(TRIM('📥 Respostas'!Y116),'⚙️ Config'!$A$4:$B$13,2,0),"")</f>
        <v/>
      </c>
      <c r="W116" s="14" t="str">
        <f aca="false">IFERROR(VLOOKUP(TRIM('📥 Respostas'!Z116),'⚙️ Config'!$A$4:$B$13,2,0),"")</f>
        <v/>
      </c>
      <c r="X116" s="14" t="str">
        <f aca="false">IFERROR(VLOOKUP(TRIM('📥 Respostas'!AA116),'⚙️ Config'!$A$4:$B$13,2,0),"")</f>
        <v/>
      </c>
      <c r="Y116" s="14" t="str">
        <f aca="false">IFERROR(VLOOKUP(TRIM('📥 Respostas'!AB116),'⚙️ Config'!$A$4:$B$13,2,0),"")</f>
        <v/>
      </c>
      <c r="Z116" s="14" t="str">
        <f aca="false">IFERROR(VLOOKUP(TRIM('📥 Respostas'!AC116),'⚙️ Config'!$A$4:$B$13,2,0),"")</f>
        <v/>
      </c>
      <c r="AA116" s="14" t="str">
        <f aca="false">IFERROR(VLOOKUP(TRIM('📥 Respostas'!AD116),'⚙️ Config'!$A$4:$B$13,2,0),"")</f>
        <v/>
      </c>
      <c r="AB116" s="14" t="str">
        <f aca="false">IFERROR(VLOOKUP(TRIM('📥 Respostas'!AE116),'⚙️ Config'!$A$4:$B$13,2,0),"")</f>
        <v/>
      </c>
      <c r="AC116" s="14" t="str">
        <f aca="false">IFERROR(VLOOKUP(TRIM('📥 Respostas'!AF116),'⚙️ Config'!$A$4:$B$13,2,0),"")</f>
        <v/>
      </c>
      <c r="AD116" s="14" t="str">
        <f aca="false">IFERROR(VLOOKUP(TRIM('📥 Respostas'!AG116),'⚙️ Config'!$A$4:$B$13,2,0),"")</f>
        <v/>
      </c>
      <c r="AE116" s="14" t="str">
        <f aca="false">IFERROR(VLOOKUP(TRIM('📥 Respostas'!AH116),'⚙️ Config'!$A$4:$B$13,2,0),"")</f>
        <v/>
      </c>
      <c r="AF116" s="14" t="str">
        <f aca="false">IFERROR(VLOOKUP(TRIM('📥 Respostas'!AI116),'⚙️ Config'!$C$4:$D$11,2,0),"")</f>
        <v/>
      </c>
      <c r="AG116" s="14" t="str">
        <f aca="false">IFERROR(VLOOKUP(TRIM('📥 Respostas'!AJ116),'⚙️ Config'!$A$4:$B$13,2,0),"")</f>
        <v/>
      </c>
      <c r="AH116" s="14" t="str">
        <f aca="false">IFERROR(VLOOKUP(TRIM('📥 Respostas'!AK116),'⚙️ Config'!$A$4:$B$13,2,0),"")</f>
        <v/>
      </c>
      <c r="AI116" s="14" t="str">
        <f aca="false">IFERROR(VLOOKUP(TRIM('📥 Respostas'!AL116),'⚙️ Config'!$A$4:$B$13,2,0),"")</f>
        <v/>
      </c>
      <c r="AJ116" s="14" t="str">
        <f aca="false">IFERROR(VLOOKUP(TRIM('📥 Respostas'!AM116),'⚙️ Config'!$A$4:$B$13,2,0),"")</f>
        <v/>
      </c>
      <c r="AK116" s="14" t="str">
        <f aca="false">IFERROR(VLOOKUP(TRIM('📥 Respostas'!AN116),'⚙️ Config'!$A$4:$B$13,2,0),"")</f>
        <v/>
      </c>
      <c r="AL116" s="14" t="str">
        <f aca="false">IFERROR(VLOOKUP(TRIM('📥 Respostas'!AO116),'⚙️ Config'!$A$4:$B$13,2,0),"")</f>
        <v/>
      </c>
      <c r="AM116" s="14" t="str">
        <f aca="false">IFERROR(VLOOKUP(TRIM('📥 Respostas'!AP116),'⚙️ Config'!$A$4:$B$13,2,0),"")</f>
        <v/>
      </c>
      <c r="AN116" s="14" t="str">
        <f aca="false">IFERROR(VLOOKUP(TRIM('📥 Respostas'!AQ116),'⚙️ Config'!$A$4:$B$13,2,0),"")</f>
        <v/>
      </c>
      <c r="AO116" s="14" t="str">
        <f aca="false">IFERROR(VLOOKUP(TRIM('📥 Respostas'!AR116),'⚙️ Config'!$A$4:$B$13,2,0),"")</f>
        <v/>
      </c>
      <c r="AP116" s="14" t="str">
        <f aca="false">IFERROR(VLOOKUP(TRIM('📥 Respostas'!AS116),'⚙️ Config'!$A$4:$B$13,2,0),"")</f>
        <v/>
      </c>
      <c r="AQ116" s="14" t="str">
        <f aca="false">IFERROR(VLOOKUP(TRIM('📥 Respostas'!AT116),'⚙️ Config'!$A$4:$B$13,2,0),"")</f>
        <v/>
      </c>
      <c r="AR116" s="14" t="str">
        <f aca="false">IFERROR(VLOOKUP(TRIM('📥 Respostas'!AU116),'⚙️ Config'!$A$4:$B$13,2,0),"")</f>
        <v/>
      </c>
    </row>
    <row r="117" customFormat="false" ht="15" hidden="false" customHeight="false" outlineLevel="0" collapsed="false">
      <c r="A117" s="15" t="str">
        <f aca="false">IF(ISBLANK('📥 Respostas'!D117),"",ROW()-3)</f>
        <v/>
      </c>
      <c r="B117" s="15" t="n">
        <f aca="false">'📥 Respostas'!D117</f>
        <v>0</v>
      </c>
      <c r="C117" s="5" t="n">
        <f aca="false">'📥 Respostas'!C117</f>
        <v>0</v>
      </c>
      <c r="D117" s="14" t="str">
        <f aca="false">IFERROR(VLOOKUP(TRIM('📥 Respostas'!G117),'⚙️ Config'!$A$4:$B$13,2,0),"")</f>
        <v/>
      </c>
      <c r="E117" s="14" t="str">
        <f aca="false">IFERROR(VLOOKUP(TRIM('📥 Respostas'!H117),'⚙️ Config'!$A$4:$B$13,2,0),"")</f>
        <v/>
      </c>
      <c r="F117" s="14" t="str">
        <f aca="false">IFERROR(VLOOKUP(TRIM('📥 Respostas'!I117),'⚙️ Config'!$A$4:$B$13,2,0),"")</f>
        <v/>
      </c>
      <c r="G117" s="14" t="str">
        <f aca="false">IFERROR(VLOOKUP(TRIM('📥 Respostas'!J117),'⚙️ Config'!$A$4:$B$13,2,0),"")</f>
        <v/>
      </c>
      <c r="H117" s="14" t="str">
        <f aca="false">IFERROR(VLOOKUP(TRIM('📥 Respostas'!K117),'⚙️ Config'!$A$4:$B$13,2,0),"")</f>
        <v/>
      </c>
      <c r="I117" s="14" t="str">
        <f aca="false">IFERROR(VLOOKUP(TRIM('📥 Respostas'!L117),'⚙️ Config'!$A$4:$B$13,2,0),"")</f>
        <v/>
      </c>
      <c r="J117" s="14" t="str">
        <f aca="false">IFERROR(VLOOKUP(TRIM('📥 Respostas'!M117),'⚙️ Config'!$A$4:$B$13,2,0),"")</f>
        <v/>
      </c>
      <c r="K117" s="14" t="str">
        <f aca="false">IFERROR(VLOOKUP(TRIM('📥 Respostas'!N117),'⚙️ Config'!$A$4:$B$13,2,0),"")</f>
        <v/>
      </c>
      <c r="L117" s="14" t="str">
        <f aca="false">IFERROR(VLOOKUP(TRIM('📥 Respostas'!O117),'⚙️ Config'!$A$4:$B$13,2,0),"")</f>
        <v/>
      </c>
      <c r="M117" s="14" t="str">
        <f aca="false">IFERROR(VLOOKUP(TRIM('📥 Respostas'!P117),'⚙️ Config'!$A$4:$B$13,2,0),"")</f>
        <v/>
      </c>
      <c r="N117" s="14" t="str">
        <f aca="false">IFERROR(VLOOKUP(TRIM('📥 Respostas'!Q117),'⚙️ Config'!$A$4:$B$13,2,0),"")</f>
        <v/>
      </c>
      <c r="O117" s="14" t="str">
        <f aca="false">IFERROR(VLOOKUP(TRIM('📥 Respostas'!R117),'⚙️ Config'!$A$4:$B$13,2,0),"")</f>
        <v/>
      </c>
      <c r="P117" s="14" t="str">
        <f aca="false">IFERROR(VLOOKUP(TRIM('📥 Respostas'!S117),'⚙️ Config'!$A$4:$B$13,2,0),"")</f>
        <v/>
      </c>
      <c r="Q117" s="14" t="str">
        <f aca="false">IFERROR(VLOOKUP(TRIM('📥 Respostas'!T117),'⚙️ Config'!$A$4:$B$13,2,0),"")</f>
        <v/>
      </c>
      <c r="R117" s="14" t="str">
        <f aca="false">IFERROR(VLOOKUP(TRIM('📥 Respostas'!U117),'⚙️ Config'!$A$4:$B$13,2,0),"")</f>
        <v/>
      </c>
      <c r="S117" s="14" t="str">
        <f aca="false">IFERROR(VLOOKUP(TRIM('📥 Respostas'!V117),'⚙️ Config'!$A$4:$B$13,2,0),"")</f>
        <v/>
      </c>
      <c r="T117" s="14" t="str">
        <f aca="false">IFERROR(VLOOKUP(TRIM('📥 Respostas'!W117),'⚙️ Config'!$A$4:$B$13,2,0),"")</f>
        <v/>
      </c>
      <c r="U117" s="14" t="str">
        <f aca="false">IFERROR(VLOOKUP(TRIM('📥 Respostas'!X117),'⚙️ Config'!$A$4:$B$13,2,0),"")</f>
        <v/>
      </c>
      <c r="V117" s="14" t="str">
        <f aca="false">IFERROR(VLOOKUP(TRIM('📥 Respostas'!Y117),'⚙️ Config'!$A$4:$B$13,2,0),"")</f>
        <v/>
      </c>
      <c r="W117" s="14" t="str">
        <f aca="false">IFERROR(VLOOKUP(TRIM('📥 Respostas'!Z117),'⚙️ Config'!$A$4:$B$13,2,0),"")</f>
        <v/>
      </c>
      <c r="X117" s="14" t="str">
        <f aca="false">IFERROR(VLOOKUP(TRIM('📥 Respostas'!AA117),'⚙️ Config'!$A$4:$B$13,2,0),"")</f>
        <v/>
      </c>
      <c r="Y117" s="14" t="str">
        <f aca="false">IFERROR(VLOOKUP(TRIM('📥 Respostas'!AB117),'⚙️ Config'!$A$4:$B$13,2,0),"")</f>
        <v/>
      </c>
      <c r="Z117" s="14" t="str">
        <f aca="false">IFERROR(VLOOKUP(TRIM('📥 Respostas'!AC117),'⚙️ Config'!$A$4:$B$13,2,0),"")</f>
        <v/>
      </c>
      <c r="AA117" s="14" t="str">
        <f aca="false">IFERROR(VLOOKUP(TRIM('📥 Respostas'!AD117),'⚙️ Config'!$A$4:$B$13,2,0),"")</f>
        <v/>
      </c>
      <c r="AB117" s="14" t="str">
        <f aca="false">IFERROR(VLOOKUP(TRIM('📥 Respostas'!AE117),'⚙️ Config'!$A$4:$B$13,2,0),"")</f>
        <v/>
      </c>
      <c r="AC117" s="14" t="str">
        <f aca="false">IFERROR(VLOOKUP(TRIM('📥 Respostas'!AF117),'⚙️ Config'!$A$4:$B$13,2,0),"")</f>
        <v/>
      </c>
      <c r="AD117" s="14" t="str">
        <f aca="false">IFERROR(VLOOKUP(TRIM('📥 Respostas'!AG117),'⚙️ Config'!$A$4:$B$13,2,0),"")</f>
        <v/>
      </c>
      <c r="AE117" s="14" t="str">
        <f aca="false">IFERROR(VLOOKUP(TRIM('📥 Respostas'!AH117),'⚙️ Config'!$A$4:$B$13,2,0),"")</f>
        <v/>
      </c>
      <c r="AF117" s="14" t="str">
        <f aca="false">IFERROR(VLOOKUP(TRIM('📥 Respostas'!AI117),'⚙️ Config'!$C$4:$D$11,2,0),"")</f>
        <v/>
      </c>
      <c r="AG117" s="14" t="str">
        <f aca="false">IFERROR(VLOOKUP(TRIM('📥 Respostas'!AJ117),'⚙️ Config'!$A$4:$B$13,2,0),"")</f>
        <v/>
      </c>
      <c r="AH117" s="14" t="str">
        <f aca="false">IFERROR(VLOOKUP(TRIM('📥 Respostas'!AK117),'⚙️ Config'!$A$4:$B$13,2,0),"")</f>
        <v/>
      </c>
      <c r="AI117" s="14" t="str">
        <f aca="false">IFERROR(VLOOKUP(TRIM('📥 Respostas'!AL117),'⚙️ Config'!$A$4:$B$13,2,0),"")</f>
        <v/>
      </c>
      <c r="AJ117" s="14" t="str">
        <f aca="false">IFERROR(VLOOKUP(TRIM('📥 Respostas'!AM117),'⚙️ Config'!$A$4:$B$13,2,0),"")</f>
        <v/>
      </c>
      <c r="AK117" s="14" t="str">
        <f aca="false">IFERROR(VLOOKUP(TRIM('📥 Respostas'!AN117),'⚙️ Config'!$A$4:$B$13,2,0),"")</f>
        <v/>
      </c>
      <c r="AL117" s="14" t="str">
        <f aca="false">IFERROR(VLOOKUP(TRIM('📥 Respostas'!AO117),'⚙️ Config'!$A$4:$B$13,2,0),"")</f>
        <v/>
      </c>
      <c r="AM117" s="14" t="str">
        <f aca="false">IFERROR(VLOOKUP(TRIM('📥 Respostas'!AP117),'⚙️ Config'!$A$4:$B$13,2,0),"")</f>
        <v/>
      </c>
      <c r="AN117" s="14" t="str">
        <f aca="false">IFERROR(VLOOKUP(TRIM('📥 Respostas'!AQ117),'⚙️ Config'!$A$4:$B$13,2,0),"")</f>
        <v/>
      </c>
      <c r="AO117" s="14" t="str">
        <f aca="false">IFERROR(VLOOKUP(TRIM('📥 Respostas'!AR117),'⚙️ Config'!$A$4:$B$13,2,0),"")</f>
        <v/>
      </c>
      <c r="AP117" s="14" t="str">
        <f aca="false">IFERROR(VLOOKUP(TRIM('📥 Respostas'!AS117),'⚙️ Config'!$A$4:$B$13,2,0),"")</f>
        <v/>
      </c>
      <c r="AQ117" s="14" t="str">
        <f aca="false">IFERROR(VLOOKUP(TRIM('📥 Respostas'!AT117),'⚙️ Config'!$A$4:$B$13,2,0),"")</f>
        <v/>
      </c>
      <c r="AR117" s="14" t="str">
        <f aca="false">IFERROR(VLOOKUP(TRIM('📥 Respostas'!AU117),'⚙️ Config'!$A$4:$B$13,2,0),"")</f>
        <v/>
      </c>
    </row>
    <row r="118" customFormat="false" ht="15" hidden="false" customHeight="false" outlineLevel="0" collapsed="false">
      <c r="A118" s="12" t="str">
        <f aca="false">IF(ISBLANK('📥 Respostas'!D118),"",ROW()-3)</f>
        <v/>
      </c>
      <c r="B118" s="12" t="n">
        <f aca="false">'📥 Respostas'!D118</f>
        <v>0</v>
      </c>
      <c r="C118" s="13" t="n">
        <f aca="false">'📥 Respostas'!C118</f>
        <v>0</v>
      </c>
      <c r="D118" s="14" t="str">
        <f aca="false">IFERROR(VLOOKUP(TRIM('📥 Respostas'!G118),'⚙️ Config'!$A$4:$B$13,2,0),"")</f>
        <v/>
      </c>
      <c r="E118" s="14" t="str">
        <f aca="false">IFERROR(VLOOKUP(TRIM('📥 Respostas'!H118),'⚙️ Config'!$A$4:$B$13,2,0),"")</f>
        <v/>
      </c>
      <c r="F118" s="14" t="str">
        <f aca="false">IFERROR(VLOOKUP(TRIM('📥 Respostas'!I118),'⚙️ Config'!$A$4:$B$13,2,0),"")</f>
        <v/>
      </c>
      <c r="G118" s="14" t="str">
        <f aca="false">IFERROR(VLOOKUP(TRIM('📥 Respostas'!J118),'⚙️ Config'!$A$4:$B$13,2,0),"")</f>
        <v/>
      </c>
      <c r="H118" s="14" t="str">
        <f aca="false">IFERROR(VLOOKUP(TRIM('📥 Respostas'!K118),'⚙️ Config'!$A$4:$B$13,2,0),"")</f>
        <v/>
      </c>
      <c r="I118" s="14" t="str">
        <f aca="false">IFERROR(VLOOKUP(TRIM('📥 Respostas'!L118),'⚙️ Config'!$A$4:$B$13,2,0),"")</f>
        <v/>
      </c>
      <c r="J118" s="14" t="str">
        <f aca="false">IFERROR(VLOOKUP(TRIM('📥 Respostas'!M118),'⚙️ Config'!$A$4:$B$13,2,0),"")</f>
        <v/>
      </c>
      <c r="K118" s="14" t="str">
        <f aca="false">IFERROR(VLOOKUP(TRIM('📥 Respostas'!N118),'⚙️ Config'!$A$4:$B$13,2,0),"")</f>
        <v/>
      </c>
      <c r="L118" s="14" t="str">
        <f aca="false">IFERROR(VLOOKUP(TRIM('📥 Respostas'!O118),'⚙️ Config'!$A$4:$B$13,2,0),"")</f>
        <v/>
      </c>
      <c r="M118" s="14" t="str">
        <f aca="false">IFERROR(VLOOKUP(TRIM('📥 Respostas'!P118),'⚙️ Config'!$A$4:$B$13,2,0),"")</f>
        <v/>
      </c>
      <c r="N118" s="14" t="str">
        <f aca="false">IFERROR(VLOOKUP(TRIM('📥 Respostas'!Q118),'⚙️ Config'!$A$4:$B$13,2,0),"")</f>
        <v/>
      </c>
      <c r="O118" s="14" t="str">
        <f aca="false">IFERROR(VLOOKUP(TRIM('📥 Respostas'!R118),'⚙️ Config'!$A$4:$B$13,2,0),"")</f>
        <v/>
      </c>
      <c r="P118" s="14" t="str">
        <f aca="false">IFERROR(VLOOKUP(TRIM('📥 Respostas'!S118),'⚙️ Config'!$A$4:$B$13,2,0),"")</f>
        <v/>
      </c>
      <c r="Q118" s="14" t="str">
        <f aca="false">IFERROR(VLOOKUP(TRIM('📥 Respostas'!T118),'⚙️ Config'!$A$4:$B$13,2,0),"")</f>
        <v/>
      </c>
      <c r="R118" s="14" t="str">
        <f aca="false">IFERROR(VLOOKUP(TRIM('📥 Respostas'!U118),'⚙️ Config'!$A$4:$B$13,2,0),"")</f>
        <v/>
      </c>
      <c r="S118" s="14" t="str">
        <f aca="false">IFERROR(VLOOKUP(TRIM('📥 Respostas'!V118),'⚙️ Config'!$A$4:$B$13,2,0),"")</f>
        <v/>
      </c>
      <c r="T118" s="14" t="str">
        <f aca="false">IFERROR(VLOOKUP(TRIM('📥 Respostas'!W118),'⚙️ Config'!$A$4:$B$13,2,0),"")</f>
        <v/>
      </c>
      <c r="U118" s="14" t="str">
        <f aca="false">IFERROR(VLOOKUP(TRIM('📥 Respostas'!X118),'⚙️ Config'!$A$4:$B$13,2,0),"")</f>
        <v/>
      </c>
      <c r="V118" s="14" t="str">
        <f aca="false">IFERROR(VLOOKUP(TRIM('📥 Respostas'!Y118),'⚙️ Config'!$A$4:$B$13,2,0),"")</f>
        <v/>
      </c>
      <c r="W118" s="14" t="str">
        <f aca="false">IFERROR(VLOOKUP(TRIM('📥 Respostas'!Z118),'⚙️ Config'!$A$4:$B$13,2,0),"")</f>
        <v/>
      </c>
      <c r="X118" s="14" t="str">
        <f aca="false">IFERROR(VLOOKUP(TRIM('📥 Respostas'!AA118),'⚙️ Config'!$A$4:$B$13,2,0),"")</f>
        <v/>
      </c>
      <c r="Y118" s="14" t="str">
        <f aca="false">IFERROR(VLOOKUP(TRIM('📥 Respostas'!AB118),'⚙️ Config'!$A$4:$B$13,2,0),"")</f>
        <v/>
      </c>
      <c r="Z118" s="14" t="str">
        <f aca="false">IFERROR(VLOOKUP(TRIM('📥 Respostas'!AC118),'⚙️ Config'!$A$4:$B$13,2,0),"")</f>
        <v/>
      </c>
      <c r="AA118" s="14" t="str">
        <f aca="false">IFERROR(VLOOKUP(TRIM('📥 Respostas'!AD118),'⚙️ Config'!$A$4:$B$13,2,0),"")</f>
        <v/>
      </c>
      <c r="AB118" s="14" t="str">
        <f aca="false">IFERROR(VLOOKUP(TRIM('📥 Respostas'!AE118),'⚙️ Config'!$A$4:$B$13,2,0),"")</f>
        <v/>
      </c>
      <c r="AC118" s="14" t="str">
        <f aca="false">IFERROR(VLOOKUP(TRIM('📥 Respostas'!AF118),'⚙️ Config'!$A$4:$B$13,2,0),"")</f>
        <v/>
      </c>
      <c r="AD118" s="14" t="str">
        <f aca="false">IFERROR(VLOOKUP(TRIM('📥 Respostas'!AG118),'⚙️ Config'!$A$4:$B$13,2,0),"")</f>
        <v/>
      </c>
      <c r="AE118" s="14" t="str">
        <f aca="false">IFERROR(VLOOKUP(TRIM('📥 Respostas'!AH118),'⚙️ Config'!$A$4:$B$13,2,0),"")</f>
        <v/>
      </c>
      <c r="AF118" s="14" t="str">
        <f aca="false">IFERROR(VLOOKUP(TRIM('📥 Respostas'!AI118),'⚙️ Config'!$C$4:$D$11,2,0),"")</f>
        <v/>
      </c>
      <c r="AG118" s="14" t="str">
        <f aca="false">IFERROR(VLOOKUP(TRIM('📥 Respostas'!AJ118),'⚙️ Config'!$A$4:$B$13,2,0),"")</f>
        <v/>
      </c>
      <c r="AH118" s="14" t="str">
        <f aca="false">IFERROR(VLOOKUP(TRIM('📥 Respostas'!AK118),'⚙️ Config'!$A$4:$B$13,2,0),"")</f>
        <v/>
      </c>
      <c r="AI118" s="14" t="str">
        <f aca="false">IFERROR(VLOOKUP(TRIM('📥 Respostas'!AL118),'⚙️ Config'!$A$4:$B$13,2,0),"")</f>
        <v/>
      </c>
      <c r="AJ118" s="14" t="str">
        <f aca="false">IFERROR(VLOOKUP(TRIM('📥 Respostas'!AM118),'⚙️ Config'!$A$4:$B$13,2,0),"")</f>
        <v/>
      </c>
      <c r="AK118" s="14" t="str">
        <f aca="false">IFERROR(VLOOKUP(TRIM('📥 Respostas'!AN118),'⚙️ Config'!$A$4:$B$13,2,0),"")</f>
        <v/>
      </c>
      <c r="AL118" s="14" t="str">
        <f aca="false">IFERROR(VLOOKUP(TRIM('📥 Respostas'!AO118),'⚙️ Config'!$A$4:$B$13,2,0),"")</f>
        <v/>
      </c>
      <c r="AM118" s="14" t="str">
        <f aca="false">IFERROR(VLOOKUP(TRIM('📥 Respostas'!AP118),'⚙️ Config'!$A$4:$B$13,2,0),"")</f>
        <v/>
      </c>
      <c r="AN118" s="14" t="str">
        <f aca="false">IFERROR(VLOOKUP(TRIM('📥 Respostas'!AQ118),'⚙️ Config'!$A$4:$B$13,2,0),"")</f>
        <v/>
      </c>
      <c r="AO118" s="14" t="str">
        <f aca="false">IFERROR(VLOOKUP(TRIM('📥 Respostas'!AR118),'⚙️ Config'!$A$4:$B$13,2,0),"")</f>
        <v/>
      </c>
      <c r="AP118" s="14" t="str">
        <f aca="false">IFERROR(VLOOKUP(TRIM('📥 Respostas'!AS118),'⚙️ Config'!$A$4:$B$13,2,0),"")</f>
        <v/>
      </c>
      <c r="AQ118" s="14" t="str">
        <f aca="false">IFERROR(VLOOKUP(TRIM('📥 Respostas'!AT118),'⚙️ Config'!$A$4:$B$13,2,0),"")</f>
        <v/>
      </c>
      <c r="AR118" s="14" t="str">
        <f aca="false">IFERROR(VLOOKUP(TRIM('📥 Respostas'!AU118),'⚙️ Config'!$A$4:$B$13,2,0),"")</f>
        <v/>
      </c>
    </row>
    <row r="119" customFormat="false" ht="15" hidden="false" customHeight="false" outlineLevel="0" collapsed="false">
      <c r="A119" s="15" t="str">
        <f aca="false">IF(ISBLANK('📥 Respostas'!D119),"",ROW()-3)</f>
        <v/>
      </c>
      <c r="B119" s="15" t="n">
        <f aca="false">'📥 Respostas'!D119</f>
        <v>0</v>
      </c>
      <c r="C119" s="5" t="n">
        <f aca="false">'📥 Respostas'!C119</f>
        <v>0</v>
      </c>
      <c r="D119" s="14" t="str">
        <f aca="false">IFERROR(VLOOKUP(TRIM('📥 Respostas'!G119),'⚙️ Config'!$A$4:$B$13,2,0),"")</f>
        <v/>
      </c>
      <c r="E119" s="14" t="str">
        <f aca="false">IFERROR(VLOOKUP(TRIM('📥 Respostas'!H119),'⚙️ Config'!$A$4:$B$13,2,0),"")</f>
        <v/>
      </c>
      <c r="F119" s="14" t="str">
        <f aca="false">IFERROR(VLOOKUP(TRIM('📥 Respostas'!I119),'⚙️ Config'!$A$4:$B$13,2,0),"")</f>
        <v/>
      </c>
      <c r="G119" s="14" t="str">
        <f aca="false">IFERROR(VLOOKUP(TRIM('📥 Respostas'!J119),'⚙️ Config'!$A$4:$B$13,2,0),"")</f>
        <v/>
      </c>
      <c r="H119" s="14" t="str">
        <f aca="false">IFERROR(VLOOKUP(TRIM('📥 Respostas'!K119),'⚙️ Config'!$A$4:$B$13,2,0),"")</f>
        <v/>
      </c>
      <c r="I119" s="14" t="str">
        <f aca="false">IFERROR(VLOOKUP(TRIM('📥 Respostas'!L119),'⚙️ Config'!$A$4:$B$13,2,0),"")</f>
        <v/>
      </c>
      <c r="J119" s="14" t="str">
        <f aca="false">IFERROR(VLOOKUP(TRIM('📥 Respostas'!M119),'⚙️ Config'!$A$4:$B$13,2,0),"")</f>
        <v/>
      </c>
      <c r="K119" s="14" t="str">
        <f aca="false">IFERROR(VLOOKUP(TRIM('📥 Respostas'!N119),'⚙️ Config'!$A$4:$B$13,2,0),"")</f>
        <v/>
      </c>
      <c r="L119" s="14" t="str">
        <f aca="false">IFERROR(VLOOKUP(TRIM('📥 Respostas'!O119),'⚙️ Config'!$A$4:$B$13,2,0),"")</f>
        <v/>
      </c>
      <c r="M119" s="14" t="str">
        <f aca="false">IFERROR(VLOOKUP(TRIM('📥 Respostas'!P119),'⚙️ Config'!$A$4:$B$13,2,0),"")</f>
        <v/>
      </c>
      <c r="N119" s="14" t="str">
        <f aca="false">IFERROR(VLOOKUP(TRIM('📥 Respostas'!Q119),'⚙️ Config'!$A$4:$B$13,2,0),"")</f>
        <v/>
      </c>
      <c r="O119" s="14" t="str">
        <f aca="false">IFERROR(VLOOKUP(TRIM('📥 Respostas'!R119),'⚙️ Config'!$A$4:$B$13,2,0),"")</f>
        <v/>
      </c>
      <c r="P119" s="14" t="str">
        <f aca="false">IFERROR(VLOOKUP(TRIM('📥 Respostas'!S119),'⚙️ Config'!$A$4:$B$13,2,0),"")</f>
        <v/>
      </c>
      <c r="Q119" s="14" t="str">
        <f aca="false">IFERROR(VLOOKUP(TRIM('📥 Respostas'!T119),'⚙️ Config'!$A$4:$B$13,2,0),"")</f>
        <v/>
      </c>
      <c r="R119" s="14" t="str">
        <f aca="false">IFERROR(VLOOKUP(TRIM('📥 Respostas'!U119),'⚙️ Config'!$A$4:$B$13,2,0),"")</f>
        <v/>
      </c>
      <c r="S119" s="14" t="str">
        <f aca="false">IFERROR(VLOOKUP(TRIM('📥 Respostas'!V119),'⚙️ Config'!$A$4:$B$13,2,0),"")</f>
        <v/>
      </c>
      <c r="T119" s="14" t="str">
        <f aca="false">IFERROR(VLOOKUP(TRIM('📥 Respostas'!W119),'⚙️ Config'!$A$4:$B$13,2,0),"")</f>
        <v/>
      </c>
      <c r="U119" s="14" t="str">
        <f aca="false">IFERROR(VLOOKUP(TRIM('📥 Respostas'!X119),'⚙️ Config'!$A$4:$B$13,2,0),"")</f>
        <v/>
      </c>
      <c r="V119" s="14" t="str">
        <f aca="false">IFERROR(VLOOKUP(TRIM('📥 Respostas'!Y119),'⚙️ Config'!$A$4:$B$13,2,0),"")</f>
        <v/>
      </c>
      <c r="W119" s="14" t="str">
        <f aca="false">IFERROR(VLOOKUP(TRIM('📥 Respostas'!Z119),'⚙️ Config'!$A$4:$B$13,2,0),"")</f>
        <v/>
      </c>
      <c r="X119" s="14" t="str">
        <f aca="false">IFERROR(VLOOKUP(TRIM('📥 Respostas'!AA119),'⚙️ Config'!$A$4:$B$13,2,0),"")</f>
        <v/>
      </c>
      <c r="Y119" s="14" t="str">
        <f aca="false">IFERROR(VLOOKUP(TRIM('📥 Respostas'!AB119),'⚙️ Config'!$A$4:$B$13,2,0),"")</f>
        <v/>
      </c>
      <c r="Z119" s="14" t="str">
        <f aca="false">IFERROR(VLOOKUP(TRIM('📥 Respostas'!AC119),'⚙️ Config'!$A$4:$B$13,2,0),"")</f>
        <v/>
      </c>
      <c r="AA119" s="14" t="str">
        <f aca="false">IFERROR(VLOOKUP(TRIM('📥 Respostas'!AD119),'⚙️ Config'!$A$4:$B$13,2,0),"")</f>
        <v/>
      </c>
      <c r="AB119" s="14" t="str">
        <f aca="false">IFERROR(VLOOKUP(TRIM('📥 Respostas'!AE119),'⚙️ Config'!$A$4:$B$13,2,0),"")</f>
        <v/>
      </c>
      <c r="AC119" s="14" t="str">
        <f aca="false">IFERROR(VLOOKUP(TRIM('📥 Respostas'!AF119),'⚙️ Config'!$A$4:$B$13,2,0),"")</f>
        <v/>
      </c>
      <c r="AD119" s="14" t="str">
        <f aca="false">IFERROR(VLOOKUP(TRIM('📥 Respostas'!AG119),'⚙️ Config'!$A$4:$B$13,2,0),"")</f>
        <v/>
      </c>
      <c r="AE119" s="14" t="str">
        <f aca="false">IFERROR(VLOOKUP(TRIM('📥 Respostas'!AH119),'⚙️ Config'!$A$4:$B$13,2,0),"")</f>
        <v/>
      </c>
      <c r="AF119" s="14" t="str">
        <f aca="false">IFERROR(VLOOKUP(TRIM('📥 Respostas'!AI119),'⚙️ Config'!$C$4:$D$11,2,0),"")</f>
        <v/>
      </c>
      <c r="AG119" s="14" t="str">
        <f aca="false">IFERROR(VLOOKUP(TRIM('📥 Respostas'!AJ119),'⚙️ Config'!$A$4:$B$13,2,0),"")</f>
        <v/>
      </c>
      <c r="AH119" s="14" t="str">
        <f aca="false">IFERROR(VLOOKUP(TRIM('📥 Respostas'!AK119),'⚙️ Config'!$A$4:$B$13,2,0),"")</f>
        <v/>
      </c>
      <c r="AI119" s="14" t="str">
        <f aca="false">IFERROR(VLOOKUP(TRIM('📥 Respostas'!AL119),'⚙️ Config'!$A$4:$B$13,2,0),"")</f>
        <v/>
      </c>
      <c r="AJ119" s="14" t="str">
        <f aca="false">IFERROR(VLOOKUP(TRIM('📥 Respostas'!AM119),'⚙️ Config'!$A$4:$B$13,2,0),"")</f>
        <v/>
      </c>
      <c r="AK119" s="14" t="str">
        <f aca="false">IFERROR(VLOOKUP(TRIM('📥 Respostas'!AN119),'⚙️ Config'!$A$4:$B$13,2,0),"")</f>
        <v/>
      </c>
      <c r="AL119" s="14" t="str">
        <f aca="false">IFERROR(VLOOKUP(TRIM('📥 Respostas'!AO119),'⚙️ Config'!$A$4:$B$13,2,0),"")</f>
        <v/>
      </c>
      <c r="AM119" s="14" t="str">
        <f aca="false">IFERROR(VLOOKUP(TRIM('📥 Respostas'!AP119),'⚙️ Config'!$A$4:$B$13,2,0),"")</f>
        <v/>
      </c>
      <c r="AN119" s="14" t="str">
        <f aca="false">IFERROR(VLOOKUP(TRIM('📥 Respostas'!AQ119),'⚙️ Config'!$A$4:$B$13,2,0),"")</f>
        <v/>
      </c>
      <c r="AO119" s="14" t="str">
        <f aca="false">IFERROR(VLOOKUP(TRIM('📥 Respostas'!AR119),'⚙️ Config'!$A$4:$B$13,2,0),"")</f>
        <v/>
      </c>
      <c r="AP119" s="14" t="str">
        <f aca="false">IFERROR(VLOOKUP(TRIM('📥 Respostas'!AS119),'⚙️ Config'!$A$4:$B$13,2,0),"")</f>
        <v/>
      </c>
      <c r="AQ119" s="14" t="str">
        <f aca="false">IFERROR(VLOOKUP(TRIM('📥 Respostas'!AT119),'⚙️ Config'!$A$4:$B$13,2,0),"")</f>
        <v/>
      </c>
      <c r="AR119" s="14" t="str">
        <f aca="false">IFERROR(VLOOKUP(TRIM('📥 Respostas'!AU119),'⚙️ Config'!$A$4:$B$13,2,0),"")</f>
        <v/>
      </c>
    </row>
    <row r="120" customFormat="false" ht="15" hidden="false" customHeight="false" outlineLevel="0" collapsed="false">
      <c r="A120" s="12" t="str">
        <f aca="false">IF(ISBLANK('📥 Respostas'!D120),"",ROW()-3)</f>
        <v/>
      </c>
      <c r="B120" s="12" t="n">
        <f aca="false">'📥 Respostas'!D120</f>
        <v>0</v>
      </c>
      <c r="C120" s="13" t="n">
        <f aca="false">'📥 Respostas'!C120</f>
        <v>0</v>
      </c>
      <c r="D120" s="14" t="str">
        <f aca="false">IFERROR(VLOOKUP(TRIM('📥 Respostas'!G120),'⚙️ Config'!$A$4:$B$13,2,0),"")</f>
        <v/>
      </c>
      <c r="E120" s="14" t="str">
        <f aca="false">IFERROR(VLOOKUP(TRIM('📥 Respostas'!H120),'⚙️ Config'!$A$4:$B$13,2,0),"")</f>
        <v/>
      </c>
      <c r="F120" s="14" t="str">
        <f aca="false">IFERROR(VLOOKUP(TRIM('📥 Respostas'!I120),'⚙️ Config'!$A$4:$B$13,2,0),"")</f>
        <v/>
      </c>
      <c r="G120" s="14" t="str">
        <f aca="false">IFERROR(VLOOKUP(TRIM('📥 Respostas'!J120),'⚙️ Config'!$A$4:$B$13,2,0),"")</f>
        <v/>
      </c>
      <c r="H120" s="14" t="str">
        <f aca="false">IFERROR(VLOOKUP(TRIM('📥 Respostas'!K120),'⚙️ Config'!$A$4:$B$13,2,0),"")</f>
        <v/>
      </c>
      <c r="I120" s="14" t="str">
        <f aca="false">IFERROR(VLOOKUP(TRIM('📥 Respostas'!L120),'⚙️ Config'!$A$4:$B$13,2,0),"")</f>
        <v/>
      </c>
      <c r="J120" s="14" t="str">
        <f aca="false">IFERROR(VLOOKUP(TRIM('📥 Respostas'!M120),'⚙️ Config'!$A$4:$B$13,2,0),"")</f>
        <v/>
      </c>
      <c r="K120" s="14" t="str">
        <f aca="false">IFERROR(VLOOKUP(TRIM('📥 Respostas'!N120),'⚙️ Config'!$A$4:$B$13,2,0),"")</f>
        <v/>
      </c>
      <c r="L120" s="14" t="str">
        <f aca="false">IFERROR(VLOOKUP(TRIM('📥 Respostas'!O120),'⚙️ Config'!$A$4:$B$13,2,0),"")</f>
        <v/>
      </c>
      <c r="M120" s="14" t="str">
        <f aca="false">IFERROR(VLOOKUP(TRIM('📥 Respostas'!P120),'⚙️ Config'!$A$4:$B$13,2,0),"")</f>
        <v/>
      </c>
      <c r="N120" s="14" t="str">
        <f aca="false">IFERROR(VLOOKUP(TRIM('📥 Respostas'!Q120),'⚙️ Config'!$A$4:$B$13,2,0),"")</f>
        <v/>
      </c>
      <c r="O120" s="14" t="str">
        <f aca="false">IFERROR(VLOOKUP(TRIM('📥 Respostas'!R120),'⚙️ Config'!$A$4:$B$13,2,0),"")</f>
        <v/>
      </c>
      <c r="P120" s="14" t="str">
        <f aca="false">IFERROR(VLOOKUP(TRIM('📥 Respostas'!S120),'⚙️ Config'!$A$4:$B$13,2,0),"")</f>
        <v/>
      </c>
      <c r="Q120" s="14" t="str">
        <f aca="false">IFERROR(VLOOKUP(TRIM('📥 Respostas'!T120),'⚙️ Config'!$A$4:$B$13,2,0),"")</f>
        <v/>
      </c>
      <c r="R120" s="14" t="str">
        <f aca="false">IFERROR(VLOOKUP(TRIM('📥 Respostas'!U120),'⚙️ Config'!$A$4:$B$13,2,0),"")</f>
        <v/>
      </c>
      <c r="S120" s="14" t="str">
        <f aca="false">IFERROR(VLOOKUP(TRIM('📥 Respostas'!V120),'⚙️ Config'!$A$4:$B$13,2,0),"")</f>
        <v/>
      </c>
      <c r="T120" s="14" t="str">
        <f aca="false">IFERROR(VLOOKUP(TRIM('📥 Respostas'!W120),'⚙️ Config'!$A$4:$B$13,2,0),"")</f>
        <v/>
      </c>
      <c r="U120" s="14" t="str">
        <f aca="false">IFERROR(VLOOKUP(TRIM('📥 Respostas'!X120),'⚙️ Config'!$A$4:$B$13,2,0),"")</f>
        <v/>
      </c>
      <c r="V120" s="14" t="str">
        <f aca="false">IFERROR(VLOOKUP(TRIM('📥 Respostas'!Y120),'⚙️ Config'!$A$4:$B$13,2,0),"")</f>
        <v/>
      </c>
      <c r="W120" s="14" t="str">
        <f aca="false">IFERROR(VLOOKUP(TRIM('📥 Respostas'!Z120),'⚙️ Config'!$A$4:$B$13,2,0),"")</f>
        <v/>
      </c>
      <c r="X120" s="14" t="str">
        <f aca="false">IFERROR(VLOOKUP(TRIM('📥 Respostas'!AA120),'⚙️ Config'!$A$4:$B$13,2,0),"")</f>
        <v/>
      </c>
      <c r="Y120" s="14" t="str">
        <f aca="false">IFERROR(VLOOKUP(TRIM('📥 Respostas'!AB120),'⚙️ Config'!$A$4:$B$13,2,0),"")</f>
        <v/>
      </c>
      <c r="Z120" s="14" t="str">
        <f aca="false">IFERROR(VLOOKUP(TRIM('📥 Respostas'!AC120),'⚙️ Config'!$A$4:$B$13,2,0),"")</f>
        <v/>
      </c>
      <c r="AA120" s="14" t="str">
        <f aca="false">IFERROR(VLOOKUP(TRIM('📥 Respostas'!AD120),'⚙️ Config'!$A$4:$B$13,2,0),"")</f>
        <v/>
      </c>
      <c r="AB120" s="14" t="str">
        <f aca="false">IFERROR(VLOOKUP(TRIM('📥 Respostas'!AE120),'⚙️ Config'!$A$4:$B$13,2,0),"")</f>
        <v/>
      </c>
      <c r="AC120" s="14" t="str">
        <f aca="false">IFERROR(VLOOKUP(TRIM('📥 Respostas'!AF120),'⚙️ Config'!$A$4:$B$13,2,0),"")</f>
        <v/>
      </c>
      <c r="AD120" s="14" t="str">
        <f aca="false">IFERROR(VLOOKUP(TRIM('📥 Respostas'!AG120),'⚙️ Config'!$A$4:$B$13,2,0),"")</f>
        <v/>
      </c>
      <c r="AE120" s="14" t="str">
        <f aca="false">IFERROR(VLOOKUP(TRIM('📥 Respostas'!AH120),'⚙️ Config'!$A$4:$B$13,2,0),"")</f>
        <v/>
      </c>
      <c r="AF120" s="14" t="str">
        <f aca="false">IFERROR(VLOOKUP(TRIM('📥 Respostas'!AI120),'⚙️ Config'!$C$4:$D$11,2,0),"")</f>
        <v/>
      </c>
      <c r="AG120" s="14" t="str">
        <f aca="false">IFERROR(VLOOKUP(TRIM('📥 Respostas'!AJ120),'⚙️ Config'!$A$4:$B$13,2,0),"")</f>
        <v/>
      </c>
      <c r="AH120" s="14" t="str">
        <f aca="false">IFERROR(VLOOKUP(TRIM('📥 Respostas'!AK120),'⚙️ Config'!$A$4:$B$13,2,0),"")</f>
        <v/>
      </c>
      <c r="AI120" s="14" t="str">
        <f aca="false">IFERROR(VLOOKUP(TRIM('📥 Respostas'!AL120),'⚙️ Config'!$A$4:$B$13,2,0),"")</f>
        <v/>
      </c>
      <c r="AJ120" s="14" t="str">
        <f aca="false">IFERROR(VLOOKUP(TRIM('📥 Respostas'!AM120),'⚙️ Config'!$A$4:$B$13,2,0),"")</f>
        <v/>
      </c>
      <c r="AK120" s="14" t="str">
        <f aca="false">IFERROR(VLOOKUP(TRIM('📥 Respostas'!AN120),'⚙️ Config'!$A$4:$B$13,2,0),"")</f>
        <v/>
      </c>
      <c r="AL120" s="14" t="str">
        <f aca="false">IFERROR(VLOOKUP(TRIM('📥 Respostas'!AO120),'⚙️ Config'!$A$4:$B$13,2,0),"")</f>
        <v/>
      </c>
      <c r="AM120" s="14" t="str">
        <f aca="false">IFERROR(VLOOKUP(TRIM('📥 Respostas'!AP120),'⚙️ Config'!$A$4:$B$13,2,0),"")</f>
        <v/>
      </c>
      <c r="AN120" s="14" t="str">
        <f aca="false">IFERROR(VLOOKUP(TRIM('📥 Respostas'!AQ120),'⚙️ Config'!$A$4:$B$13,2,0),"")</f>
        <v/>
      </c>
      <c r="AO120" s="14" t="str">
        <f aca="false">IFERROR(VLOOKUP(TRIM('📥 Respostas'!AR120),'⚙️ Config'!$A$4:$B$13,2,0),"")</f>
        <v/>
      </c>
      <c r="AP120" s="14" t="str">
        <f aca="false">IFERROR(VLOOKUP(TRIM('📥 Respostas'!AS120),'⚙️ Config'!$A$4:$B$13,2,0),"")</f>
        <v/>
      </c>
      <c r="AQ120" s="14" t="str">
        <f aca="false">IFERROR(VLOOKUP(TRIM('📥 Respostas'!AT120),'⚙️ Config'!$A$4:$B$13,2,0),"")</f>
        <v/>
      </c>
      <c r="AR120" s="14" t="str">
        <f aca="false">IFERROR(VLOOKUP(TRIM('📥 Respostas'!AU120),'⚙️ Config'!$A$4:$B$13,2,0),"")</f>
        <v/>
      </c>
    </row>
    <row r="121" customFormat="false" ht="15" hidden="false" customHeight="false" outlineLevel="0" collapsed="false">
      <c r="A121" s="15" t="str">
        <f aca="false">IF(ISBLANK('📥 Respostas'!D121),"",ROW()-3)</f>
        <v/>
      </c>
      <c r="B121" s="15" t="n">
        <f aca="false">'📥 Respostas'!D121</f>
        <v>0</v>
      </c>
      <c r="C121" s="5" t="n">
        <f aca="false">'📥 Respostas'!C121</f>
        <v>0</v>
      </c>
      <c r="D121" s="14" t="str">
        <f aca="false">IFERROR(VLOOKUP(TRIM('📥 Respostas'!G121),'⚙️ Config'!$A$4:$B$13,2,0),"")</f>
        <v/>
      </c>
      <c r="E121" s="14" t="str">
        <f aca="false">IFERROR(VLOOKUP(TRIM('📥 Respostas'!H121),'⚙️ Config'!$A$4:$B$13,2,0),"")</f>
        <v/>
      </c>
      <c r="F121" s="14" t="str">
        <f aca="false">IFERROR(VLOOKUP(TRIM('📥 Respostas'!I121),'⚙️ Config'!$A$4:$B$13,2,0),"")</f>
        <v/>
      </c>
      <c r="G121" s="14" t="str">
        <f aca="false">IFERROR(VLOOKUP(TRIM('📥 Respostas'!J121),'⚙️ Config'!$A$4:$B$13,2,0),"")</f>
        <v/>
      </c>
      <c r="H121" s="14" t="str">
        <f aca="false">IFERROR(VLOOKUP(TRIM('📥 Respostas'!K121),'⚙️ Config'!$A$4:$B$13,2,0),"")</f>
        <v/>
      </c>
      <c r="I121" s="14" t="str">
        <f aca="false">IFERROR(VLOOKUP(TRIM('📥 Respostas'!L121),'⚙️ Config'!$A$4:$B$13,2,0),"")</f>
        <v/>
      </c>
      <c r="J121" s="14" t="str">
        <f aca="false">IFERROR(VLOOKUP(TRIM('📥 Respostas'!M121),'⚙️ Config'!$A$4:$B$13,2,0),"")</f>
        <v/>
      </c>
      <c r="K121" s="14" t="str">
        <f aca="false">IFERROR(VLOOKUP(TRIM('📥 Respostas'!N121),'⚙️ Config'!$A$4:$B$13,2,0),"")</f>
        <v/>
      </c>
      <c r="L121" s="14" t="str">
        <f aca="false">IFERROR(VLOOKUP(TRIM('📥 Respostas'!O121),'⚙️ Config'!$A$4:$B$13,2,0),"")</f>
        <v/>
      </c>
      <c r="M121" s="14" t="str">
        <f aca="false">IFERROR(VLOOKUP(TRIM('📥 Respostas'!P121),'⚙️ Config'!$A$4:$B$13,2,0),"")</f>
        <v/>
      </c>
      <c r="N121" s="14" t="str">
        <f aca="false">IFERROR(VLOOKUP(TRIM('📥 Respostas'!Q121),'⚙️ Config'!$A$4:$B$13,2,0),"")</f>
        <v/>
      </c>
      <c r="O121" s="14" t="str">
        <f aca="false">IFERROR(VLOOKUP(TRIM('📥 Respostas'!R121),'⚙️ Config'!$A$4:$B$13,2,0),"")</f>
        <v/>
      </c>
      <c r="P121" s="14" t="str">
        <f aca="false">IFERROR(VLOOKUP(TRIM('📥 Respostas'!S121),'⚙️ Config'!$A$4:$B$13,2,0),"")</f>
        <v/>
      </c>
      <c r="Q121" s="14" t="str">
        <f aca="false">IFERROR(VLOOKUP(TRIM('📥 Respostas'!T121),'⚙️ Config'!$A$4:$B$13,2,0),"")</f>
        <v/>
      </c>
      <c r="R121" s="14" t="str">
        <f aca="false">IFERROR(VLOOKUP(TRIM('📥 Respostas'!U121),'⚙️ Config'!$A$4:$B$13,2,0),"")</f>
        <v/>
      </c>
      <c r="S121" s="14" t="str">
        <f aca="false">IFERROR(VLOOKUP(TRIM('📥 Respostas'!V121),'⚙️ Config'!$A$4:$B$13,2,0),"")</f>
        <v/>
      </c>
      <c r="T121" s="14" t="str">
        <f aca="false">IFERROR(VLOOKUP(TRIM('📥 Respostas'!W121),'⚙️ Config'!$A$4:$B$13,2,0),"")</f>
        <v/>
      </c>
      <c r="U121" s="14" t="str">
        <f aca="false">IFERROR(VLOOKUP(TRIM('📥 Respostas'!X121),'⚙️ Config'!$A$4:$B$13,2,0),"")</f>
        <v/>
      </c>
      <c r="V121" s="14" t="str">
        <f aca="false">IFERROR(VLOOKUP(TRIM('📥 Respostas'!Y121),'⚙️ Config'!$A$4:$B$13,2,0),"")</f>
        <v/>
      </c>
      <c r="W121" s="14" t="str">
        <f aca="false">IFERROR(VLOOKUP(TRIM('📥 Respostas'!Z121),'⚙️ Config'!$A$4:$B$13,2,0),"")</f>
        <v/>
      </c>
      <c r="X121" s="14" t="str">
        <f aca="false">IFERROR(VLOOKUP(TRIM('📥 Respostas'!AA121),'⚙️ Config'!$A$4:$B$13,2,0),"")</f>
        <v/>
      </c>
      <c r="Y121" s="14" t="str">
        <f aca="false">IFERROR(VLOOKUP(TRIM('📥 Respostas'!AB121),'⚙️ Config'!$A$4:$B$13,2,0),"")</f>
        <v/>
      </c>
      <c r="Z121" s="14" t="str">
        <f aca="false">IFERROR(VLOOKUP(TRIM('📥 Respostas'!AC121),'⚙️ Config'!$A$4:$B$13,2,0),"")</f>
        <v/>
      </c>
      <c r="AA121" s="14" t="str">
        <f aca="false">IFERROR(VLOOKUP(TRIM('📥 Respostas'!AD121),'⚙️ Config'!$A$4:$B$13,2,0),"")</f>
        <v/>
      </c>
      <c r="AB121" s="14" t="str">
        <f aca="false">IFERROR(VLOOKUP(TRIM('📥 Respostas'!AE121),'⚙️ Config'!$A$4:$B$13,2,0),"")</f>
        <v/>
      </c>
      <c r="AC121" s="14" t="str">
        <f aca="false">IFERROR(VLOOKUP(TRIM('📥 Respostas'!AF121),'⚙️ Config'!$A$4:$B$13,2,0),"")</f>
        <v/>
      </c>
      <c r="AD121" s="14" t="str">
        <f aca="false">IFERROR(VLOOKUP(TRIM('📥 Respostas'!AG121),'⚙️ Config'!$A$4:$B$13,2,0),"")</f>
        <v/>
      </c>
      <c r="AE121" s="14" t="str">
        <f aca="false">IFERROR(VLOOKUP(TRIM('📥 Respostas'!AH121),'⚙️ Config'!$A$4:$B$13,2,0),"")</f>
        <v/>
      </c>
      <c r="AF121" s="14" t="str">
        <f aca="false">IFERROR(VLOOKUP(TRIM('📥 Respostas'!AI121),'⚙️ Config'!$C$4:$D$11,2,0),"")</f>
        <v/>
      </c>
      <c r="AG121" s="14" t="str">
        <f aca="false">IFERROR(VLOOKUP(TRIM('📥 Respostas'!AJ121),'⚙️ Config'!$A$4:$B$13,2,0),"")</f>
        <v/>
      </c>
      <c r="AH121" s="14" t="str">
        <f aca="false">IFERROR(VLOOKUP(TRIM('📥 Respostas'!AK121),'⚙️ Config'!$A$4:$B$13,2,0),"")</f>
        <v/>
      </c>
      <c r="AI121" s="14" t="str">
        <f aca="false">IFERROR(VLOOKUP(TRIM('📥 Respostas'!AL121),'⚙️ Config'!$A$4:$B$13,2,0),"")</f>
        <v/>
      </c>
      <c r="AJ121" s="14" t="str">
        <f aca="false">IFERROR(VLOOKUP(TRIM('📥 Respostas'!AM121),'⚙️ Config'!$A$4:$B$13,2,0),"")</f>
        <v/>
      </c>
      <c r="AK121" s="14" t="str">
        <f aca="false">IFERROR(VLOOKUP(TRIM('📥 Respostas'!AN121),'⚙️ Config'!$A$4:$B$13,2,0),"")</f>
        <v/>
      </c>
      <c r="AL121" s="14" t="str">
        <f aca="false">IFERROR(VLOOKUP(TRIM('📥 Respostas'!AO121),'⚙️ Config'!$A$4:$B$13,2,0),"")</f>
        <v/>
      </c>
      <c r="AM121" s="14" t="str">
        <f aca="false">IFERROR(VLOOKUP(TRIM('📥 Respostas'!AP121),'⚙️ Config'!$A$4:$B$13,2,0),"")</f>
        <v/>
      </c>
      <c r="AN121" s="14" t="str">
        <f aca="false">IFERROR(VLOOKUP(TRIM('📥 Respostas'!AQ121),'⚙️ Config'!$A$4:$B$13,2,0),"")</f>
        <v/>
      </c>
      <c r="AO121" s="14" t="str">
        <f aca="false">IFERROR(VLOOKUP(TRIM('📥 Respostas'!AR121),'⚙️ Config'!$A$4:$B$13,2,0),"")</f>
        <v/>
      </c>
      <c r="AP121" s="14" t="str">
        <f aca="false">IFERROR(VLOOKUP(TRIM('📥 Respostas'!AS121),'⚙️ Config'!$A$4:$B$13,2,0),"")</f>
        <v/>
      </c>
      <c r="AQ121" s="14" t="str">
        <f aca="false">IFERROR(VLOOKUP(TRIM('📥 Respostas'!AT121),'⚙️ Config'!$A$4:$B$13,2,0),"")</f>
        <v/>
      </c>
      <c r="AR121" s="14" t="str">
        <f aca="false">IFERROR(VLOOKUP(TRIM('📥 Respostas'!AU121),'⚙️ Config'!$A$4:$B$13,2,0),"")</f>
        <v/>
      </c>
    </row>
    <row r="122" customFormat="false" ht="15" hidden="false" customHeight="false" outlineLevel="0" collapsed="false">
      <c r="A122" s="12" t="str">
        <f aca="false">IF(ISBLANK('📥 Respostas'!D122),"",ROW()-3)</f>
        <v/>
      </c>
      <c r="B122" s="12" t="n">
        <f aca="false">'📥 Respostas'!D122</f>
        <v>0</v>
      </c>
      <c r="C122" s="13" t="n">
        <f aca="false">'📥 Respostas'!C122</f>
        <v>0</v>
      </c>
      <c r="D122" s="14" t="str">
        <f aca="false">IFERROR(VLOOKUP(TRIM('📥 Respostas'!G122),'⚙️ Config'!$A$4:$B$13,2,0),"")</f>
        <v/>
      </c>
      <c r="E122" s="14" t="str">
        <f aca="false">IFERROR(VLOOKUP(TRIM('📥 Respostas'!H122),'⚙️ Config'!$A$4:$B$13,2,0),"")</f>
        <v/>
      </c>
      <c r="F122" s="14" t="str">
        <f aca="false">IFERROR(VLOOKUP(TRIM('📥 Respostas'!I122),'⚙️ Config'!$A$4:$B$13,2,0),"")</f>
        <v/>
      </c>
      <c r="G122" s="14" t="str">
        <f aca="false">IFERROR(VLOOKUP(TRIM('📥 Respostas'!J122),'⚙️ Config'!$A$4:$B$13,2,0),"")</f>
        <v/>
      </c>
      <c r="H122" s="14" t="str">
        <f aca="false">IFERROR(VLOOKUP(TRIM('📥 Respostas'!K122),'⚙️ Config'!$A$4:$B$13,2,0),"")</f>
        <v/>
      </c>
      <c r="I122" s="14" t="str">
        <f aca="false">IFERROR(VLOOKUP(TRIM('📥 Respostas'!L122),'⚙️ Config'!$A$4:$B$13,2,0),"")</f>
        <v/>
      </c>
      <c r="J122" s="14" t="str">
        <f aca="false">IFERROR(VLOOKUP(TRIM('📥 Respostas'!M122),'⚙️ Config'!$A$4:$B$13,2,0),"")</f>
        <v/>
      </c>
      <c r="K122" s="14" t="str">
        <f aca="false">IFERROR(VLOOKUP(TRIM('📥 Respostas'!N122),'⚙️ Config'!$A$4:$B$13,2,0),"")</f>
        <v/>
      </c>
      <c r="L122" s="14" t="str">
        <f aca="false">IFERROR(VLOOKUP(TRIM('📥 Respostas'!O122),'⚙️ Config'!$A$4:$B$13,2,0),"")</f>
        <v/>
      </c>
      <c r="M122" s="14" t="str">
        <f aca="false">IFERROR(VLOOKUP(TRIM('📥 Respostas'!P122),'⚙️ Config'!$A$4:$B$13,2,0),"")</f>
        <v/>
      </c>
      <c r="N122" s="14" t="str">
        <f aca="false">IFERROR(VLOOKUP(TRIM('📥 Respostas'!Q122),'⚙️ Config'!$A$4:$B$13,2,0),"")</f>
        <v/>
      </c>
      <c r="O122" s="14" t="str">
        <f aca="false">IFERROR(VLOOKUP(TRIM('📥 Respostas'!R122),'⚙️ Config'!$A$4:$B$13,2,0),"")</f>
        <v/>
      </c>
      <c r="P122" s="14" t="str">
        <f aca="false">IFERROR(VLOOKUP(TRIM('📥 Respostas'!S122),'⚙️ Config'!$A$4:$B$13,2,0),"")</f>
        <v/>
      </c>
      <c r="Q122" s="14" t="str">
        <f aca="false">IFERROR(VLOOKUP(TRIM('📥 Respostas'!T122),'⚙️ Config'!$A$4:$B$13,2,0),"")</f>
        <v/>
      </c>
      <c r="R122" s="14" t="str">
        <f aca="false">IFERROR(VLOOKUP(TRIM('📥 Respostas'!U122),'⚙️ Config'!$A$4:$B$13,2,0),"")</f>
        <v/>
      </c>
      <c r="S122" s="14" t="str">
        <f aca="false">IFERROR(VLOOKUP(TRIM('📥 Respostas'!V122),'⚙️ Config'!$A$4:$B$13,2,0),"")</f>
        <v/>
      </c>
      <c r="T122" s="14" t="str">
        <f aca="false">IFERROR(VLOOKUP(TRIM('📥 Respostas'!W122),'⚙️ Config'!$A$4:$B$13,2,0),"")</f>
        <v/>
      </c>
      <c r="U122" s="14" t="str">
        <f aca="false">IFERROR(VLOOKUP(TRIM('📥 Respostas'!X122),'⚙️ Config'!$A$4:$B$13,2,0),"")</f>
        <v/>
      </c>
      <c r="V122" s="14" t="str">
        <f aca="false">IFERROR(VLOOKUP(TRIM('📥 Respostas'!Y122),'⚙️ Config'!$A$4:$B$13,2,0),"")</f>
        <v/>
      </c>
      <c r="W122" s="14" t="str">
        <f aca="false">IFERROR(VLOOKUP(TRIM('📥 Respostas'!Z122),'⚙️ Config'!$A$4:$B$13,2,0),"")</f>
        <v/>
      </c>
      <c r="X122" s="14" t="str">
        <f aca="false">IFERROR(VLOOKUP(TRIM('📥 Respostas'!AA122),'⚙️ Config'!$A$4:$B$13,2,0),"")</f>
        <v/>
      </c>
      <c r="Y122" s="14" t="str">
        <f aca="false">IFERROR(VLOOKUP(TRIM('📥 Respostas'!AB122),'⚙️ Config'!$A$4:$B$13,2,0),"")</f>
        <v/>
      </c>
      <c r="Z122" s="14" t="str">
        <f aca="false">IFERROR(VLOOKUP(TRIM('📥 Respostas'!AC122),'⚙️ Config'!$A$4:$B$13,2,0),"")</f>
        <v/>
      </c>
      <c r="AA122" s="14" t="str">
        <f aca="false">IFERROR(VLOOKUP(TRIM('📥 Respostas'!AD122),'⚙️ Config'!$A$4:$B$13,2,0),"")</f>
        <v/>
      </c>
      <c r="AB122" s="14" t="str">
        <f aca="false">IFERROR(VLOOKUP(TRIM('📥 Respostas'!AE122),'⚙️ Config'!$A$4:$B$13,2,0),"")</f>
        <v/>
      </c>
      <c r="AC122" s="14" t="str">
        <f aca="false">IFERROR(VLOOKUP(TRIM('📥 Respostas'!AF122),'⚙️ Config'!$A$4:$B$13,2,0),"")</f>
        <v/>
      </c>
      <c r="AD122" s="14" t="str">
        <f aca="false">IFERROR(VLOOKUP(TRIM('📥 Respostas'!AG122),'⚙️ Config'!$A$4:$B$13,2,0),"")</f>
        <v/>
      </c>
      <c r="AE122" s="14" t="str">
        <f aca="false">IFERROR(VLOOKUP(TRIM('📥 Respostas'!AH122),'⚙️ Config'!$A$4:$B$13,2,0),"")</f>
        <v/>
      </c>
      <c r="AF122" s="14" t="str">
        <f aca="false">IFERROR(VLOOKUP(TRIM('📥 Respostas'!AI122),'⚙️ Config'!$C$4:$D$11,2,0),"")</f>
        <v/>
      </c>
      <c r="AG122" s="14" t="str">
        <f aca="false">IFERROR(VLOOKUP(TRIM('📥 Respostas'!AJ122),'⚙️ Config'!$A$4:$B$13,2,0),"")</f>
        <v/>
      </c>
      <c r="AH122" s="14" t="str">
        <f aca="false">IFERROR(VLOOKUP(TRIM('📥 Respostas'!AK122),'⚙️ Config'!$A$4:$B$13,2,0),"")</f>
        <v/>
      </c>
      <c r="AI122" s="14" t="str">
        <f aca="false">IFERROR(VLOOKUP(TRIM('📥 Respostas'!AL122),'⚙️ Config'!$A$4:$B$13,2,0),"")</f>
        <v/>
      </c>
      <c r="AJ122" s="14" t="str">
        <f aca="false">IFERROR(VLOOKUP(TRIM('📥 Respostas'!AM122),'⚙️ Config'!$A$4:$B$13,2,0),"")</f>
        <v/>
      </c>
      <c r="AK122" s="14" t="str">
        <f aca="false">IFERROR(VLOOKUP(TRIM('📥 Respostas'!AN122),'⚙️ Config'!$A$4:$B$13,2,0),"")</f>
        <v/>
      </c>
      <c r="AL122" s="14" t="str">
        <f aca="false">IFERROR(VLOOKUP(TRIM('📥 Respostas'!AO122),'⚙️ Config'!$A$4:$B$13,2,0),"")</f>
        <v/>
      </c>
      <c r="AM122" s="14" t="str">
        <f aca="false">IFERROR(VLOOKUP(TRIM('📥 Respostas'!AP122),'⚙️ Config'!$A$4:$B$13,2,0),"")</f>
        <v/>
      </c>
      <c r="AN122" s="14" t="str">
        <f aca="false">IFERROR(VLOOKUP(TRIM('📥 Respostas'!AQ122),'⚙️ Config'!$A$4:$B$13,2,0),"")</f>
        <v/>
      </c>
      <c r="AO122" s="14" t="str">
        <f aca="false">IFERROR(VLOOKUP(TRIM('📥 Respostas'!AR122),'⚙️ Config'!$A$4:$B$13,2,0),"")</f>
        <v/>
      </c>
      <c r="AP122" s="14" t="str">
        <f aca="false">IFERROR(VLOOKUP(TRIM('📥 Respostas'!AS122),'⚙️ Config'!$A$4:$B$13,2,0),"")</f>
        <v/>
      </c>
      <c r="AQ122" s="14" t="str">
        <f aca="false">IFERROR(VLOOKUP(TRIM('📥 Respostas'!AT122),'⚙️ Config'!$A$4:$B$13,2,0),"")</f>
        <v/>
      </c>
      <c r="AR122" s="14" t="str">
        <f aca="false">IFERROR(VLOOKUP(TRIM('📥 Respostas'!AU122),'⚙️ Config'!$A$4:$B$13,2,0),"")</f>
        <v/>
      </c>
    </row>
    <row r="123" customFormat="false" ht="15" hidden="false" customHeight="false" outlineLevel="0" collapsed="false">
      <c r="A123" s="15" t="str">
        <f aca="false">IF(ISBLANK('📥 Respostas'!D123),"",ROW()-3)</f>
        <v/>
      </c>
      <c r="B123" s="15" t="n">
        <f aca="false">'📥 Respostas'!D123</f>
        <v>0</v>
      </c>
      <c r="C123" s="5" t="n">
        <f aca="false">'📥 Respostas'!C123</f>
        <v>0</v>
      </c>
      <c r="D123" s="14" t="str">
        <f aca="false">IFERROR(VLOOKUP(TRIM('📥 Respostas'!G123),'⚙️ Config'!$A$4:$B$13,2,0),"")</f>
        <v/>
      </c>
      <c r="E123" s="14" t="str">
        <f aca="false">IFERROR(VLOOKUP(TRIM('📥 Respostas'!H123),'⚙️ Config'!$A$4:$B$13,2,0),"")</f>
        <v/>
      </c>
      <c r="F123" s="14" t="str">
        <f aca="false">IFERROR(VLOOKUP(TRIM('📥 Respostas'!I123),'⚙️ Config'!$A$4:$B$13,2,0),"")</f>
        <v/>
      </c>
      <c r="G123" s="14" t="str">
        <f aca="false">IFERROR(VLOOKUP(TRIM('📥 Respostas'!J123),'⚙️ Config'!$A$4:$B$13,2,0),"")</f>
        <v/>
      </c>
      <c r="H123" s="14" t="str">
        <f aca="false">IFERROR(VLOOKUP(TRIM('📥 Respostas'!K123),'⚙️ Config'!$A$4:$B$13,2,0),"")</f>
        <v/>
      </c>
      <c r="I123" s="14" t="str">
        <f aca="false">IFERROR(VLOOKUP(TRIM('📥 Respostas'!L123),'⚙️ Config'!$A$4:$B$13,2,0),"")</f>
        <v/>
      </c>
      <c r="J123" s="14" t="str">
        <f aca="false">IFERROR(VLOOKUP(TRIM('📥 Respostas'!M123),'⚙️ Config'!$A$4:$B$13,2,0),"")</f>
        <v/>
      </c>
      <c r="K123" s="14" t="str">
        <f aca="false">IFERROR(VLOOKUP(TRIM('📥 Respostas'!N123),'⚙️ Config'!$A$4:$B$13,2,0),"")</f>
        <v/>
      </c>
      <c r="L123" s="14" t="str">
        <f aca="false">IFERROR(VLOOKUP(TRIM('📥 Respostas'!O123),'⚙️ Config'!$A$4:$B$13,2,0),"")</f>
        <v/>
      </c>
      <c r="M123" s="14" t="str">
        <f aca="false">IFERROR(VLOOKUP(TRIM('📥 Respostas'!P123),'⚙️ Config'!$A$4:$B$13,2,0),"")</f>
        <v/>
      </c>
      <c r="N123" s="14" t="str">
        <f aca="false">IFERROR(VLOOKUP(TRIM('📥 Respostas'!Q123),'⚙️ Config'!$A$4:$B$13,2,0),"")</f>
        <v/>
      </c>
      <c r="O123" s="14" t="str">
        <f aca="false">IFERROR(VLOOKUP(TRIM('📥 Respostas'!R123),'⚙️ Config'!$A$4:$B$13,2,0),"")</f>
        <v/>
      </c>
      <c r="P123" s="14" t="str">
        <f aca="false">IFERROR(VLOOKUP(TRIM('📥 Respostas'!S123),'⚙️ Config'!$A$4:$B$13,2,0),"")</f>
        <v/>
      </c>
      <c r="Q123" s="14" t="str">
        <f aca="false">IFERROR(VLOOKUP(TRIM('📥 Respostas'!T123),'⚙️ Config'!$A$4:$B$13,2,0),"")</f>
        <v/>
      </c>
      <c r="R123" s="14" t="str">
        <f aca="false">IFERROR(VLOOKUP(TRIM('📥 Respostas'!U123),'⚙️ Config'!$A$4:$B$13,2,0),"")</f>
        <v/>
      </c>
      <c r="S123" s="14" t="str">
        <f aca="false">IFERROR(VLOOKUP(TRIM('📥 Respostas'!V123),'⚙️ Config'!$A$4:$B$13,2,0),"")</f>
        <v/>
      </c>
      <c r="T123" s="14" t="str">
        <f aca="false">IFERROR(VLOOKUP(TRIM('📥 Respostas'!W123),'⚙️ Config'!$A$4:$B$13,2,0),"")</f>
        <v/>
      </c>
      <c r="U123" s="14" t="str">
        <f aca="false">IFERROR(VLOOKUP(TRIM('📥 Respostas'!X123),'⚙️ Config'!$A$4:$B$13,2,0),"")</f>
        <v/>
      </c>
      <c r="V123" s="14" t="str">
        <f aca="false">IFERROR(VLOOKUP(TRIM('📥 Respostas'!Y123),'⚙️ Config'!$A$4:$B$13,2,0),"")</f>
        <v/>
      </c>
      <c r="W123" s="14" t="str">
        <f aca="false">IFERROR(VLOOKUP(TRIM('📥 Respostas'!Z123),'⚙️ Config'!$A$4:$B$13,2,0),"")</f>
        <v/>
      </c>
      <c r="X123" s="14" t="str">
        <f aca="false">IFERROR(VLOOKUP(TRIM('📥 Respostas'!AA123),'⚙️ Config'!$A$4:$B$13,2,0),"")</f>
        <v/>
      </c>
      <c r="Y123" s="14" t="str">
        <f aca="false">IFERROR(VLOOKUP(TRIM('📥 Respostas'!AB123),'⚙️ Config'!$A$4:$B$13,2,0),"")</f>
        <v/>
      </c>
      <c r="Z123" s="14" t="str">
        <f aca="false">IFERROR(VLOOKUP(TRIM('📥 Respostas'!AC123),'⚙️ Config'!$A$4:$B$13,2,0),"")</f>
        <v/>
      </c>
      <c r="AA123" s="14" t="str">
        <f aca="false">IFERROR(VLOOKUP(TRIM('📥 Respostas'!AD123),'⚙️ Config'!$A$4:$B$13,2,0),"")</f>
        <v/>
      </c>
      <c r="AB123" s="14" t="str">
        <f aca="false">IFERROR(VLOOKUP(TRIM('📥 Respostas'!AE123),'⚙️ Config'!$A$4:$B$13,2,0),"")</f>
        <v/>
      </c>
      <c r="AC123" s="14" t="str">
        <f aca="false">IFERROR(VLOOKUP(TRIM('📥 Respostas'!AF123),'⚙️ Config'!$A$4:$B$13,2,0),"")</f>
        <v/>
      </c>
      <c r="AD123" s="14" t="str">
        <f aca="false">IFERROR(VLOOKUP(TRIM('📥 Respostas'!AG123),'⚙️ Config'!$A$4:$B$13,2,0),"")</f>
        <v/>
      </c>
      <c r="AE123" s="14" t="str">
        <f aca="false">IFERROR(VLOOKUP(TRIM('📥 Respostas'!AH123),'⚙️ Config'!$A$4:$B$13,2,0),"")</f>
        <v/>
      </c>
      <c r="AF123" s="14" t="str">
        <f aca="false">IFERROR(VLOOKUP(TRIM('📥 Respostas'!AI123),'⚙️ Config'!$C$4:$D$11,2,0),"")</f>
        <v/>
      </c>
      <c r="AG123" s="14" t="str">
        <f aca="false">IFERROR(VLOOKUP(TRIM('📥 Respostas'!AJ123),'⚙️ Config'!$A$4:$B$13,2,0),"")</f>
        <v/>
      </c>
      <c r="AH123" s="14" t="str">
        <f aca="false">IFERROR(VLOOKUP(TRIM('📥 Respostas'!AK123),'⚙️ Config'!$A$4:$B$13,2,0),"")</f>
        <v/>
      </c>
      <c r="AI123" s="14" t="str">
        <f aca="false">IFERROR(VLOOKUP(TRIM('📥 Respostas'!AL123),'⚙️ Config'!$A$4:$B$13,2,0),"")</f>
        <v/>
      </c>
      <c r="AJ123" s="14" t="str">
        <f aca="false">IFERROR(VLOOKUP(TRIM('📥 Respostas'!AM123),'⚙️ Config'!$A$4:$B$13,2,0),"")</f>
        <v/>
      </c>
      <c r="AK123" s="14" t="str">
        <f aca="false">IFERROR(VLOOKUP(TRIM('📥 Respostas'!AN123),'⚙️ Config'!$A$4:$B$13,2,0),"")</f>
        <v/>
      </c>
      <c r="AL123" s="14" t="str">
        <f aca="false">IFERROR(VLOOKUP(TRIM('📥 Respostas'!AO123),'⚙️ Config'!$A$4:$B$13,2,0),"")</f>
        <v/>
      </c>
      <c r="AM123" s="14" t="str">
        <f aca="false">IFERROR(VLOOKUP(TRIM('📥 Respostas'!AP123),'⚙️ Config'!$A$4:$B$13,2,0),"")</f>
        <v/>
      </c>
      <c r="AN123" s="14" t="str">
        <f aca="false">IFERROR(VLOOKUP(TRIM('📥 Respostas'!AQ123),'⚙️ Config'!$A$4:$B$13,2,0),"")</f>
        <v/>
      </c>
      <c r="AO123" s="14" t="str">
        <f aca="false">IFERROR(VLOOKUP(TRIM('📥 Respostas'!AR123),'⚙️ Config'!$A$4:$B$13,2,0),"")</f>
        <v/>
      </c>
      <c r="AP123" s="14" t="str">
        <f aca="false">IFERROR(VLOOKUP(TRIM('📥 Respostas'!AS123),'⚙️ Config'!$A$4:$B$13,2,0),"")</f>
        <v/>
      </c>
      <c r="AQ123" s="14" t="str">
        <f aca="false">IFERROR(VLOOKUP(TRIM('📥 Respostas'!AT123),'⚙️ Config'!$A$4:$B$13,2,0),"")</f>
        <v/>
      </c>
      <c r="AR123" s="14" t="str">
        <f aca="false">IFERROR(VLOOKUP(TRIM('📥 Respostas'!AU123),'⚙️ Config'!$A$4:$B$13,2,0),"")</f>
        <v/>
      </c>
    </row>
    <row r="124" customFormat="false" ht="15" hidden="false" customHeight="false" outlineLevel="0" collapsed="false">
      <c r="A124" s="12" t="str">
        <f aca="false">IF(ISBLANK('📥 Respostas'!D124),"",ROW()-3)</f>
        <v/>
      </c>
      <c r="B124" s="12" t="n">
        <f aca="false">'📥 Respostas'!D124</f>
        <v>0</v>
      </c>
      <c r="C124" s="13" t="n">
        <f aca="false">'📥 Respostas'!C124</f>
        <v>0</v>
      </c>
      <c r="D124" s="14" t="str">
        <f aca="false">IFERROR(VLOOKUP(TRIM('📥 Respostas'!G124),'⚙️ Config'!$A$4:$B$13,2,0),"")</f>
        <v/>
      </c>
      <c r="E124" s="14" t="str">
        <f aca="false">IFERROR(VLOOKUP(TRIM('📥 Respostas'!H124),'⚙️ Config'!$A$4:$B$13,2,0),"")</f>
        <v/>
      </c>
      <c r="F124" s="14" t="str">
        <f aca="false">IFERROR(VLOOKUP(TRIM('📥 Respostas'!I124),'⚙️ Config'!$A$4:$B$13,2,0),"")</f>
        <v/>
      </c>
      <c r="G124" s="14" t="str">
        <f aca="false">IFERROR(VLOOKUP(TRIM('📥 Respostas'!J124),'⚙️ Config'!$A$4:$B$13,2,0),"")</f>
        <v/>
      </c>
      <c r="H124" s="14" t="str">
        <f aca="false">IFERROR(VLOOKUP(TRIM('📥 Respostas'!K124),'⚙️ Config'!$A$4:$B$13,2,0),"")</f>
        <v/>
      </c>
      <c r="I124" s="14" t="str">
        <f aca="false">IFERROR(VLOOKUP(TRIM('📥 Respostas'!L124),'⚙️ Config'!$A$4:$B$13,2,0),"")</f>
        <v/>
      </c>
      <c r="J124" s="14" t="str">
        <f aca="false">IFERROR(VLOOKUP(TRIM('📥 Respostas'!M124),'⚙️ Config'!$A$4:$B$13,2,0),"")</f>
        <v/>
      </c>
      <c r="K124" s="14" t="str">
        <f aca="false">IFERROR(VLOOKUP(TRIM('📥 Respostas'!N124),'⚙️ Config'!$A$4:$B$13,2,0),"")</f>
        <v/>
      </c>
      <c r="L124" s="14" t="str">
        <f aca="false">IFERROR(VLOOKUP(TRIM('📥 Respostas'!O124),'⚙️ Config'!$A$4:$B$13,2,0),"")</f>
        <v/>
      </c>
      <c r="M124" s="14" t="str">
        <f aca="false">IFERROR(VLOOKUP(TRIM('📥 Respostas'!P124),'⚙️ Config'!$A$4:$B$13,2,0),"")</f>
        <v/>
      </c>
      <c r="N124" s="14" t="str">
        <f aca="false">IFERROR(VLOOKUP(TRIM('📥 Respostas'!Q124),'⚙️ Config'!$A$4:$B$13,2,0),"")</f>
        <v/>
      </c>
      <c r="O124" s="14" t="str">
        <f aca="false">IFERROR(VLOOKUP(TRIM('📥 Respostas'!R124),'⚙️ Config'!$A$4:$B$13,2,0),"")</f>
        <v/>
      </c>
      <c r="P124" s="14" t="str">
        <f aca="false">IFERROR(VLOOKUP(TRIM('📥 Respostas'!S124),'⚙️ Config'!$A$4:$B$13,2,0),"")</f>
        <v/>
      </c>
      <c r="Q124" s="14" t="str">
        <f aca="false">IFERROR(VLOOKUP(TRIM('📥 Respostas'!T124),'⚙️ Config'!$A$4:$B$13,2,0),"")</f>
        <v/>
      </c>
      <c r="R124" s="14" t="str">
        <f aca="false">IFERROR(VLOOKUP(TRIM('📥 Respostas'!U124),'⚙️ Config'!$A$4:$B$13,2,0),"")</f>
        <v/>
      </c>
      <c r="S124" s="14" t="str">
        <f aca="false">IFERROR(VLOOKUP(TRIM('📥 Respostas'!V124),'⚙️ Config'!$A$4:$B$13,2,0),"")</f>
        <v/>
      </c>
      <c r="T124" s="14" t="str">
        <f aca="false">IFERROR(VLOOKUP(TRIM('📥 Respostas'!W124),'⚙️ Config'!$A$4:$B$13,2,0),"")</f>
        <v/>
      </c>
      <c r="U124" s="14" t="str">
        <f aca="false">IFERROR(VLOOKUP(TRIM('📥 Respostas'!X124),'⚙️ Config'!$A$4:$B$13,2,0),"")</f>
        <v/>
      </c>
      <c r="V124" s="14" t="str">
        <f aca="false">IFERROR(VLOOKUP(TRIM('📥 Respostas'!Y124),'⚙️ Config'!$A$4:$B$13,2,0),"")</f>
        <v/>
      </c>
      <c r="W124" s="14" t="str">
        <f aca="false">IFERROR(VLOOKUP(TRIM('📥 Respostas'!Z124),'⚙️ Config'!$A$4:$B$13,2,0),"")</f>
        <v/>
      </c>
      <c r="X124" s="14" t="str">
        <f aca="false">IFERROR(VLOOKUP(TRIM('📥 Respostas'!AA124),'⚙️ Config'!$A$4:$B$13,2,0),"")</f>
        <v/>
      </c>
      <c r="Y124" s="14" t="str">
        <f aca="false">IFERROR(VLOOKUP(TRIM('📥 Respostas'!AB124),'⚙️ Config'!$A$4:$B$13,2,0),"")</f>
        <v/>
      </c>
      <c r="Z124" s="14" t="str">
        <f aca="false">IFERROR(VLOOKUP(TRIM('📥 Respostas'!AC124),'⚙️ Config'!$A$4:$B$13,2,0),"")</f>
        <v/>
      </c>
      <c r="AA124" s="14" t="str">
        <f aca="false">IFERROR(VLOOKUP(TRIM('📥 Respostas'!AD124),'⚙️ Config'!$A$4:$B$13,2,0),"")</f>
        <v/>
      </c>
      <c r="AB124" s="14" t="str">
        <f aca="false">IFERROR(VLOOKUP(TRIM('📥 Respostas'!AE124),'⚙️ Config'!$A$4:$B$13,2,0),"")</f>
        <v/>
      </c>
      <c r="AC124" s="14" t="str">
        <f aca="false">IFERROR(VLOOKUP(TRIM('📥 Respostas'!AF124),'⚙️ Config'!$A$4:$B$13,2,0),"")</f>
        <v/>
      </c>
      <c r="AD124" s="14" t="str">
        <f aca="false">IFERROR(VLOOKUP(TRIM('📥 Respostas'!AG124),'⚙️ Config'!$A$4:$B$13,2,0),"")</f>
        <v/>
      </c>
      <c r="AE124" s="14" t="str">
        <f aca="false">IFERROR(VLOOKUP(TRIM('📥 Respostas'!AH124),'⚙️ Config'!$A$4:$B$13,2,0),"")</f>
        <v/>
      </c>
      <c r="AF124" s="14" t="str">
        <f aca="false">IFERROR(VLOOKUP(TRIM('📥 Respostas'!AI124),'⚙️ Config'!$C$4:$D$11,2,0),"")</f>
        <v/>
      </c>
      <c r="AG124" s="14" t="str">
        <f aca="false">IFERROR(VLOOKUP(TRIM('📥 Respostas'!AJ124),'⚙️ Config'!$A$4:$B$13,2,0),"")</f>
        <v/>
      </c>
      <c r="AH124" s="14" t="str">
        <f aca="false">IFERROR(VLOOKUP(TRIM('📥 Respostas'!AK124),'⚙️ Config'!$A$4:$B$13,2,0),"")</f>
        <v/>
      </c>
      <c r="AI124" s="14" t="str">
        <f aca="false">IFERROR(VLOOKUP(TRIM('📥 Respostas'!AL124),'⚙️ Config'!$A$4:$B$13,2,0),"")</f>
        <v/>
      </c>
      <c r="AJ124" s="14" t="str">
        <f aca="false">IFERROR(VLOOKUP(TRIM('📥 Respostas'!AM124),'⚙️ Config'!$A$4:$B$13,2,0),"")</f>
        <v/>
      </c>
      <c r="AK124" s="14" t="str">
        <f aca="false">IFERROR(VLOOKUP(TRIM('📥 Respostas'!AN124),'⚙️ Config'!$A$4:$B$13,2,0),"")</f>
        <v/>
      </c>
      <c r="AL124" s="14" t="str">
        <f aca="false">IFERROR(VLOOKUP(TRIM('📥 Respostas'!AO124),'⚙️ Config'!$A$4:$B$13,2,0),"")</f>
        <v/>
      </c>
      <c r="AM124" s="14" t="str">
        <f aca="false">IFERROR(VLOOKUP(TRIM('📥 Respostas'!AP124),'⚙️ Config'!$A$4:$B$13,2,0),"")</f>
        <v/>
      </c>
      <c r="AN124" s="14" t="str">
        <f aca="false">IFERROR(VLOOKUP(TRIM('📥 Respostas'!AQ124),'⚙️ Config'!$A$4:$B$13,2,0),"")</f>
        <v/>
      </c>
      <c r="AO124" s="14" t="str">
        <f aca="false">IFERROR(VLOOKUP(TRIM('📥 Respostas'!AR124),'⚙️ Config'!$A$4:$B$13,2,0),"")</f>
        <v/>
      </c>
      <c r="AP124" s="14" t="str">
        <f aca="false">IFERROR(VLOOKUP(TRIM('📥 Respostas'!AS124),'⚙️ Config'!$A$4:$B$13,2,0),"")</f>
        <v/>
      </c>
      <c r="AQ124" s="14" t="str">
        <f aca="false">IFERROR(VLOOKUP(TRIM('📥 Respostas'!AT124),'⚙️ Config'!$A$4:$B$13,2,0),"")</f>
        <v/>
      </c>
      <c r="AR124" s="14" t="str">
        <f aca="false">IFERROR(VLOOKUP(TRIM('📥 Respostas'!AU124),'⚙️ Config'!$A$4:$B$13,2,0),"")</f>
        <v/>
      </c>
    </row>
    <row r="125" customFormat="false" ht="15" hidden="false" customHeight="false" outlineLevel="0" collapsed="false">
      <c r="A125" s="15" t="str">
        <f aca="false">IF(ISBLANK('📥 Respostas'!D125),"",ROW()-3)</f>
        <v/>
      </c>
      <c r="B125" s="15" t="n">
        <f aca="false">'📥 Respostas'!D125</f>
        <v>0</v>
      </c>
      <c r="C125" s="5" t="n">
        <f aca="false">'📥 Respostas'!C125</f>
        <v>0</v>
      </c>
      <c r="D125" s="14" t="str">
        <f aca="false">IFERROR(VLOOKUP(TRIM('📥 Respostas'!G125),'⚙️ Config'!$A$4:$B$13,2,0),"")</f>
        <v/>
      </c>
      <c r="E125" s="14" t="str">
        <f aca="false">IFERROR(VLOOKUP(TRIM('📥 Respostas'!H125),'⚙️ Config'!$A$4:$B$13,2,0),"")</f>
        <v/>
      </c>
      <c r="F125" s="14" t="str">
        <f aca="false">IFERROR(VLOOKUP(TRIM('📥 Respostas'!I125),'⚙️ Config'!$A$4:$B$13,2,0),"")</f>
        <v/>
      </c>
      <c r="G125" s="14" t="str">
        <f aca="false">IFERROR(VLOOKUP(TRIM('📥 Respostas'!J125),'⚙️ Config'!$A$4:$B$13,2,0),"")</f>
        <v/>
      </c>
      <c r="H125" s="14" t="str">
        <f aca="false">IFERROR(VLOOKUP(TRIM('📥 Respostas'!K125),'⚙️ Config'!$A$4:$B$13,2,0),"")</f>
        <v/>
      </c>
      <c r="I125" s="14" t="str">
        <f aca="false">IFERROR(VLOOKUP(TRIM('📥 Respostas'!L125),'⚙️ Config'!$A$4:$B$13,2,0),"")</f>
        <v/>
      </c>
      <c r="J125" s="14" t="str">
        <f aca="false">IFERROR(VLOOKUP(TRIM('📥 Respostas'!M125),'⚙️ Config'!$A$4:$B$13,2,0),"")</f>
        <v/>
      </c>
      <c r="K125" s="14" t="str">
        <f aca="false">IFERROR(VLOOKUP(TRIM('📥 Respostas'!N125),'⚙️ Config'!$A$4:$B$13,2,0),"")</f>
        <v/>
      </c>
      <c r="L125" s="14" t="str">
        <f aca="false">IFERROR(VLOOKUP(TRIM('📥 Respostas'!O125),'⚙️ Config'!$A$4:$B$13,2,0),"")</f>
        <v/>
      </c>
      <c r="M125" s="14" t="str">
        <f aca="false">IFERROR(VLOOKUP(TRIM('📥 Respostas'!P125),'⚙️ Config'!$A$4:$B$13,2,0),"")</f>
        <v/>
      </c>
      <c r="N125" s="14" t="str">
        <f aca="false">IFERROR(VLOOKUP(TRIM('📥 Respostas'!Q125),'⚙️ Config'!$A$4:$B$13,2,0),"")</f>
        <v/>
      </c>
      <c r="O125" s="14" t="str">
        <f aca="false">IFERROR(VLOOKUP(TRIM('📥 Respostas'!R125),'⚙️ Config'!$A$4:$B$13,2,0),"")</f>
        <v/>
      </c>
      <c r="P125" s="14" t="str">
        <f aca="false">IFERROR(VLOOKUP(TRIM('📥 Respostas'!S125),'⚙️ Config'!$A$4:$B$13,2,0),"")</f>
        <v/>
      </c>
      <c r="Q125" s="14" t="str">
        <f aca="false">IFERROR(VLOOKUP(TRIM('📥 Respostas'!T125),'⚙️ Config'!$A$4:$B$13,2,0),"")</f>
        <v/>
      </c>
      <c r="R125" s="14" t="str">
        <f aca="false">IFERROR(VLOOKUP(TRIM('📥 Respostas'!U125),'⚙️ Config'!$A$4:$B$13,2,0),"")</f>
        <v/>
      </c>
      <c r="S125" s="14" t="str">
        <f aca="false">IFERROR(VLOOKUP(TRIM('📥 Respostas'!V125),'⚙️ Config'!$A$4:$B$13,2,0),"")</f>
        <v/>
      </c>
      <c r="T125" s="14" t="str">
        <f aca="false">IFERROR(VLOOKUP(TRIM('📥 Respostas'!W125),'⚙️ Config'!$A$4:$B$13,2,0),"")</f>
        <v/>
      </c>
      <c r="U125" s="14" t="str">
        <f aca="false">IFERROR(VLOOKUP(TRIM('📥 Respostas'!X125),'⚙️ Config'!$A$4:$B$13,2,0),"")</f>
        <v/>
      </c>
      <c r="V125" s="14" t="str">
        <f aca="false">IFERROR(VLOOKUP(TRIM('📥 Respostas'!Y125),'⚙️ Config'!$A$4:$B$13,2,0),"")</f>
        <v/>
      </c>
      <c r="W125" s="14" t="str">
        <f aca="false">IFERROR(VLOOKUP(TRIM('📥 Respostas'!Z125),'⚙️ Config'!$A$4:$B$13,2,0),"")</f>
        <v/>
      </c>
      <c r="X125" s="14" t="str">
        <f aca="false">IFERROR(VLOOKUP(TRIM('📥 Respostas'!AA125),'⚙️ Config'!$A$4:$B$13,2,0),"")</f>
        <v/>
      </c>
      <c r="Y125" s="14" t="str">
        <f aca="false">IFERROR(VLOOKUP(TRIM('📥 Respostas'!AB125),'⚙️ Config'!$A$4:$B$13,2,0),"")</f>
        <v/>
      </c>
      <c r="Z125" s="14" t="str">
        <f aca="false">IFERROR(VLOOKUP(TRIM('📥 Respostas'!AC125),'⚙️ Config'!$A$4:$B$13,2,0),"")</f>
        <v/>
      </c>
      <c r="AA125" s="14" t="str">
        <f aca="false">IFERROR(VLOOKUP(TRIM('📥 Respostas'!AD125),'⚙️ Config'!$A$4:$B$13,2,0),"")</f>
        <v/>
      </c>
      <c r="AB125" s="14" t="str">
        <f aca="false">IFERROR(VLOOKUP(TRIM('📥 Respostas'!AE125),'⚙️ Config'!$A$4:$B$13,2,0),"")</f>
        <v/>
      </c>
      <c r="AC125" s="14" t="str">
        <f aca="false">IFERROR(VLOOKUP(TRIM('📥 Respostas'!AF125),'⚙️ Config'!$A$4:$B$13,2,0),"")</f>
        <v/>
      </c>
      <c r="AD125" s="14" t="str">
        <f aca="false">IFERROR(VLOOKUP(TRIM('📥 Respostas'!AG125),'⚙️ Config'!$A$4:$B$13,2,0),"")</f>
        <v/>
      </c>
      <c r="AE125" s="14" t="str">
        <f aca="false">IFERROR(VLOOKUP(TRIM('📥 Respostas'!AH125),'⚙️ Config'!$A$4:$B$13,2,0),"")</f>
        <v/>
      </c>
      <c r="AF125" s="14" t="str">
        <f aca="false">IFERROR(VLOOKUP(TRIM('📥 Respostas'!AI125),'⚙️ Config'!$C$4:$D$11,2,0),"")</f>
        <v/>
      </c>
      <c r="AG125" s="14" t="str">
        <f aca="false">IFERROR(VLOOKUP(TRIM('📥 Respostas'!AJ125),'⚙️ Config'!$A$4:$B$13,2,0),"")</f>
        <v/>
      </c>
      <c r="AH125" s="14" t="str">
        <f aca="false">IFERROR(VLOOKUP(TRIM('📥 Respostas'!AK125),'⚙️ Config'!$A$4:$B$13,2,0),"")</f>
        <v/>
      </c>
      <c r="AI125" s="14" t="str">
        <f aca="false">IFERROR(VLOOKUP(TRIM('📥 Respostas'!AL125),'⚙️ Config'!$A$4:$B$13,2,0),"")</f>
        <v/>
      </c>
      <c r="AJ125" s="14" t="str">
        <f aca="false">IFERROR(VLOOKUP(TRIM('📥 Respostas'!AM125),'⚙️ Config'!$A$4:$B$13,2,0),"")</f>
        <v/>
      </c>
      <c r="AK125" s="14" t="str">
        <f aca="false">IFERROR(VLOOKUP(TRIM('📥 Respostas'!AN125),'⚙️ Config'!$A$4:$B$13,2,0),"")</f>
        <v/>
      </c>
      <c r="AL125" s="14" t="str">
        <f aca="false">IFERROR(VLOOKUP(TRIM('📥 Respostas'!AO125),'⚙️ Config'!$A$4:$B$13,2,0),"")</f>
        <v/>
      </c>
      <c r="AM125" s="14" t="str">
        <f aca="false">IFERROR(VLOOKUP(TRIM('📥 Respostas'!AP125),'⚙️ Config'!$A$4:$B$13,2,0),"")</f>
        <v/>
      </c>
      <c r="AN125" s="14" t="str">
        <f aca="false">IFERROR(VLOOKUP(TRIM('📥 Respostas'!AQ125),'⚙️ Config'!$A$4:$B$13,2,0),"")</f>
        <v/>
      </c>
      <c r="AO125" s="14" t="str">
        <f aca="false">IFERROR(VLOOKUP(TRIM('📥 Respostas'!AR125),'⚙️ Config'!$A$4:$B$13,2,0),"")</f>
        <v/>
      </c>
      <c r="AP125" s="14" t="str">
        <f aca="false">IFERROR(VLOOKUP(TRIM('📥 Respostas'!AS125),'⚙️ Config'!$A$4:$B$13,2,0),"")</f>
        <v/>
      </c>
      <c r="AQ125" s="14" t="str">
        <f aca="false">IFERROR(VLOOKUP(TRIM('📥 Respostas'!AT125),'⚙️ Config'!$A$4:$B$13,2,0),"")</f>
        <v/>
      </c>
      <c r="AR125" s="14" t="str">
        <f aca="false">IFERROR(VLOOKUP(TRIM('📥 Respostas'!AU125),'⚙️ Config'!$A$4:$B$13,2,0),"")</f>
        <v/>
      </c>
    </row>
    <row r="126" customFormat="false" ht="15" hidden="false" customHeight="false" outlineLevel="0" collapsed="false">
      <c r="A126" s="12" t="str">
        <f aca="false">IF(ISBLANK('📥 Respostas'!D126),"",ROW()-3)</f>
        <v/>
      </c>
      <c r="B126" s="12" t="n">
        <f aca="false">'📥 Respostas'!D126</f>
        <v>0</v>
      </c>
      <c r="C126" s="13" t="n">
        <f aca="false">'📥 Respostas'!C126</f>
        <v>0</v>
      </c>
      <c r="D126" s="14" t="str">
        <f aca="false">IFERROR(VLOOKUP(TRIM('📥 Respostas'!G126),'⚙️ Config'!$A$4:$B$13,2,0),"")</f>
        <v/>
      </c>
      <c r="E126" s="14" t="str">
        <f aca="false">IFERROR(VLOOKUP(TRIM('📥 Respostas'!H126),'⚙️ Config'!$A$4:$B$13,2,0),"")</f>
        <v/>
      </c>
      <c r="F126" s="14" t="str">
        <f aca="false">IFERROR(VLOOKUP(TRIM('📥 Respostas'!I126),'⚙️ Config'!$A$4:$B$13,2,0),"")</f>
        <v/>
      </c>
      <c r="G126" s="14" t="str">
        <f aca="false">IFERROR(VLOOKUP(TRIM('📥 Respostas'!J126),'⚙️ Config'!$A$4:$B$13,2,0),"")</f>
        <v/>
      </c>
      <c r="H126" s="14" t="str">
        <f aca="false">IFERROR(VLOOKUP(TRIM('📥 Respostas'!K126),'⚙️ Config'!$A$4:$B$13,2,0),"")</f>
        <v/>
      </c>
      <c r="I126" s="14" t="str">
        <f aca="false">IFERROR(VLOOKUP(TRIM('📥 Respostas'!L126),'⚙️ Config'!$A$4:$B$13,2,0),"")</f>
        <v/>
      </c>
      <c r="J126" s="14" t="str">
        <f aca="false">IFERROR(VLOOKUP(TRIM('📥 Respostas'!M126),'⚙️ Config'!$A$4:$B$13,2,0),"")</f>
        <v/>
      </c>
      <c r="K126" s="14" t="str">
        <f aca="false">IFERROR(VLOOKUP(TRIM('📥 Respostas'!N126),'⚙️ Config'!$A$4:$B$13,2,0),"")</f>
        <v/>
      </c>
      <c r="L126" s="14" t="str">
        <f aca="false">IFERROR(VLOOKUP(TRIM('📥 Respostas'!O126),'⚙️ Config'!$A$4:$B$13,2,0),"")</f>
        <v/>
      </c>
      <c r="M126" s="14" t="str">
        <f aca="false">IFERROR(VLOOKUP(TRIM('📥 Respostas'!P126),'⚙️ Config'!$A$4:$B$13,2,0),"")</f>
        <v/>
      </c>
      <c r="N126" s="14" t="str">
        <f aca="false">IFERROR(VLOOKUP(TRIM('📥 Respostas'!Q126),'⚙️ Config'!$A$4:$B$13,2,0),"")</f>
        <v/>
      </c>
      <c r="O126" s="14" t="str">
        <f aca="false">IFERROR(VLOOKUP(TRIM('📥 Respostas'!R126),'⚙️ Config'!$A$4:$B$13,2,0),"")</f>
        <v/>
      </c>
      <c r="P126" s="14" t="str">
        <f aca="false">IFERROR(VLOOKUP(TRIM('📥 Respostas'!S126),'⚙️ Config'!$A$4:$B$13,2,0),"")</f>
        <v/>
      </c>
      <c r="Q126" s="14" t="str">
        <f aca="false">IFERROR(VLOOKUP(TRIM('📥 Respostas'!T126),'⚙️ Config'!$A$4:$B$13,2,0),"")</f>
        <v/>
      </c>
      <c r="R126" s="14" t="str">
        <f aca="false">IFERROR(VLOOKUP(TRIM('📥 Respostas'!U126),'⚙️ Config'!$A$4:$B$13,2,0),"")</f>
        <v/>
      </c>
      <c r="S126" s="14" t="str">
        <f aca="false">IFERROR(VLOOKUP(TRIM('📥 Respostas'!V126),'⚙️ Config'!$A$4:$B$13,2,0),"")</f>
        <v/>
      </c>
      <c r="T126" s="14" t="str">
        <f aca="false">IFERROR(VLOOKUP(TRIM('📥 Respostas'!W126),'⚙️ Config'!$A$4:$B$13,2,0),"")</f>
        <v/>
      </c>
      <c r="U126" s="14" t="str">
        <f aca="false">IFERROR(VLOOKUP(TRIM('📥 Respostas'!X126),'⚙️ Config'!$A$4:$B$13,2,0),"")</f>
        <v/>
      </c>
      <c r="V126" s="14" t="str">
        <f aca="false">IFERROR(VLOOKUP(TRIM('📥 Respostas'!Y126),'⚙️ Config'!$A$4:$B$13,2,0),"")</f>
        <v/>
      </c>
      <c r="W126" s="14" t="str">
        <f aca="false">IFERROR(VLOOKUP(TRIM('📥 Respostas'!Z126),'⚙️ Config'!$A$4:$B$13,2,0),"")</f>
        <v/>
      </c>
      <c r="X126" s="14" t="str">
        <f aca="false">IFERROR(VLOOKUP(TRIM('📥 Respostas'!AA126),'⚙️ Config'!$A$4:$B$13,2,0),"")</f>
        <v/>
      </c>
      <c r="Y126" s="14" t="str">
        <f aca="false">IFERROR(VLOOKUP(TRIM('📥 Respostas'!AB126),'⚙️ Config'!$A$4:$B$13,2,0),"")</f>
        <v/>
      </c>
      <c r="Z126" s="14" t="str">
        <f aca="false">IFERROR(VLOOKUP(TRIM('📥 Respostas'!AC126),'⚙️ Config'!$A$4:$B$13,2,0),"")</f>
        <v/>
      </c>
      <c r="AA126" s="14" t="str">
        <f aca="false">IFERROR(VLOOKUP(TRIM('📥 Respostas'!AD126),'⚙️ Config'!$A$4:$B$13,2,0),"")</f>
        <v/>
      </c>
      <c r="AB126" s="14" t="str">
        <f aca="false">IFERROR(VLOOKUP(TRIM('📥 Respostas'!AE126),'⚙️ Config'!$A$4:$B$13,2,0),"")</f>
        <v/>
      </c>
      <c r="AC126" s="14" t="str">
        <f aca="false">IFERROR(VLOOKUP(TRIM('📥 Respostas'!AF126),'⚙️ Config'!$A$4:$B$13,2,0),"")</f>
        <v/>
      </c>
      <c r="AD126" s="14" t="str">
        <f aca="false">IFERROR(VLOOKUP(TRIM('📥 Respostas'!AG126),'⚙️ Config'!$A$4:$B$13,2,0),"")</f>
        <v/>
      </c>
      <c r="AE126" s="14" t="str">
        <f aca="false">IFERROR(VLOOKUP(TRIM('📥 Respostas'!AH126),'⚙️ Config'!$A$4:$B$13,2,0),"")</f>
        <v/>
      </c>
      <c r="AF126" s="14" t="str">
        <f aca="false">IFERROR(VLOOKUP(TRIM('📥 Respostas'!AI126),'⚙️ Config'!$C$4:$D$11,2,0),"")</f>
        <v/>
      </c>
      <c r="AG126" s="14" t="str">
        <f aca="false">IFERROR(VLOOKUP(TRIM('📥 Respostas'!AJ126),'⚙️ Config'!$A$4:$B$13,2,0),"")</f>
        <v/>
      </c>
      <c r="AH126" s="14" t="str">
        <f aca="false">IFERROR(VLOOKUP(TRIM('📥 Respostas'!AK126),'⚙️ Config'!$A$4:$B$13,2,0),"")</f>
        <v/>
      </c>
      <c r="AI126" s="14" t="str">
        <f aca="false">IFERROR(VLOOKUP(TRIM('📥 Respostas'!AL126),'⚙️ Config'!$A$4:$B$13,2,0),"")</f>
        <v/>
      </c>
      <c r="AJ126" s="14" t="str">
        <f aca="false">IFERROR(VLOOKUP(TRIM('📥 Respostas'!AM126),'⚙️ Config'!$A$4:$B$13,2,0),"")</f>
        <v/>
      </c>
      <c r="AK126" s="14" t="str">
        <f aca="false">IFERROR(VLOOKUP(TRIM('📥 Respostas'!AN126),'⚙️ Config'!$A$4:$B$13,2,0),"")</f>
        <v/>
      </c>
      <c r="AL126" s="14" t="str">
        <f aca="false">IFERROR(VLOOKUP(TRIM('📥 Respostas'!AO126),'⚙️ Config'!$A$4:$B$13,2,0),"")</f>
        <v/>
      </c>
      <c r="AM126" s="14" t="str">
        <f aca="false">IFERROR(VLOOKUP(TRIM('📥 Respostas'!AP126),'⚙️ Config'!$A$4:$B$13,2,0),"")</f>
        <v/>
      </c>
      <c r="AN126" s="14" t="str">
        <f aca="false">IFERROR(VLOOKUP(TRIM('📥 Respostas'!AQ126),'⚙️ Config'!$A$4:$B$13,2,0),"")</f>
        <v/>
      </c>
      <c r="AO126" s="14" t="str">
        <f aca="false">IFERROR(VLOOKUP(TRIM('📥 Respostas'!AR126),'⚙️ Config'!$A$4:$B$13,2,0),"")</f>
        <v/>
      </c>
      <c r="AP126" s="14" t="str">
        <f aca="false">IFERROR(VLOOKUP(TRIM('📥 Respostas'!AS126),'⚙️ Config'!$A$4:$B$13,2,0),"")</f>
        <v/>
      </c>
      <c r="AQ126" s="14" t="str">
        <f aca="false">IFERROR(VLOOKUP(TRIM('📥 Respostas'!AT126),'⚙️ Config'!$A$4:$B$13,2,0),"")</f>
        <v/>
      </c>
      <c r="AR126" s="14" t="str">
        <f aca="false">IFERROR(VLOOKUP(TRIM('📥 Respostas'!AU126),'⚙️ Config'!$A$4:$B$13,2,0),"")</f>
        <v/>
      </c>
    </row>
    <row r="127" customFormat="false" ht="15" hidden="false" customHeight="false" outlineLevel="0" collapsed="false">
      <c r="A127" s="15" t="str">
        <f aca="false">IF(ISBLANK('📥 Respostas'!D127),"",ROW()-3)</f>
        <v/>
      </c>
      <c r="B127" s="15" t="n">
        <f aca="false">'📥 Respostas'!D127</f>
        <v>0</v>
      </c>
      <c r="C127" s="5" t="n">
        <f aca="false">'📥 Respostas'!C127</f>
        <v>0</v>
      </c>
      <c r="D127" s="14" t="str">
        <f aca="false">IFERROR(VLOOKUP(TRIM('📥 Respostas'!G127),'⚙️ Config'!$A$4:$B$13,2,0),"")</f>
        <v/>
      </c>
      <c r="E127" s="14" t="str">
        <f aca="false">IFERROR(VLOOKUP(TRIM('📥 Respostas'!H127),'⚙️ Config'!$A$4:$B$13,2,0),"")</f>
        <v/>
      </c>
      <c r="F127" s="14" t="str">
        <f aca="false">IFERROR(VLOOKUP(TRIM('📥 Respostas'!I127),'⚙️ Config'!$A$4:$B$13,2,0),"")</f>
        <v/>
      </c>
      <c r="G127" s="14" t="str">
        <f aca="false">IFERROR(VLOOKUP(TRIM('📥 Respostas'!J127),'⚙️ Config'!$A$4:$B$13,2,0),"")</f>
        <v/>
      </c>
      <c r="H127" s="14" t="str">
        <f aca="false">IFERROR(VLOOKUP(TRIM('📥 Respostas'!K127),'⚙️ Config'!$A$4:$B$13,2,0),"")</f>
        <v/>
      </c>
      <c r="I127" s="14" t="str">
        <f aca="false">IFERROR(VLOOKUP(TRIM('📥 Respostas'!L127),'⚙️ Config'!$A$4:$B$13,2,0),"")</f>
        <v/>
      </c>
      <c r="J127" s="14" t="str">
        <f aca="false">IFERROR(VLOOKUP(TRIM('📥 Respostas'!M127),'⚙️ Config'!$A$4:$B$13,2,0),"")</f>
        <v/>
      </c>
      <c r="K127" s="14" t="str">
        <f aca="false">IFERROR(VLOOKUP(TRIM('📥 Respostas'!N127),'⚙️ Config'!$A$4:$B$13,2,0),"")</f>
        <v/>
      </c>
      <c r="L127" s="14" t="str">
        <f aca="false">IFERROR(VLOOKUP(TRIM('📥 Respostas'!O127),'⚙️ Config'!$A$4:$B$13,2,0),"")</f>
        <v/>
      </c>
      <c r="M127" s="14" t="str">
        <f aca="false">IFERROR(VLOOKUP(TRIM('📥 Respostas'!P127),'⚙️ Config'!$A$4:$B$13,2,0),"")</f>
        <v/>
      </c>
      <c r="N127" s="14" t="str">
        <f aca="false">IFERROR(VLOOKUP(TRIM('📥 Respostas'!Q127),'⚙️ Config'!$A$4:$B$13,2,0),"")</f>
        <v/>
      </c>
      <c r="O127" s="14" t="str">
        <f aca="false">IFERROR(VLOOKUP(TRIM('📥 Respostas'!R127),'⚙️ Config'!$A$4:$B$13,2,0),"")</f>
        <v/>
      </c>
      <c r="P127" s="14" t="str">
        <f aca="false">IFERROR(VLOOKUP(TRIM('📥 Respostas'!S127),'⚙️ Config'!$A$4:$B$13,2,0),"")</f>
        <v/>
      </c>
      <c r="Q127" s="14" t="str">
        <f aca="false">IFERROR(VLOOKUP(TRIM('📥 Respostas'!T127),'⚙️ Config'!$A$4:$B$13,2,0),"")</f>
        <v/>
      </c>
      <c r="R127" s="14" t="str">
        <f aca="false">IFERROR(VLOOKUP(TRIM('📥 Respostas'!U127),'⚙️ Config'!$A$4:$B$13,2,0),"")</f>
        <v/>
      </c>
      <c r="S127" s="14" t="str">
        <f aca="false">IFERROR(VLOOKUP(TRIM('📥 Respostas'!V127),'⚙️ Config'!$A$4:$B$13,2,0),"")</f>
        <v/>
      </c>
      <c r="T127" s="14" t="str">
        <f aca="false">IFERROR(VLOOKUP(TRIM('📥 Respostas'!W127),'⚙️ Config'!$A$4:$B$13,2,0),"")</f>
        <v/>
      </c>
      <c r="U127" s="14" t="str">
        <f aca="false">IFERROR(VLOOKUP(TRIM('📥 Respostas'!X127),'⚙️ Config'!$A$4:$B$13,2,0),"")</f>
        <v/>
      </c>
      <c r="V127" s="14" t="str">
        <f aca="false">IFERROR(VLOOKUP(TRIM('📥 Respostas'!Y127),'⚙️ Config'!$A$4:$B$13,2,0),"")</f>
        <v/>
      </c>
      <c r="W127" s="14" t="str">
        <f aca="false">IFERROR(VLOOKUP(TRIM('📥 Respostas'!Z127),'⚙️ Config'!$A$4:$B$13,2,0),"")</f>
        <v/>
      </c>
      <c r="X127" s="14" t="str">
        <f aca="false">IFERROR(VLOOKUP(TRIM('📥 Respostas'!AA127),'⚙️ Config'!$A$4:$B$13,2,0),"")</f>
        <v/>
      </c>
      <c r="Y127" s="14" t="str">
        <f aca="false">IFERROR(VLOOKUP(TRIM('📥 Respostas'!AB127),'⚙️ Config'!$A$4:$B$13,2,0),"")</f>
        <v/>
      </c>
      <c r="Z127" s="14" t="str">
        <f aca="false">IFERROR(VLOOKUP(TRIM('📥 Respostas'!AC127),'⚙️ Config'!$A$4:$B$13,2,0),"")</f>
        <v/>
      </c>
      <c r="AA127" s="14" t="str">
        <f aca="false">IFERROR(VLOOKUP(TRIM('📥 Respostas'!AD127),'⚙️ Config'!$A$4:$B$13,2,0),"")</f>
        <v/>
      </c>
      <c r="AB127" s="14" t="str">
        <f aca="false">IFERROR(VLOOKUP(TRIM('📥 Respostas'!AE127),'⚙️ Config'!$A$4:$B$13,2,0),"")</f>
        <v/>
      </c>
      <c r="AC127" s="14" t="str">
        <f aca="false">IFERROR(VLOOKUP(TRIM('📥 Respostas'!AF127),'⚙️ Config'!$A$4:$B$13,2,0),"")</f>
        <v/>
      </c>
      <c r="AD127" s="14" t="str">
        <f aca="false">IFERROR(VLOOKUP(TRIM('📥 Respostas'!AG127),'⚙️ Config'!$A$4:$B$13,2,0),"")</f>
        <v/>
      </c>
      <c r="AE127" s="14" t="str">
        <f aca="false">IFERROR(VLOOKUP(TRIM('📥 Respostas'!AH127),'⚙️ Config'!$A$4:$B$13,2,0),"")</f>
        <v/>
      </c>
      <c r="AF127" s="14" t="str">
        <f aca="false">IFERROR(VLOOKUP(TRIM('📥 Respostas'!AI127),'⚙️ Config'!$C$4:$D$11,2,0),"")</f>
        <v/>
      </c>
      <c r="AG127" s="14" t="str">
        <f aca="false">IFERROR(VLOOKUP(TRIM('📥 Respostas'!AJ127),'⚙️ Config'!$A$4:$B$13,2,0),"")</f>
        <v/>
      </c>
      <c r="AH127" s="14" t="str">
        <f aca="false">IFERROR(VLOOKUP(TRIM('📥 Respostas'!AK127),'⚙️ Config'!$A$4:$B$13,2,0),"")</f>
        <v/>
      </c>
      <c r="AI127" s="14" t="str">
        <f aca="false">IFERROR(VLOOKUP(TRIM('📥 Respostas'!AL127),'⚙️ Config'!$A$4:$B$13,2,0),"")</f>
        <v/>
      </c>
      <c r="AJ127" s="14" t="str">
        <f aca="false">IFERROR(VLOOKUP(TRIM('📥 Respostas'!AM127),'⚙️ Config'!$A$4:$B$13,2,0),"")</f>
        <v/>
      </c>
      <c r="AK127" s="14" t="str">
        <f aca="false">IFERROR(VLOOKUP(TRIM('📥 Respostas'!AN127),'⚙️ Config'!$A$4:$B$13,2,0),"")</f>
        <v/>
      </c>
      <c r="AL127" s="14" t="str">
        <f aca="false">IFERROR(VLOOKUP(TRIM('📥 Respostas'!AO127),'⚙️ Config'!$A$4:$B$13,2,0),"")</f>
        <v/>
      </c>
      <c r="AM127" s="14" t="str">
        <f aca="false">IFERROR(VLOOKUP(TRIM('📥 Respostas'!AP127),'⚙️ Config'!$A$4:$B$13,2,0),"")</f>
        <v/>
      </c>
      <c r="AN127" s="14" t="str">
        <f aca="false">IFERROR(VLOOKUP(TRIM('📥 Respostas'!AQ127),'⚙️ Config'!$A$4:$B$13,2,0),"")</f>
        <v/>
      </c>
      <c r="AO127" s="14" t="str">
        <f aca="false">IFERROR(VLOOKUP(TRIM('📥 Respostas'!AR127),'⚙️ Config'!$A$4:$B$13,2,0),"")</f>
        <v/>
      </c>
      <c r="AP127" s="14" t="str">
        <f aca="false">IFERROR(VLOOKUP(TRIM('📥 Respostas'!AS127),'⚙️ Config'!$A$4:$B$13,2,0),"")</f>
        <v/>
      </c>
      <c r="AQ127" s="14" t="str">
        <f aca="false">IFERROR(VLOOKUP(TRIM('📥 Respostas'!AT127),'⚙️ Config'!$A$4:$B$13,2,0),"")</f>
        <v/>
      </c>
      <c r="AR127" s="14" t="str">
        <f aca="false">IFERROR(VLOOKUP(TRIM('📥 Respostas'!AU127),'⚙️ Config'!$A$4:$B$13,2,0),"")</f>
        <v/>
      </c>
    </row>
    <row r="128" customFormat="false" ht="15" hidden="false" customHeight="false" outlineLevel="0" collapsed="false">
      <c r="A128" s="12" t="str">
        <f aca="false">IF(ISBLANK('📥 Respostas'!D128),"",ROW()-3)</f>
        <v/>
      </c>
      <c r="B128" s="12" t="n">
        <f aca="false">'📥 Respostas'!D128</f>
        <v>0</v>
      </c>
      <c r="C128" s="13" t="n">
        <f aca="false">'📥 Respostas'!C128</f>
        <v>0</v>
      </c>
      <c r="D128" s="14" t="str">
        <f aca="false">IFERROR(VLOOKUP(TRIM('📥 Respostas'!G128),'⚙️ Config'!$A$4:$B$13,2,0),"")</f>
        <v/>
      </c>
      <c r="E128" s="14" t="str">
        <f aca="false">IFERROR(VLOOKUP(TRIM('📥 Respostas'!H128),'⚙️ Config'!$A$4:$B$13,2,0),"")</f>
        <v/>
      </c>
      <c r="F128" s="14" t="str">
        <f aca="false">IFERROR(VLOOKUP(TRIM('📥 Respostas'!I128),'⚙️ Config'!$A$4:$B$13,2,0),"")</f>
        <v/>
      </c>
      <c r="G128" s="14" t="str">
        <f aca="false">IFERROR(VLOOKUP(TRIM('📥 Respostas'!J128),'⚙️ Config'!$A$4:$B$13,2,0),"")</f>
        <v/>
      </c>
      <c r="H128" s="14" t="str">
        <f aca="false">IFERROR(VLOOKUP(TRIM('📥 Respostas'!K128),'⚙️ Config'!$A$4:$B$13,2,0),"")</f>
        <v/>
      </c>
      <c r="I128" s="14" t="str">
        <f aca="false">IFERROR(VLOOKUP(TRIM('📥 Respostas'!L128),'⚙️ Config'!$A$4:$B$13,2,0),"")</f>
        <v/>
      </c>
      <c r="J128" s="14" t="str">
        <f aca="false">IFERROR(VLOOKUP(TRIM('📥 Respostas'!M128),'⚙️ Config'!$A$4:$B$13,2,0),"")</f>
        <v/>
      </c>
      <c r="K128" s="14" t="str">
        <f aca="false">IFERROR(VLOOKUP(TRIM('📥 Respostas'!N128),'⚙️ Config'!$A$4:$B$13,2,0),"")</f>
        <v/>
      </c>
      <c r="L128" s="14" t="str">
        <f aca="false">IFERROR(VLOOKUP(TRIM('📥 Respostas'!O128),'⚙️ Config'!$A$4:$B$13,2,0),"")</f>
        <v/>
      </c>
      <c r="M128" s="14" t="str">
        <f aca="false">IFERROR(VLOOKUP(TRIM('📥 Respostas'!P128),'⚙️ Config'!$A$4:$B$13,2,0),"")</f>
        <v/>
      </c>
      <c r="N128" s="14" t="str">
        <f aca="false">IFERROR(VLOOKUP(TRIM('📥 Respostas'!Q128),'⚙️ Config'!$A$4:$B$13,2,0),"")</f>
        <v/>
      </c>
      <c r="O128" s="14" t="str">
        <f aca="false">IFERROR(VLOOKUP(TRIM('📥 Respostas'!R128),'⚙️ Config'!$A$4:$B$13,2,0),"")</f>
        <v/>
      </c>
      <c r="P128" s="14" t="str">
        <f aca="false">IFERROR(VLOOKUP(TRIM('📥 Respostas'!S128),'⚙️ Config'!$A$4:$B$13,2,0),"")</f>
        <v/>
      </c>
      <c r="Q128" s="14" t="str">
        <f aca="false">IFERROR(VLOOKUP(TRIM('📥 Respostas'!T128),'⚙️ Config'!$A$4:$B$13,2,0),"")</f>
        <v/>
      </c>
      <c r="R128" s="14" t="str">
        <f aca="false">IFERROR(VLOOKUP(TRIM('📥 Respostas'!U128),'⚙️ Config'!$A$4:$B$13,2,0),"")</f>
        <v/>
      </c>
      <c r="S128" s="14" t="str">
        <f aca="false">IFERROR(VLOOKUP(TRIM('📥 Respostas'!V128),'⚙️ Config'!$A$4:$B$13,2,0),"")</f>
        <v/>
      </c>
      <c r="T128" s="14" t="str">
        <f aca="false">IFERROR(VLOOKUP(TRIM('📥 Respostas'!W128),'⚙️ Config'!$A$4:$B$13,2,0),"")</f>
        <v/>
      </c>
      <c r="U128" s="14" t="str">
        <f aca="false">IFERROR(VLOOKUP(TRIM('📥 Respostas'!X128),'⚙️ Config'!$A$4:$B$13,2,0),"")</f>
        <v/>
      </c>
      <c r="V128" s="14" t="str">
        <f aca="false">IFERROR(VLOOKUP(TRIM('📥 Respostas'!Y128),'⚙️ Config'!$A$4:$B$13,2,0),"")</f>
        <v/>
      </c>
      <c r="W128" s="14" t="str">
        <f aca="false">IFERROR(VLOOKUP(TRIM('📥 Respostas'!Z128),'⚙️ Config'!$A$4:$B$13,2,0),"")</f>
        <v/>
      </c>
      <c r="X128" s="14" t="str">
        <f aca="false">IFERROR(VLOOKUP(TRIM('📥 Respostas'!AA128),'⚙️ Config'!$A$4:$B$13,2,0),"")</f>
        <v/>
      </c>
      <c r="Y128" s="14" t="str">
        <f aca="false">IFERROR(VLOOKUP(TRIM('📥 Respostas'!AB128),'⚙️ Config'!$A$4:$B$13,2,0),"")</f>
        <v/>
      </c>
      <c r="Z128" s="14" t="str">
        <f aca="false">IFERROR(VLOOKUP(TRIM('📥 Respostas'!AC128),'⚙️ Config'!$A$4:$B$13,2,0),"")</f>
        <v/>
      </c>
      <c r="AA128" s="14" t="str">
        <f aca="false">IFERROR(VLOOKUP(TRIM('📥 Respostas'!AD128),'⚙️ Config'!$A$4:$B$13,2,0),"")</f>
        <v/>
      </c>
      <c r="AB128" s="14" t="str">
        <f aca="false">IFERROR(VLOOKUP(TRIM('📥 Respostas'!AE128),'⚙️ Config'!$A$4:$B$13,2,0),"")</f>
        <v/>
      </c>
      <c r="AC128" s="14" t="str">
        <f aca="false">IFERROR(VLOOKUP(TRIM('📥 Respostas'!AF128),'⚙️ Config'!$A$4:$B$13,2,0),"")</f>
        <v/>
      </c>
      <c r="AD128" s="14" t="str">
        <f aca="false">IFERROR(VLOOKUP(TRIM('📥 Respostas'!AG128),'⚙️ Config'!$A$4:$B$13,2,0),"")</f>
        <v/>
      </c>
      <c r="AE128" s="14" t="str">
        <f aca="false">IFERROR(VLOOKUP(TRIM('📥 Respostas'!AH128),'⚙️ Config'!$A$4:$B$13,2,0),"")</f>
        <v/>
      </c>
      <c r="AF128" s="14" t="str">
        <f aca="false">IFERROR(VLOOKUP(TRIM('📥 Respostas'!AI128),'⚙️ Config'!$C$4:$D$11,2,0),"")</f>
        <v/>
      </c>
      <c r="AG128" s="14" t="str">
        <f aca="false">IFERROR(VLOOKUP(TRIM('📥 Respostas'!AJ128),'⚙️ Config'!$A$4:$B$13,2,0),"")</f>
        <v/>
      </c>
      <c r="AH128" s="14" t="str">
        <f aca="false">IFERROR(VLOOKUP(TRIM('📥 Respostas'!AK128),'⚙️ Config'!$A$4:$B$13,2,0),"")</f>
        <v/>
      </c>
      <c r="AI128" s="14" t="str">
        <f aca="false">IFERROR(VLOOKUP(TRIM('📥 Respostas'!AL128),'⚙️ Config'!$A$4:$B$13,2,0),"")</f>
        <v/>
      </c>
      <c r="AJ128" s="14" t="str">
        <f aca="false">IFERROR(VLOOKUP(TRIM('📥 Respostas'!AM128),'⚙️ Config'!$A$4:$B$13,2,0),"")</f>
        <v/>
      </c>
      <c r="AK128" s="14" t="str">
        <f aca="false">IFERROR(VLOOKUP(TRIM('📥 Respostas'!AN128),'⚙️ Config'!$A$4:$B$13,2,0),"")</f>
        <v/>
      </c>
      <c r="AL128" s="14" t="str">
        <f aca="false">IFERROR(VLOOKUP(TRIM('📥 Respostas'!AO128),'⚙️ Config'!$A$4:$B$13,2,0),"")</f>
        <v/>
      </c>
      <c r="AM128" s="14" t="str">
        <f aca="false">IFERROR(VLOOKUP(TRIM('📥 Respostas'!AP128),'⚙️ Config'!$A$4:$B$13,2,0),"")</f>
        <v/>
      </c>
      <c r="AN128" s="14" t="str">
        <f aca="false">IFERROR(VLOOKUP(TRIM('📥 Respostas'!AQ128),'⚙️ Config'!$A$4:$B$13,2,0),"")</f>
        <v/>
      </c>
      <c r="AO128" s="14" t="str">
        <f aca="false">IFERROR(VLOOKUP(TRIM('📥 Respostas'!AR128),'⚙️ Config'!$A$4:$B$13,2,0),"")</f>
        <v/>
      </c>
      <c r="AP128" s="14" t="str">
        <f aca="false">IFERROR(VLOOKUP(TRIM('📥 Respostas'!AS128),'⚙️ Config'!$A$4:$B$13,2,0),"")</f>
        <v/>
      </c>
      <c r="AQ128" s="14" t="str">
        <f aca="false">IFERROR(VLOOKUP(TRIM('📥 Respostas'!AT128),'⚙️ Config'!$A$4:$B$13,2,0),"")</f>
        <v/>
      </c>
      <c r="AR128" s="14" t="str">
        <f aca="false">IFERROR(VLOOKUP(TRIM('📥 Respostas'!AU128),'⚙️ Config'!$A$4:$B$13,2,0),"")</f>
        <v/>
      </c>
    </row>
    <row r="129" customFormat="false" ht="15" hidden="false" customHeight="false" outlineLevel="0" collapsed="false">
      <c r="A129" s="15" t="str">
        <f aca="false">IF(ISBLANK('📥 Respostas'!D129),"",ROW()-3)</f>
        <v/>
      </c>
      <c r="B129" s="15" t="n">
        <f aca="false">'📥 Respostas'!D129</f>
        <v>0</v>
      </c>
      <c r="C129" s="5" t="n">
        <f aca="false">'📥 Respostas'!C129</f>
        <v>0</v>
      </c>
      <c r="D129" s="14" t="str">
        <f aca="false">IFERROR(VLOOKUP(TRIM('📥 Respostas'!G129),'⚙️ Config'!$A$4:$B$13,2,0),"")</f>
        <v/>
      </c>
      <c r="E129" s="14" t="str">
        <f aca="false">IFERROR(VLOOKUP(TRIM('📥 Respostas'!H129),'⚙️ Config'!$A$4:$B$13,2,0),"")</f>
        <v/>
      </c>
      <c r="F129" s="14" t="str">
        <f aca="false">IFERROR(VLOOKUP(TRIM('📥 Respostas'!I129),'⚙️ Config'!$A$4:$B$13,2,0),"")</f>
        <v/>
      </c>
      <c r="G129" s="14" t="str">
        <f aca="false">IFERROR(VLOOKUP(TRIM('📥 Respostas'!J129),'⚙️ Config'!$A$4:$B$13,2,0),"")</f>
        <v/>
      </c>
      <c r="H129" s="14" t="str">
        <f aca="false">IFERROR(VLOOKUP(TRIM('📥 Respostas'!K129),'⚙️ Config'!$A$4:$B$13,2,0),"")</f>
        <v/>
      </c>
      <c r="I129" s="14" t="str">
        <f aca="false">IFERROR(VLOOKUP(TRIM('📥 Respostas'!L129),'⚙️ Config'!$A$4:$B$13,2,0),"")</f>
        <v/>
      </c>
      <c r="J129" s="14" t="str">
        <f aca="false">IFERROR(VLOOKUP(TRIM('📥 Respostas'!M129),'⚙️ Config'!$A$4:$B$13,2,0),"")</f>
        <v/>
      </c>
      <c r="K129" s="14" t="str">
        <f aca="false">IFERROR(VLOOKUP(TRIM('📥 Respostas'!N129),'⚙️ Config'!$A$4:$B$13,2,0),"")</f>
        <v/>
      </c>
      <c r="L129" s="14" t="str">
        <f aca="false">IFERROR(VLOOKUP(TRIM('📥 Respostas'!O129),'⚙️ Config'!$A$4:$B$13,2,0),"")</f>
        <v/>
      </c>
      <c r="M129" s="14" t="str">
        <f aca="false">IFERROR(VLOOKUP(TRIM('📥 Respostas'!P129),'⚙️ Config'!$A$4:$B$13,2,0),"")</f>
        <v/>
      </c>
      <c r="N129" s="14" t="str">
        <f aca="false">IFERROR(VLOOKUP(TRIM('📥 Respostas'!Q129),'⚙️ Config'!$A$4:$B$13,2,0),"")</f>
        <v/>
      </c>
      <c r="O129" s="14" t="str">
        <f aca="false">IFERROR(VLOOKUP(TRIM('📥 Respostas'!R129),'⚙️ Config'!$A$4:$B$13,2,0),"")</f>
        <v/>
      </c>
      <c r="P129" s="14" t="str">
        <f aca="false">IFERROR(VLOOKUP(TRIM('📥 Respostas'!S129),'⚙️ Config'!$A$4:$B$13,2,0),"")</f>
        <v/>
      </c>
      <c r="Q129" s="14" t="str">
        <f aca="false">IFERROR(VLOOKUP(TRIM('📥 Respostas'!T129),'⚙️ Config'!$A$4:$B$13,2,0),"")</f>
        <v/>
      </c>
      <c r="R129" s="14" t="str">
        <f aca="false">IFERROR(VLOOKUP(TRIM('📥 Respostas'!U129),'⚙️ Config'!$A$4:$B$13,2,0),"")</f>
        <v/>
      </c>
      <c r="S129" s="14" t="str">
        <f aca="false">IFERROR(VLOOKUP(TRIM('📥 Respostas'!V129),'⚙️ Config'!$A$4:$B$13,2,0),"")</f>
        <v/>
      </c>
      <c r="T129" s="14" t="str">
        <f aca="false">IFERROR(VLOOKUP(TRIM('📥 Respostas'!W129),'⚙️ Config'!$A$4:$B$13,2,0),"")</f>
        <v/>
      </c>
      <c r="U129" s="14" t="str">
        <f aca="false">IFERROR(VLOOKUP(TRIM('📥 Respostas'!X129),'⚙️ Config'!$A$4:$B$13,2,0),"")</f>
        <v/>
      </c>
      <c r="V129" s="14" t="str">
        <f aca="false">IFERROR(VLOOKUP(TRIM('📥 Respostas'!Y129),'⚙️ Config'!$A$4:$B$13,2,0),"")</f>
        <v/>
      </c>
      <c r="W129" s="14" t="str">
        <f aca="false">IFERROR(VLOOKUP(TRIM('📥 Respostas'!Z129),'⚙️ Config'!$A$4:$B$13,2,0),"")</f>
        <v/>
      </c>
      <c r="X129" s="14" t="str">
        <f aca="false">IFERROR(VLOOKUP(TRIM('📥 Respostas'!AA129),'⚙️ Config'!$A$4:$B$13,2,0),"")</f>
        <v/>
      </c>
      <c r="Y129" s="14" t="str">
        <f aca="false">IFERROR(VLOOKUP(TRIM('📥 Respostas'!AB129),'⚙️ Config'!$A$4:$B$13,2,0),"")</f>
        <v/>
      </c>
      <c r="Z129" s="14" t="str">
        <f aca="false">IFERROR(VLOOKUP(TRIM('📥 Respostas'!AC129),'⚙️ Config'!$A$4:$B$13,2,0),"")</f>
        <v/>
      </c>
      <c r="AA129" s="14" t="str">
        <f aca="false">IFERROR(VLOOKUP(TRIM('📥 Respostas'!AD129),'⚙️ Config'!$A$4:$B$13,2,0),"")</f>
        <v/>
      </c>
      <c r="AB129" s="14" t="str">
        <f aca="false">IFERROR(VLOOKUP(TRIM('📥 Respostas'!AE129),'⚙️ Config'!$A$4:$B$13,2,0),"")</f>
        <v/>
      </c>
      <c r="AC129" s="14" t="str">
        <f aca="false">IFERROR(VLOOKUP(TRIM('📥 Respostas'!AF129),'⚙️ Config'!$A$4:$B$13,2,0),"")</f>
        <v/>
      </c>
      <c r="AD129" s="14" t="str">
        <f aca="false">IFERROR(VLOOKUP(TRIM('📥 Respostas'!AG129),'⚙️ Config'!$A$4:$B$13,2,0),"")</f>
        <v/>
      </c>
      <c r="AE129" s="14" t="str">
        <f aca="false">IFERROR(VLOOKUP(TRIM('📥 Respostas'!AH129),'⚙️ Config'!$A$4:$B$13,2,0),"")</f>
        <v/>
      </c>
      <c r="AF129" s="14" t="str">
        <f aca="false">IFERROR(VLOOKUP(TRIM('📥 Respostas'!AI129),'⚙️ Config'!$C$4:$D$11,2,0),"")</f>
        <v/>
      </c>
      <c r="AG129" s="14" t="str">
        <f aca="false">IFERROR(VLOOKUP(TRIM('📥 Respostas'!AJ129),'⚙️ Config'!$A$4:$B$13,2,0),"")</f>
        <v/>
      </c>
      <c r="AH129" s="14" t="str">
        <f aca="false">IFERROR(VLOOKUP(TRIM('📥 Respostas'!AK129),'⚙️ Config'!$A$4:$B$13,2,0),"")</f>
        <v/>
      </c>
      <c r="AI129" s="14" t="str">
        <f aca="false">IFERROR(VLOOKUP(TRIM('📥 Respostas'!AL129),'⚙️ Config'!$A$4:$B$13,2,0),"")</f>
        <v/>
      </c>
      <c r="AJ129" s="14" t="str">
        <f aca="false">IFERROR(VLOOKUP(TRIM('📥 Respostas'!AM129),'⚙️ Config'!$A$4:$B$13,2,0),"")</f>
        <v/>
      </c>
      <c r="AK129" s="14" t="str">
        <f aca="false">IFERROR(VLOOKUP(TRIM('📥 Respostas'!AN129),'⚙️ Config'!$A$4:$B$13,2,0),"")</f>
        <v/>
      </c>
      <c r="AL129" s="14" t="str">
        <f aca="false">IFERROR(VLOOKUP(TRIM('📥 Respostas'!AO129),'⚙️ Config'!$A$4:$B$13,2,0),"")</f>
        <v/>
      </c>
      <c r="AM129" s="14" t="str">
        <f aca="false">IFERROR(VLOOKUP(TRIM('📥 Respostas'!AP129),'⚙️ Config'!$A$4:$B$13,2,0),"")</f>
        <v/>
      </c>
      <c r="AN129" s="14" t="str">
        <f aca="false">IFERROR(VLOOKUP(TRIM('📥 Respostas'!AQ129),'⚙️ Config'!$A$4:$B$13,2,0),"")</f>
        <v/>
      </c>
      <c r="AO129" s="14" t="str">
        <f aca="false">IFERROR(VLOOKUP(TRIM('📥 Respostas'!AR129),'⚙️ Config'!$A$4:$B$13,2,0),"")</f>
        <v/>
      </c>
      <c r="AP129" s="14" t="str">
        <f aca="false">IFERROR(VLOOKUP(TRIM('📥 Respostas'!AS129),'⚙️ Config'!$A$4:$B$13,2,0),"")</f>
        <v/>
      </c>
      <c r="AQ129" s="14" t="str">
        <f aca="false">IFERROR(VLOOKUP(TRIM('📥 Respostas'!AT129),'⚙️ Config'!$A$4:$B$13,2,0),"")</f>
        <v/>
      </c>
      <c r="AR129" s="14" t="str">
        <f aca="false">IFERROR(VLOOKUP(TRIM('📥 Respostas'!AU129),'⚙️ Config'!$A$4:$B$13,2,0),"")</f>
        <v/>
      </c>
    </row>
    <row r="130" customFormat="false" ht="15" hidden="false" customHeight="false" outlineLevel="0" collapsed="false">
      <c r="A130" s="12" t="str">
        <f aca="false">IF(ISBLANK('📥 Respostas'!D130),"",ROW()-3)</f>
        <v/>
      </c>
      <c r="B130" s="12" t="n">
        <f aca="false">'📥 Respostas'!D130</f>
        <v>0</v>
      </c>
      <c r="C130" s="13" t="n">
        <f aca="false">'📥 Respostas'!C130</f>
        <v>0</v>
      </c>
      <c r="D130" s="14" t="str">
        <f aca="false">IFERROR(VLOOKUP(TRIM('📥 Respostas'!G130),'⚙️ Config'!$A$4:$B$13,2,0),"")</f>
        <v/>
      </c>
      <c r="E130" s="14" t="str">
        <f aca="false">IFERROR(VLOOKUP(TRIM('📥 Respostas'!H130),'⚙️ Config'!$A$4:$B$13,2,0),"")</f>
        <v/>
      </c>
      <c r="F130" s="14" t="str">
        <f aca="false">IFERROR(VLOOKUP(TRIM('📥 Respostas'!I130),'⚙️ Config'!$A$4:$B$13,2,0),"")</f>
        <v/>
      </c>
      <c r="G130" s="14" t="str">
        <f aca="false">IFERROR(VLOOKUP(TRIM('📥 Respostas'!J130),'⚙️ Config'!$A$4:$B$13,2,0),"")</f>
        <v/>
      </c>
      <c r="H130" s="14" t="str">
        <f aca="false">IFERROR(VLOOKUP(TRIM('📥 Respostas'!K130),'⚙️ Config'!$A$4:$B$13,2,0),"")</f>
        <v/>
      </c>
      <c r="I130" s="14" t="str">
        <f aca="false">IFERROR(VLOOKUP(TRIM('📥 Respostas'!L130),'⚙️ Config'!$A$4:$B$13,2,0),"")</f>
        <v/>
      </c>
      <c r="J130" s="14" t="str">
        <f aca="false">IFERROR(VLOOKUP(TRIM('📥 Respostas'!M130),'⚙️ Config'!$A$4:$B$13,2,0),"")</f>
        <v/>
      </c>
      <c r="K130" s="14" t="str">
        <f aca="false">IFERROR(VLOOKUP(TRIM('📥 Respostas'!N130),'⚙️ Config'!$A$4:$B$13,2,0),"")</f>
        <v/>
      </c>
      <c r="L130" s="14" t="str">
        <f aca="false">IFERROR(VLOOKUP(TRIM('📥 Respostas'!O130),'⚙️ Config'!$A$4:$B$13,2,0),"")</f>
        <v/>
      </c>
      <c r="M130" s="14" t="str">
        <f aca="false">IFERROR(VLOOKUP(TRIM('📥 Respostas'!P130),'⚙️ Config'!$A$4:$B$13,2,0),"")</f>
        <v/>
      </c>
      <c r="N130" s="14" t="str">
        <f aca="false">IFERROR(VLOOKUP(TRIM('📥 Respostas'!Q130),'⚙️ Config'!$A$4:$B$13,2,0),"")</f>
        <v/>
      </c>
      <c r="O130" s="14" t="str">
        <f aca="false">IFERROR(VLOOKUP(TRIM('📥 Respostas'!R130),'⚙️ Config'!$A$4:$B$13,2,0),"")</f>
        <v/>
      </c>
      <c r="P130" s="14" t="str">
        <f aca="false">IFERROR(VLOOKUP(TRIM('📥 Respostas'!S130),'⚙️ Config'!$A$4:$B$13,2,0),"")</f>
        <v/>
      </c>
      <c r="Q130" s="14" t="str">
        <f aca="false">IFERROR(VLOOKUP(TRIM('📥 Respostas'!T130),'⚙️ Config'!$A$4:$B$13,2,0),"")</f>
        <v/>
      </c>
      <c r="R130" s="14" t="str">
        <f aca="false">IFERROR(VLOOKUP(TRIM('📥 Respostas'!U130),'⚙️ Config'!$A$4:$B$13,2,0),"")</f>
        <v/>
      </c>
      <c r="S130" s="14" t="str">
        <f aca="false">IFERROR(VLOOKUP(TRIM('📥 Respostas'!V130),'⚙️ Config'!$A$4:$B$13,2,0),"")</f>
        <v/>
      </c>
      <c r="T130" s="14" t="str">
        <f aca="false">IFERROR(VLOOKUP(TRIM('📥 Respostas'!W130),'⚙️ Config'!$A$4:$B$13,2,0),"")</f>
        <v/>
      </c>
      <c r="U130" s="14" t="str">
        <f aca="false">IFERROR(VLOOKUP(TRIM('📥 Respostas'!X130),'⚙️ Config'!$A$4:$B$13,2,0),"")</f>
        <v/>
      </c>
      <c r="V130" s="14" t="str">
        <f aca="false">IFERROR(VLOOKUP(TRIM('📥 Respostas'!Y130),'⚙️ Config'!$A$4:$B$13,2,0),"")</f>
        <v/>
      </c>
      <c r="W130" s="14" t="str">
        <f aca="false">IFERROR(VLOOKUP(TRIM('📥 Respostas'!Z130),'⚙️ Config'!$A$4:$B$13,2,0),"")</f>
        <v/>
      </c>
      <c r="X130" s="14" t="str">
        <f aca="false">IFERROR(VLOOKUP(TRIM('📥 Respostas'!AA130),'⚙️ Config'!$A$4:$B$13,2,0),"")</f>
        <v/>
      </c>
      <c r="Y130" s="14" t="str">
        <f aca="false">IFERROR(VLOOKUP(TRIM('📥 Respostas'!AB130),'⚙️ Config'!$A$4:$B$13,2,0),"")</f>
        <v/>
      </c>
      <c r="Z130" s="14" t="str">
        <f aca="false">IFERROR(VLOOKUP(TRIM('📥 Respostas'!AC130),'⚙️ Config'!$A$4:$B$13,2,0),"")</f>
        <v/>
      </c>
      <c r="AA130" s="14" t="str">
        <f aca="false">IFERROR(VLOOKUP(TRIM('📥 Respostas'!AD130),'⚙️ Config'!$A$4:$B$13,2,0),"")</f>
        <v/>
      </c>
      <c r="AB130" s="14" t="str">
        <f aca="false">IFERROR(VLOOKUP(TRIM('📥 Respostas'!AE130),'⚙️ Config'!$A$4:$B$13,2,0),"")</f>
        <v/>
      </c>
      <c r="AC130" s="14" t="str">
        <f aca="false">IFERROR(VLOOKUP(TRIM('📥 Respostas'!AF130),'⚙️ Config'!$A$4:$B$13,2,0),"")</f>
        <v/>
      </c>
      <c r="AD130" s="14" t="str">
        <f aca="false">IFERROR(VLOOKUP(TRIM('📥 Respostas'!AG130),'⚙️ Config'!$A$4:$B$13,2,0),"")</f>
        <v/>
      </c>
      <c r="AE130" s="14" t="str">
        <f aca="false">IFERROR(VLOOKUP(TRIM('📥 Respostas'!AH130),'⚙️ Config'!$A$4:$B$13,2,0),"")</f>
        <v/>
      </c>
      <c r="AF130" s="14" t="str">
        <f aca="false">IFERROR(VLOOKUP(TRIM('📥 Respostas'!AI130),'⚙️ Config'!$C$4:$D$11,2,0),"")</f>
        <v/>
      </c>
      <c r="AG130" s="14" t="str">
        <f aca="false">IFERROR(VLOOKUP(TRIM('📥 Respostas'!AJ130),'⚙️ Config'!$A$4:$B$13,2,0),"")</f>
        <v/>
      </c>
      <c r="AH130" s="14" t="str">
        <f aca="false">IFERROR(VLOOKUP(TRIM('📥 Respostas'!AK130),'⚙️ Config'!$A$4:$B$13,2,0),"")</f>
        <v/>
      </c>
      <c r="AI130" s="14" t="str">
        <f aca="false">IFERROR(VLOOKUP(TRIM('📥 Respostas'!AL130),'⚙️ Config'!$A$4:$B$13,2,0),"")</f>
        <v/>
      </c>
      <c r="AJ130" s="14" t="str">
        <f aca="false">IFERROR(VLOOKUP(TRIM('📥 Respostas'!AM130),'⚙️ Config'!$A$4:$B$13,2,0),"")</f>
        <v/>
      </c>
      <c r="AK130" s="14" t="str">
        <f aca="false">IFERROR(VLOOKUP(TRIM('📥 Respostas'!AN130),'⚙️ Config'!$A$4:$B$13,2,0),"")</f>
        <v/>
      </c>
      <c r="AL130" s="14" t="str">
        <f aca="false">IFERROR(VLOOKUP(TRIM('📥 Respostas'!AO130),'⚙️ Config'!$A$4:$B$13,2,0),"")</f>
        <v/>
      </c>
      <c r="AM130" s="14" t="str">
        <f aca="false">IFERROR(VLOOKUP(TRIM('📥 Respostas'!AP130),'⚙️ Config'!$A$4:$B$13,2,0),"")</f>
        <v/>
      </c>
      <c r="AN130" s="14" t="str">
        <f aca="false">IFERROR(VLOOKUP(TRIM('📥 Respostas'!AQ130),'⚙️ Config'!$A$4:$B$13,2,0),"")</f>
        <v/>
      </c>
      <c r="AO130" s="14" t="str">
        <f aca="false">IFERROR(VLOOKUP(TRIM('📥 Respostas'!AR130),'⚙️ Config'!$A$4:$B$13,2,0),"")</f>
        <v/>
      </c>
      <c r="AP130" s="14" t="str">
        <f aca="false">IFERROR(VLOOKUP(TRIM('📥 Respostas'!AS130),'⚙️ Config'!$A$4:$B$13,2,0),"")</f>
        <v/>
      </c>
      <c r="AQ130" s="14" t="str">
        <f aca="false">IFERROR(VLOOKUP(TRIM('📥 Respostas'!AT130),'⚙️ Config'!$A$4:$B$13,2,0),"")</f>
        <v/>
      </c>
      <c r="AR130" s="14" t="str">
        <f aca="false">IFERROR(VLOOKUP(TRIM('📥 Respostas'!AU130),'⚙️ Config'!$A$4:$B$13,2,0),"")</f>
        <v/>
      </c>
    </row>
    <row r="131" customFormat="false" ht="15" hidden="false" customHeight="false" outlineLevel="0" collapsed="false">
      <c r="A131" s="15" t="str">
        <f aca="false">IF(ISBLANK('📥 Respostas'!D131),"",ROW()-3)</f>
        <v/>
      </c>
      <c r="B131" s="15" t="n">
        <f aca="false">'📥 Respostas'!D131</f>
        <v>0</v>
      </c>
      <c r="C131" s="5" t="n">
        <f aca="false">'📥 Respostas'!C131</f>
        <v>0</v>
      </c>
      <c r="D131" s="14" t="str">
        <f aca="false">IFERROR(VLOOKUP(TRIM('📥 Respostas'!G131),'⚙️ Config'!$A$4:$B$13,2,0),"")</f>
        <v/>
      </c>
      <c r="E131" s="14" t="str">
        <f aca="false">IFERROR(VLOOKUP(TRIM('📥 Respostas'!H131),'⚙️ Config'!$A$4:$B$13,2,0),"")</f>
        <v/>
      </c>
      <c r="F131" s="14" t="str">
        <f aca="false">IFERROR(VLOOKUP(TRIM('📥 Respostas'!I131),'⚙️ Config'!$A$4:$B$13,2,0),"")</f>
        <v/>
      </c>
      <c r="G131" s="14" t="str">
        <f aca="false">IFERROR(VLOOKUP(TRIM('📥 Respostas'!J131),'⚙️ Config'!$A$4:$B$13,2,0),"")</f>
        <v/>
      </c>
      <c r="H131" s="14" t="str">
        <f aca="false">IFERROR(VLOOKUP(TRIM('📥 Respostas'!K131),'⚙️ Config'!$A$4:$B$13,2,0),"")</f>
        <v/>
      </c>
      <c r="I131" s="14" t="str">
        <f aca="false">IFERROR(VLOOKUP(TRIM('📥 Respostas'!L131),'⚙️ Config'!$A$4:$B$13,2,0),"")</f>
        <v/>
      </c>
      <c r="J131" s="14" t="str">
        <f aca="false">IFERROR(VLOOKUP(TRIM('📥 Respostas'!M131),'⚙️ Config'!$A$4:$B$13,2,0),"")</f>
        <v/>
      </c>
      <c r="K131" s="14" t="str">
        <f aca="false">IFERROR(VLOOKUP(TRIM('📥 Respostas'!N131),'⚙️ Config'!$A$4:$B$13,2,0),"")</f>
        <v/>
      </c>
      <c r="L131" s="14" t="str">
        <f aca="false">IFERROR(VLOOKUP(TRIM('📥 Respostas'!O131),'⚙️ Config'!$A$4:$B$13,2,0),"")</f>
        <v/>
      </c>
      <c r="M131" s="14" t="str">
        <f aca="false">IFERROR(VLOOKUP(TRIM('📥 Respostas'!P131),'⚙️ Config'!$A$4:$B$13,2,0),"")</f>
        <v/>
      </c>
      <c r="N131" s="14" t="str">
        <f aca="false">IFERROR(VLOOKUP(TRIM('📥 Respostas'!Q131),'⚙️ Config'!$A$4:$B$13,2,0),"")</f>
        <v/>
      </c>
      <c r="O131" s="14" t="str">
        <f aca="false">IFERROR(VLOOKUP(TRIM('📥 Respostas'!R131),'⚙️ Config'!$A$4:$B$13,2,0),"")</f>
        <v/>
      </c>
      <c r="P131" s="14" t="str">
        <f aca="false">IFERROR(VLOOKUP(TRIM('📥 Respostas'!S131),'⚙️ Config'!$A$4:$B$13,2,0),"")</f>
        <v/>
      </c>
      <c r="Q131" s="14" t="str">
        <f aca="false">IFERROR(VLOOKUP(TRIM('📥 Respostas'!T131),'⚙️ Config'!$A$4:$B$13,2,0),"")</f>
        <v/>
      </c>
      <c r="R131" s="14" t="str">
        <f aca="false">IFERROR(VLOOKUP(TRIM('📥 Respostas'!U131),'⚙️ Config'!$A$4:$B$13,2,0),"")</f>
        <v/>
      </c>
      <c r="S131" s="14" t="str">
        <f aca="false">IFERROR(VLOOKUP(TRIM('📥 Respostas'!V131),'⚙️ Config'!$A$4:$B$13,2,0),"")</f>
        <v/>
      </c>
      <c r="T131" s="14" t="str">
        <f aca="false">IFERROR(VLOOKUP(TRIM('📥 Respostas'!W131),'⚙️ Config'!$A$4:$B$13,2,0),"")</f>
        <v/>
      </c>
      <c r="U131" s="14" t="str">
        <f aca="false">IFERROR(VLOOKUP(TRIM('📥 Respostas'!X131),'⚙️ Config'!$A$4:$B$13,2,0),"")</f>
        <v/>
      </c>
      <c r="V131" s="14" t="str">
        <f aca="false">IFERROR(VLOOKUP(TRIM('📥 Respostas'!Y131),'⚙️ Config'!$A$4:$B$13,2,0),"")</f>
        <v/>
      </c>
      <c r="W131" s="14" t="str">
        <f aca="false">IFERROR(VLOOKUP(TRIM('📥 Respostas'!Z131),'⚙️ Config'!$A$4:$B$13,2,0),"")</f>
        <v/>
      </c>
      <c r="X131" s="14" t="str">
        <f aca="false">IFERROR(VLOOKUP(TRIM('📥 Respostas'!AA131),'⚙️ Config'!$A$4:$B$13,2,0),"")</f>
        <v/>
      </c>
      <c r="Y131" s="14" t="str">
        <f aca="false">IFERROR(VLOOKUP(TRIM('📥 Respostas'!AB131),'⚙️ Config'!$A$4:$B$13,2,0),"")</f>
        <v/>
      </c>
      <c r="Z131" s="14" t="str">
        <f aca="false">IFERROR(VLOOKUP(TRIM('📥 Respostas'!AC131),'⚙️ Config'!$A$4:$B$13,2,0),"")</f>
        <v/>
      </c>
      <c r="AA131" s="14" t="str">
        <f aca="false">IFERROR(VLOOKUP(TRIM('📥 Respostas'!AD131),'⚙️ Config'!$A$4:$B$13,2,0),"")</f>
        <v/>
      </c>
      <c r="AB131" s="14" t="str">
        <f aca="false">IFERROR(VLOOKUP(TRIM('📥 Respostas'!AE131),'⚙️ Config'!$A$4:$B$13,2,0),"")</f>
        <v/>
      </c>
      <c r="AC131" s="14" t="str">
        <f aca="false">IFERROR(VLOOKUP(TRIM('📥 Respostas'!AF131),'⚙️ Config'!$A$4:$B$13,2,0),"")</f>
        <v/>
      </c>
      <c r="AD131" s="14" t="str">
        <f aca="false">IFERROR(VLOOKUP(TRIM('📥 Respostas'!AG131),'⚙️ Config'!$A$4:$B$13,2,0),"")</f>
        <v/>
      </c>
      <c r="AE131" s="14" t="str">
        <f aca="false">IFERROR(VLOOKUP(TRIM('📥 Respostas'!AH131),'⚙️ Config'!$A$4:$B$13,2,0),"")</f>
        <v/>
      </c>
      <c r="AF131" s="14" t="str">
        <f aca="false">IFERROR(VLOOKUP(TRIM('📥 Respostas'!AI131),'⚙️ Config'!$C$4:$D$11,2,0),"")</f>
        <v/>
      </c>
      <c r="AG131" s="14" t="str">
        <f aca="false">IFERROR(VLOOKUP(TRIM('📥 Respostas'!AJ131),'⚙️ Config'!$A$4:$B$13,2,0),"")</f>
        <v/>
      </c>
      <c r="AH131" s="14" t="str">
        <f aca="false">IFERROR(VLOOKUP(TRIM('📥 Respostas'!AK131),'⚙️ Config'!$A$4:$B$13,2,0),"")</f>
        <v/>
      </c>
      <c r="AI131" s="14" t="str">
        <f aca="false">IFERROR(VLOOKUP(TRIM('📥 Respostas'!AL131),'⚙️ Config'!$A$4:$B$13,2,0),"")</f>
        <v/>
      </c>
      <c r="AJ131" s="14" t="str">
        <f aca="false">IFERROR(VLOOKUP(TRIM('📥 Respostas'!AM131),'⚙️ Config'!$A$4:$B$13,2,0),"")</f>
        <v/>
      </c>
      <c r="AK131" s="14" t="str">
        <f aca="false">IFERROR(VLOOKUP(TRIM('📥 Respostas'!AN131),'⚙️ Config'!$A$4:$B$13,2,0),"")</f>
        <v/>
      </c>
      <c r="AL131" s="14" t="str">
        <f aca="false">IFERROR(VLOOKUP(TRIM('📥 Respostas'!AO131),'⚙️ Config'!$A$4:$B$13,2,0),"")</f>
        <v/>
      </c>
      <c r="AM131" s="14" t="str">
        <f aca="false">IFERROR(VLOOKUP(TRIM('📥 Respostas'!AP131),'⚙️ Config'!$A$4:$B$13,2,0),"")</f>
        <v/>
      </c>
      <c r="AN131" s="14" t="str">
        <f aca="false">IFERROR(VLOOKUP(TRIM('📥 Respostas'!AQ131),'⚙️ Config'!$A$4:$B$13,2,0),"")</f>
        <v/>
      </c>
      <c r="AO131" s="14" t="str">
        <f aca="false">IFERROR(VLOOKUP(TRIM('📥 Respostas'!AR131),'⚙️ Config'!$A$4:$B$13,2,0),"")</f>
        <v/>
      </c>
      <c r="AP131" s="14" t="str">
        <f aca="false">IFERROR(VLOOKUP(TRIM('📥 Respostas'!AS131),'⚙️ Config'!$A$4:$B$13,2,0),"")</f>
        <v/>
      </c>
      <c r="AQ131" s="14" t="str">
        <f aca="false">IFERROR(VLOOKUP(TRIM('📥 Respostas'!AT131),'⚙️ Config'!$A$4:$B$13,2,0),"")</f>
        <v/>
      </c>
      <c r="AR131" s="14" t="str">
        <f aca="false">IFERROR(VLOOKUP(TRIM('📥 Respostas'!AU131),'⚙️ Config'!$A$4:$B$13,2,0),"")</f>
        <v/>
      </c>
    </row>
    <row r="132" customFormat="false" ht="15" hidden="false" customHeight="false" outlineLevel="0" collapsed="false">
      <c r="A132" s="12" t="str">
        <f aca="false">IF(ISBLANK('📥 Respostas'!D132),"",ROW()-3)</f>
        <v/>
      </c>
      <c r="B132" s="12" t="n">
        <f aca="false">'📥 Respostas'!D132</f>
        <v>0</v>
      </c>
      <c r="C132" s="13" t="n">
        <f aca="false">'📥 Respostas'!C132</f>
        <v>0</v>
      </c>
      <c r="D132" s="14" t="str">
        <f aca="false">IFERROR(VLOOKUP(TRIM('📥 Respostas'!G132),'⚙️ Config'!$A$4:$B$13,2,0),"")</f>
        <v/>
      </c>
      <c r="E132" s="14" t="str">
        <f aca="false">IFERROR(VLOOKUP(TRIM('📥 Respostas'!H132),'⚙️ Config'!$A$4:$B$13,2,0),"")</f>
        <v/>
      </c>
      <c r="F132" s="14" t="str">
        <f aca="false">IFERROR(VLOOKUP(TRIM('📥 Respostas'!I132),'⚙️ Config'!$A$4:$B$13,2,0),"")</f>
        <v/>
      </c>
      <c r="G132" s="14" t="str">
        <f aca="false">IFERROR(VLOOKUP(TRIM('📥 Respostas'!J132),'⚙️ Config'!$A$4:$B$13,2,0),"")</f>
        <v/>
      </c>
      <c r="H132" s="14" t="str">
        <f aca="false">IFERROR(VLOOKUP(TRIM('📥 Respostas'!K132),'⚙️ Config'!$A$4:$B$13,2,0),"")</f>
        <v/>
      </c>
      <c r="I132" s="14" t="str">
        <f aca="false">IFERROR(VLOOKUP(TRIM('📥 Respostas'!L132),'⚙️ Config'!$A$4:$B$13,2,0),"")</f>
        <v/>
      </c>
      <c r="J132" s="14" t="str">
        <f aca="false">IFERROR(VLOOKUP(TRIM('📥 Respostas'!M132),'⚙️ Config'!$A$4:$B$13,2,0),"")</f>
        <v/>
      </c>
      <c r="K132" s="14" t="str">
        <f aca="false">IFERROR(VLOOKUP(TRIM('📥 Respostas'!N132),'⚙️ Config'!$A$4:$B$13,2,0),"")</f>
        <v/>
      </c>
      <c r="L132" s="14" t="str">
        <f aca="false">IFERROR(VLOOKUP(TRIM('📥 Respostas'!O132),'⚙️ Config'!$A$4:$B$13,2,0),"")</f>
        <v/>
      </c>
      <c r="M132" s="14" t="str">
        <f aca="false">IFERROR(VLOOKUP(TRIM('📥 Respostas'!P132),'⚙️ Config'!$A$4:$B$13,2,0),"")</f>
        <v/>
      </c>
      <c r="N132" s="14" t="str">
        <f aca="false">IFERROR(VLOOKUP(TRIM('📥 Respostas'!Q132),'⚙️ Config'!$A$4:$B$13,2,0),"")</f>
        <v/>
      </c>
      <c r="O132" s="14" t="str">
        <f aca="false">IFERROR(VLOOKUP(TRIM('📥 Respostas'!R132),'⚙️ Config'!$A$4:$B$13,2,0),"")</f>
        <v/>
      </c>
      <c r="P132" s="14" t="str">
        <f aca="false">IFERROR(VLOOKUP(TRIM('📥 Respostas'!S132),'⚙️ Config'!$A$4:$B$13,2,0),"")</f>
        <v/>
      </c>
      <c r="Q132" s="14" t="str">
        <f aca="false">IFERROR(VLOOKUP(TRIM('📥 Respostas'!T132),'⚙️ Config'!$A$4:$B$13,2,0),"")</f>
        <v/>
      </c>
      <c r="R132" s="14" t="str">
        <f aca="false">IFERROR(VLOOKUP(TRIM('📥 Respostas'!U132),'⚙️ Config'!$A$4:$B$13,2,0),"")</f>
        <v/>
      </c>
      <c r="S132" s="14" t="str">
        <f aca="false">IFERROR(VLOOKUP(TRIM('📥 Respostas'!V132),'⚙️ Config'!$A$4:$B$13,2,0),"")</f>
        <v/>
      </c>
      <c r="T132" s="14" t="str">
        <f aca="false">IFERROR(VLOOKUP(TRIM('📥 Respostas'!W132),'⚙️ Config'!$A$4:$B$13,2,0),"")</f>
        <v/>
      </c>
      <c r="U132" s="14" t="str">
        <f aca="false">IFERROR(VLOOKUP(TRIM('📥 Respostas'!X132),'⚙️ Config'!$A$4:$B$13,2,0),"")</f>
        <v/>
      </c>
      <c r="V132" s="14" t="str">
        <f aca="false">IFERROR(VLOOKUP(TRIM('📥 Respostas'!Y132),'⚙️ Config'!$A$4:$B$13,2,0),"")</f>
        <v/>
      </c>
      <c r="W132" s="14" t="str">
        <f aca="false">IFERROR(VLOOKUP(TRIM('📥 Respostas'!Z132),'⚙️ Config'!$A$4:$B$13,2,0),"")</f>
        <v/>
      </c>
      <c r="X132" s="14" t="str">
        <f aca="false">IFERROR(VLOOKUP(TRIM('📥 Respostas'!AA132),'⚙️ Config'!$A$4:$B$13,2,0),"")</f>
        <v/>
      </c>
      <c r="Y132" s="14" t="str">
        <f aca="false">IFERROR(VLOOKUP(TRIM('📥 Respostas'!AB132),'⚙️ Config'!$A$4:$B$13,2,0),"")</f>
        <v/>
      </c>
      <c r="Z132" s="14" t="str">
        <f aca="false">IFERROR(VLOOKUP(TRIM('📥 Respostas'!AC132),'⚙️ Config'!$A$4:$B$13,2,0),"")</f>
        <v/>
      </c>
      <c r="AA132" s="14" t="str">
        <f aca="false">IFERROR(VLOOKUP(TRIM('📥 Respostas'!AD132),'⚙️ Config'!$A$4:$B$13,2,0),"")</f>
        <v/>
      </c>
      <c r="AB132" s="14" t="str">
        <f aca="false">IFERROR(VLOOKUP(TRIM('📥 Respostas'!AE132),'⚙️ Config'!$A$4:$B$13,2,0),"")</f>
        <v/>
      </c>
      <c r="AC132" s="14" t="str">
        <f aca="false">IFERROR(VLOOKUP(TRIM('📥 Respostas'!AF132),'⚙️ Config'!$A$4:$B$13,2,0),"")</f>
        <v/>
      </c>
      <c r="AD132" s="14" t="str">
        <f aca="false">IFERROR(VLOOKUP(TRIM('📥 Respostas'!AG132),'⚙️ Config'!$A$4:$B$13,2,0),"")</f>
        <v/>
      </c>
      <c r="AE132" s="14" t="str">
        <f aca="false">IFERROR(VLOOKUP(TRIM('📥 Respostas'!AH132),'⚙️ Config'!$A$4:$B$13,2,0),"")</f>
        <v/>
      </c>
      <c r="AF132" s="14" t="str">
        <f aca="false">IFERROR(VLOOKUP(TRIM('📥 Respostas'!AI132),'⚙️ Config'!$C$4:$D$11,2,0),"")</f>
        <v/>
      </c>
      <c r="AG132" s="14" t="str">
        <f aca="false">IFERROR(VLOOKUP(TRIM('📥 Respostas'!AJ132),'⚙️ Config'!$A$4:$B$13,2,0),"")</f>
        <v/>
      </c>
      <c r="AH132" s="14" t="str">
        <f aca="false">IFERROR(VLOOKUP(TRIM('📥 Respostas'!AK132),'⚙️ Config'!$A$4:$B$13,2,0),"")</f>
        <v/>
      </c>
      <c r="AI132" s="14" t="str">
        <f aca="false">IFERROR(VLOOKUP(TRIM('📥 Respostas'!AL132),'⚙️ Config'!$A$4:$B$13,2,0),"")</f>
        <v/>
      </c>
      <c r="AJ132" s="14" t="str">
        <f aca="false">IFERROR(VLOOKUP(TRIM('📥 Respostas'!AM132),'⚙️ Config'!$A$4:$B$13,2,0),"")</f>
        <v/>
      </c>
      <c r="AK132" s="14" t="str">
        <f aca="false">IFERROR(VLOOKUP(TRIM('📥 Respostas'!AN132),'⚙️ Config'!$A$4:$B$13,2,0),"")</f>
        <v/>
      </c>
      <c r="AL132" s="14" t="str">
        <f aca="false">IFERROR(VLOOKUP(TRIM('📥 Respostas'!AO132),'⚙️ Config'!$A$4:$B$13,2,0),"")</f>
        <v/>
      </c>
      <c r="AM132" s="14" t="str">
        <f aca="false">IFERROR(VLOOKUP(TRIM('📥 Respostas'!AP132),'⚙️ Config'!$A$4:$B$13,2,0),"")</f>
        <v/>
      </c>
      <c r="AN132" s="14" t="str">
        <f aca="false">IFERROR(VLOOKUP(TRIM('📥 Respostas'!AQ132),'⚙️ Config'!$A$4:$B$13,2,0),"")</f>
        <v/>
      </c>
      <c r="AO132" s="14" t="str">
        <f aca="false">IFERROR(VLOOKUP(TRIM('📥 Respostas'!AR132),'⚙️ Config'!$A$4:$B$13,2,0),"")</f>
        <v/>
      </c>
      <c r="AP132" s="14" t="str">
        <f aca="false">IFERROR(VLOOKUP(TRIM('📥 Respostas'!AS132),'⚙️ Config'!$A$4:$B$13,2,0),"")</f>
        <v/>
      </c>
      <c r="AQ132" s="14" t="str">
        <f aca="false">IFERROR(VLOOKUP(TRIM('📥 Respostas'!AT132),'⚙️ Config'!$A$4:$B$13,2,0),"")</f>
        <v/>
      </c>
      <c r="AR132" s="14" t="str">
        <f aca="false">IFERROR(VLOOKUP(TRIM('📥 Respostas'!AU132),'⚙️ Config'!$A$4:$B$13,2,0),"")</f>
        <v/>
      </c>
    </row>
    <row r="133" customFormat="false" ht="15" hidden="false" customHeight="false" outlineLevel="0" collapsed="false">
      <c r="A133" s="15" t="str">
        <f aca="false">IF(ISBLANK('📥 Respostas'!D133),"",ROW()-3)</f>
        <v/>
      </c>
      <c r="B133" s="15" t="n">
        <f aca="false">'📥 Respostas'!D133</f>
        <v>0</v>
      </c>
      <c r="C133" s="5" t="n">
        <f aca="false">'📥 Respostas'!C133</f>
        <v>0</v>
      </c>
      <c r="D133" s="14" t="str">
        <f aca="false">IFERROR(VLOOKUP(TRIM('📥 Respostas'!G133),'⚙️ Config'!$A$4:$B$13,2,0),"")</f>
        <v/>
      </c>
      <c r="E133" s="14" t="str">
        <f aca="false">IFERROR(VLOOKUP(TRIM('📥 Respostas'!H133),'⚙️ Config'!$A$4:$B$13,2,0),"")</f>
        <v/>
      </c>
      <c r="F133" s="14" t="str">
        <f aca="false">IFERROR(VLOOKUP(TRIM('📥 Respostas'!I133),'⚙️ Config'!$A$4:$B$13,2,0),"")</f>
        <v/>
      </c>
      <c r="G133" s="14" t="str">
        <f aca="false">IFERROR(VLOOKUP(TRIM('📥 Respostas'!J133),'⚙️ Config'!$A$4:$B$13,2,0),"")</f>
        <v/>
      </c>
      <c r="H133" s="14" t="str">
        <f aca="false">IFERROR(VLOOKUP(TRIM('📥 Respostas'!K133),'⚙️ Config'!$A$4:$B$13,2,0),"")</f>
        <v/>
      </c>
      <c r="I133" s="14" t="str">
        <f aca="false">IFERROR(VLOOKUP(TRIM('📥 Respostas'!L133),'⚙️ Config'!$A$4:$B$13,2,0),"")</f>
        <v/>
      </c>
      <c r="J133" s="14" t="str">
        <f aca="false">IFERROR(VLOOKUP(TRIM('📥 Respostas'!M133),'⚙️ Config'!$A$4:$B$13,2,0),"")</f>
        <v/>
      </c>
      <c r="K133" s="14" t="str">
        <f aca="false">IFERROR(VLOOKUP(TRIM('📥 Respostas'!N133),'⚙️ Config'!$A$4:$B$13,2,0),"")</f>
        <v/>
      </c>
      <c r="L133" s="14" t="str">
        <f aca="false">IFERROR(VLOOKUP(TRIM('📥 Respostas'!O133),'⚙️ Config'!$A$4:$B$13,2,0),"")</f>
        <v/>
      </c>
      <c r="M133" s="14" t="str">
        <f aca="false">IFERROR(VLOOKUP(TRIM('📥 Respostas'!P133),'⚙️ Config'!$A$4:$B$13,2,0),"")</f>
        <v/>
      </c>
      <c r="N133" s="14" t="str">
        <f aca="false">IFERROR(VLOOKUP(TRIM('📥 Respostas'!Q133),'⚙️ Config'!$A$4:$B$13,2,0),"")</f>
        <v/>
      </c>
      <c r="O133" s="14" t="str">
        <f aca="false">IFERROR(VLOOKUP(TRIM('📥 Respostas'!R133),'⚙️ Config'!$A$4:$B$13,2,0),"")</f>
        <v/>
      </c>
      <c r="P133" s="14" t="str">
        <f aca="false">IFERROR(VLOOKUP(TRIM('📥 Respostas'!S133),'⚙️ Config'!$A$4:$B$13,2,0),"")</f>
        <v/>
      </c>
      <c r="Q133" s="14" t="str">
        <f aca="false">IFERROR(VLOOKUP(TRIM('📥 Respostas'!T133),'⚙️ Config'!$A$4:$B$13,2,0),"")</f>
        <v/>
      </c>
      <c r="R133" s="14" t="str">
        <f aca="false">IFERROR(VLOOKUP(TRIM('📥 Respostas'!U133),'⚙️ Config'!$A$4:$B$13,2,0),"")</f>
        <v/>
      </c>
      <c r="S133" s="14" t="str">
        <f aca="false">IFERROR(VLOOKUP(TRIM('📥 Respostas'!V133),'⚙️ Config'!$A$4:$B$13,2,0),"")</f>
        <v/>
      </c>
      <c r="T133" s="14" t="str">
        <f aca="false">IFERROR(VLOOKUP(TRIM('📥 Respostas'!W133),'⚙️ Config'!$A$4:$B$13,2,0),"")</f>
        <v/>
      </c>
      <c r="U133" s="14" t="str">
        <f aca="false">IFERROR(VLOOKUP(TRIM('📥 Respostas'!X133),'⚙️ Config'!$A$4:$B$13,2,0),"")</f>
        <v/>
      </c>
      <c r="V133" s="14" t="str">
        <f aca="false">IFERROR(VLOOKUP(TRIM('📥 Respostas'!Y133),'⚙️ Config'!$A$4:$B$13,2,0),"")</f>
        <v/>
      </c>
      <c r="W133" s="14" t="str">
        <f aca="false">IFERROR(VLOOKUP(TRIM('📥 Respostas'!Z133),'⚙️ Config'!$A$4:$B$13,2,0),"")</f>
        <v/>
      </c>
      <c r="X133" s="14" t="str">
        <f aca="false">IFERROR(VLOOKUP(TRIM('📥 Respostas'!AA133),'⚙️ Config'!$A$4:$B$13,2,0),"")</f>
        <v/>
      </c>
      <c r="Y133" s="14" t="str">
        <f aca="false">IFERROR(VLOOKUP(TRIM('📥 Respostas'!AB133),'⚙️ Config'!$A$4:$B$13,2,0),"")</f>
        <v/>
      </c>
      <c r="Z133" s="14" t="str">
        <f aca="false">IFERROR(VLOOKUP(TRIM('📥 Respostas'!AC133),'⚙️ Config'!$A$4:$B$13,2,0),"")</f>
        <v/>
      </c>
      <c r="AA133" s="14" t="str">
        <f aca="false">IFERROR(VLOOKUP(TRIM('📥 Respostas'!AD133),'⚙️ Config'!$A$4:$B$13,2,0),"")</f>
        <v/>
      </c>
      <c r="AB133" s="14" t="str">
        <f aca="false">IFERROR(VLOOKUP(TRIM('📥 Respostas'!AE133),'⚙️ Config'!$A$4:$B$13,2,0),"")</f>
        <v/>
      </c>
      <c r="AC133" s="14" t="str">
        <f aca="false">IFERROR(VLOOKUP(TRIM('📥 Respostas'!AF133),'⚙️ Config'!$A$4:$B$13,2,0),"")</f>
        <v/>
      </c>
      <c r="AD133" s="14" t="str">
        <f aca="false">IFERROR(VLOOKUP(TRIM('📥 Respostas'!AG133),'⚙️ Config'!$A$4:$B$13,2,0),"")</f>
        <v/>
      </c>
      <c r="AE133" s="14" t="str">
        <f aca="false">IFERROR(VLOOKUP(TRIM('📥 Respostas'!AH133),'⚙️ Config'!$A$4:$B$13,2,0),"")</f>
        <v/>
      </c>
      <c r="AF133" s="14" t="str">
        <f aca="false">IFERROR(VLOOKUP(TRIM('📥 Respostas'!AI133),'⚙️ Config'!$C$4:$D$11,2,0),"")</f>
        <v/>
      </c>
      <c r="AG133" s="14" t="str">
        <f aca="false">IFERROR(VLOOKUP(TRIM('📥 Respostas'!AJ133),'⚙️ Config'!$A$4:$B$13,2,0),"")</f>
        <v/>
      </c>
      <c r="AH133" s="14" t="str">
        <f aca="false">IFERROR(VLOOKUP(TRIM('📥 Respostas'!AK133),'⚙️ Config'!$A$4:$B$13,2,0),"")</f>
        <v/>
      </c>
      <c r="AI133" s="14" t="str">
        <f aca="false">IFERROR(VLOOKUP(TRIM('📥 Respostas'!AL133),'⚙️ Config'!$A$4:$B$13,2,0),"")</f>
        <v/>
      </c>
      <c r="AJ133" s="14" t="str">
        <f aca="false">IFERROR(VLOOKUP(TRIM('📥 Respostas'!AM133),'⚙️ Config'!$A$4:$B$13,2,0),"")</f>
        <v/>
      </c>
      <c r="AK133" s="14" t="str">
        <f aca="false">IFERROR(VLOOKUP(TRIM('📥 Respostas'!AN133),'⚙️ Config'!$A$4:$B$13,2,0),"")</f>
        <v/>
      </c>
      <c r="AL133" s="14" t="str">
        <f aca="false">IFERROR(VLOOKUP(TRIM('📥 Respostas'!AO133),'⚙️ Config'!$A$4:$B$13,2,0),"")</f>
        <v/>
      </c>
      <c r="AM133" s="14" t="str">
        <f aca="false">IFERROR(VLOOKUP(TRIM('📥 Respostas'!AP133),'⚙️ Config'!$A$4:$B$13,2,0),"")</f>
        <v/>
      </c>
      <c r="AN133" s="14" t="str">
        <f aca="false">IFERROR(VLOOKUP(TRIM('📥 Respostas'!AQ133),'⚙️ Config'!$A$4:$B$13,2,0),"")</f>
        <v/>
      </c>
      <c r="AO133" s="14" t="str">
        <f aca="false">IFERROR(VLOOKUP(TRIM('📥 Respostas'!AR133),'⚙️ Config'!$A$4:$B$13,2,0),"")</f>
        <v/>
      </c>
      <c r="AP133" s="14" t="str">
        <f aca="false">IFERROR(VLOOKUP(TRIM('📥 Respostas'!AS133),'⚙️ Config'!$A$4:$B$13,2,0),"")</f>
        <v/>
      </c>
      <c r="AQ133" s="14" t="str">
        <f aca="false">IFERROR(VLOOKUP(TRIM('📥 Respostas'!AT133),'⚙️ Config'!$A$4:$B$13,2,0),"")</f>
        <v/>
      </c>
      <c r="AR133" s="14" t="str">
        <f aca="false">IFERROR(VLOOKUP(TRIM('📥 Respostas'!AU133),'⚙️ Config'!$A$4:$B$13,2,0),"")</f>
        <v/>
      </c>
    </row>
    <row r="134" customFormat="false" ht="15" hidden="false" customHeight="false" outlineLevel="0" collapsed="false">
      <c r="A134" s="12" t="str">
        <f aca="false">IF(ISBLANK('📥 Respostas'!D134),"",ROW()-3)</f>
        <v/>
      </c>
      <c r="B134" s="12" t="n">
        <f aca="false">'📥 Respostas'!D134</f>
        <v>0</v>
      </c>
      <c r="C134" s="13" t="n">
        <f aca="false">'📥 Respostas'!C134</f>
        <v>0</v>
      </c>
      <c r="D134" s="14" t="str">
        <f aca="false">IFERROR(VLOOKUP(TRIM('📥 Respostas'!G134),'⚙️ Config'!$A$4:$B$13,2,0),"")</f>
        <v/>
      </c>
      <c r="E134" s="14" t="str">
        <f aca="false">IFERROR(VLOOKUP(TRIM('📥 Respostas'!H134),'⚙️ Config'!$A$4:$B$13,2,0),"")</f>
        <v/>
      </c>
      <c r="F134" s="14" t="str">
        <f aca="false">IFERROR(VLOOKUP(TRIM('📥 Respostas'!I134),'⚙️ Config'!$A$4:$B$13,2,0),"")</f>
        <v/>
      </c>
      <c r="G134" s="14" t="str">
        <f aca="false">IFERROR(VLOOKUP(TRIM('📥 Respostas'!J134),'⚙️ Config'!$A$4:$B$13,2,0),"")</f>
        <v/>
      </c>
      <c r="H134" s="14" t="str">
        <f aca="false">IFERROR(VLOOKUP(TRIM('📥 Respostas'!K134),'⚙️ Config'!$A$4:$B$13,2,0),"")</f>
        <v/>
      </c>
      <c r="I134" s="14" t="str">
        <f aca="false">IFERROR(VLOOKUP(TRIM('📥 Respostas'!L134),'⚙️ Config'!$A$4:$B$13,2,0),"")</f>
        <v/>
      </c>
      <c r="J134" s="14" t="str">
        <f aca="false">IFERROR(VLOOKUP(TRIM('📥 Respostas'!M134),'⚙️ Config'!$A$4:$B$13,2,0),"")</f>
        <v/>
      </c>
      <c r="K134" s="14" t="str">
        <f aca="false">IFERROR(VLOOKUP(TRIM('📥 Respostas'!N134),'⚙️ Config'!$A$4:$B$13,2,0),"")</f>
        <v/>
      </c>
      <c r="L134" s="14" t="str">
        <f aca="false">IFERROR(VLOOKUP(TRIM('📥 Respostas'!O134),'⚙️ Config'!$A$4:$B$13,2,0),"")</f>
        <v/>
      </c>
      <c r="M134" s="14" t="str">
        <f aca="false">IFERROR(VLOOKUP(TRIM('📥 Respostas'!P134),'⚙️ Config'!$A$4:$B$13,2,0),"")</f>
        <v/>
      </c>
      <c r="N134" s="14" t="str">
        <f aca="false">IFERROR(VLOOKUP(TRIM('📥 Respostas'!Q134),'⚙️ Config'!$A$4:$B$13,2,0),"")</f>
        <v/>
      </c>
      <c r="O134" s="14" t="str">
        <f aca="false">IFERROR(VLOOKUP(TRIM('📥 Respostas'!R134),'⚙️ Config'!$A$4:$B$13,2,0),"")</f>
        <v/>
      </c>
      <c r="P134" s="14" t="str">
        <f aca="false">IFERROR(VLOOKUP(TRIM('📥 Respostas'!S134),'⚙️ Config'!$A$4:$B$13,2,0),"")</f>
        <v/>
      </c>
      <c r="Q134" s="14" t="str">
        <f aca="false">IFERROR(VLOOKUP(TRIM('📥 Respostas'!T134),'⚙️ Config'!$A$4:$B$13,2,0),"")</f>
        <v/>
      </c>
      <c r="R134" s="14" t="str">
        <f aca="false">IFERROR(VLOOKUP(TRIM('📥 Respostas'!U134),'⚙️ Config'!$A$4:$B$13,2,0),"")</f>
        <v/>
      </c>
      <c r="S134" s="14" t="str">
        <f aca="false">IFERROR(VLOOKUP(TRIM('📥 Respostas'!V134),'⚙️ Config'!$A$4:$B$13,2,0),"")</f>
        <v/>
      </c>
      <c r="T134" s="14" t="str">
        <f aca="false">IFERROR(VLOOKUP(TRIM('📥 Respostas'!W134),'⚙️ Config'!$A$4:$B$13,2,0),"")</f>
        <v/>
      </c>
      <c r="U134" s="14" t="str">
        <f aca="false">IFERROR(VLOOKUP(TRIM('📥 Respostas'!X134),'⚙️ Config'!$A$4:$B$13,2,0),"")</f>
        <v/>
      </c>
      <c r="V134" s="14" t="str">
        <f aca="false">IFERROR(VLOOKUP(TRIM('📥 Respostas'!Y134),'⚙️ Config'!$A$4:$B$13,2,0),"")</f>
        <v/>
      </c>
      <c r="W134" s="14" t="str">
        <f aca="false">IFERROR(VLOOKUP(TRIM('📥 Respostas'!Z134),'⚙️ Config'!$A$4:$B$13,2,0),"")</f>
        <v/>
      </c>
      <c r="X134" s="14" t="str">
        <f aca="false">IFERROR(VLOOKUP(TRIM('📥 Respostas'!AA134),'⚙️ Config'!$A$4:$B$13,2,0),"")</f>
        <v/>
      </c>
      <c r="Y134" s="14" t="str">
        <f aca="false">IFERROR(VLOOKUP(TRIM('📥 Respostas'!AB134),'⚙️ Config'!$A$4:$B$13,2,0),"")</f>
        <v/>
      </c>
      <c r="Z134" s="14" t="str">
        <f aca="false">IFERROR(VLOOKUP(TRIM('📥 Respostas'!AC134),'⚙️ Config'!$A$4:$B$13,2,0),"")</f>
        <v/>
      </c>
      <c r="AA134" s="14" t="str">
        <f aca="false">IFERROR(VLOOKUP(TRIM('📥 Respostas'!AD134),'⚙️ Config'!$A$4:$B$13,2,0),"")</f>
        <v/>
      </c>
      <c r="AB134" s="14" t="str">
        <f aca="false">IFERROR(VLOOKUP(TRIM('📥 Respostas'!AE134),'⚙️ Config'!$A$4:$B$13,2,0),"")</f>
        <v/>
      </c>
      <c r="AC134" s="14" t="str">
        <f aca="false">IFERROR(VLOOKUP(TRIM('📥 Respostas'!AF134),'⚙️ Config'!$A$4:$B$13,2,0),"")</f>
        <v/>
      </c>
      <c r="AD134" s="14" t="str">
        <f aca="false">IFERROR(VLOOKUP(TRIM('📥 Respostas'!AG134),'⚙️ Config'!$A$4:$B$13,2,0),"")</f>
        <v/>
      </c>
      <c r="AE134" s="14" t="str">
        <f aca="false">IFERROR(VLOOKUP(TRIM('📥 Respostas'!AH134),'⚙️ Config'!$A$4:$B$13,2,0),"")</f>
        <v/>
      </c>
      <c r="AF134" s="14" t="str">
        <f aca="false">IFERROR(VLOOKUP(TRIM('📥 Respostas'!AI134),'⚙️ Config'!$C$4:$D$11,2,0),"")</f>
        <v/>
      </c>
      <c r="AG134" s="14" t="str">
        <f aca="false">IFERROR(VLOOKUP(TRIM('📥 Respostas'!AJ134),'⚙️ Config'!$A$4:$B$13,2,0),"")</f>
        <v/>
      </c>
      <c r="AH134" s="14" t="str">
        <f aca="false">IFERROR(VLOOKUP(TRIM('📥 Respostas'!AK134),'⚙️ Config'!$A$4:$B$13,2,0),"")</f>
        <v/>
      </c>
      <c r="AI134" s="14" t="str">
        <f aca="false">IFERROR(VLOOKUP(TRIM('📥 Respostas'!AL134),'⚙️ Config'!$A$4:$B$13,2,0),"")</f>
        <v/>
      </c>
      <c r="AJ134" s="14" t="str">
        <f aca="false">IFERROR(VLOOKUP(TRIM('📥 Respostas'!AM134),'⚙️ Config'!$A$4:$B$13,2,0),"")</f>
        <v/>
      </c>
      <c r="AK134" s="14" t="str">
        <f aca="false">IFERROR(VLOOKUP(TRIM('📥 Respostas'!AN134),'⚙️ Config'!$A$4:$B$13,2,0),"")</f>
        <v/>
      </c>
      <c r="AL134" s="14" t="str">
        <f aca="false">IFERROR(VLOOKUP(TRIM('📥 Respostas'!AO134),'⚙️ Config'!$A$4:$B$13,2,0),"")</f>
        <v/>
      </c>
      <c r="AM134" s="14" t="str">
        <f aca="false">IFERROR(VLOOKUP(TRIM('📥 Respostas'!AP134),'⚙️ Config'!$A$4:$B$13,2,0),"")</f>
        <v/>
      </c>
      <c r="AN134" s="14" t="str">
        <f aca="false">IFERROR(VLOOKUP(TRIM('📥 Respostas'!AQ134),'⚙️ Config'!$A$4:$B$13,2,0),"")</f>
        <v/>
      </c>
      <c r="AO134" s="14" t="str">
        <f aca="false">IFERROR(VLOOKUP(TRIM('📥 Respostas'!AR134),'⚙️ Config'!$A$4:$B$13,2,0),"")</f>
        <v/>
      </c>
      <c r="AP134" s="14" t="str">
        <f aca="false">IFERROR(VLOOKUP(TRIM('📥 Respostas'!AS134),'⚙️ Config'!$A$4:$B$13,2,0),"")</f>
        <v/>
      </c>
      <c r="AQ134" s="14" t="str">
        <f aca="false">IFERROR(VLOOKUP(TRIM('📥 Respostas'!AT134),'⚙️ Config'!$A$4:$B$13,2,0),"")</f>
        <v/>
      </c>
      <c r="AR134" s="14" t="str">
        <f aca="false">IFERROR(VLOOKUP(TRIM('📥 Respostas'!AU134),'⚙️ Config'!$A$4:$B$13,2,0),"")</f>
        <v/>
      </c>
    </row>
    <row r="135" customFormat="false" ht="15" hidden="false" customHeight="false" outlineLevel="0" collapsed="false">
      <c r="A135" s="15" t="str">
        <f aca="false">IF(ISBLANK('📥 Respostas'!D135),"",ROW()-3)</f>
        <v/>
      </c>
      <c r="B135" s="15" t="n">
        <f aca="false">'📥 Respostas'!D135</f>
        <v>0</v>
      </c>
      <c r="C135" s="5" t="n">
        <f aca="false">'📥 Respostas'!C135</f>
        <v>0</v>
      </c>
      <c r="D135" s="14" t="str">
        <f aca="false">IFERROR(VLOOKUP(TRIM('📥 Respostas'!G135),'⚙️ Config'!$A$4:$B$13,2,0),"")</f>
        <v/>
      </c>
      <c r="E135" s="14" t="str">
        <f aca="false">IFERROR(VLOOKUP(TRIM('📥 Respostas'!H135),'⚙️ Config'!$A$4:$B$13,2,0),"")</f>
        <v/>
      </c>
      <c r="F135" s="14" t="str">
        <f aca="false">IFERROR(VLOOKUP(TRIM('📥 Respostas'!I135),'⚙️ Config'!$A$4:$B$13,2,0),"")</f>
        <v/>
      </c>
      <c r="G135" s="14" t="str">
        <f aca="false">IFERROR(VLOOKUP(TRIM('📥 Respostas'!J135),'⚙️ Config'!$A$4:$B$13,2,0),"")</f>
        <v/>
      </c>
      <c r="H135" s="14" t="str">
        <f aca="false">IFERROR(VLOOKUP(TRIM('📥 Respostas'!K135),'⚙️ Config'!$A$4:$B$13,2,0),"")</f>
        <v/>
      </c>
      <c r="I135" s="14" t="str">
        <f aca="false">IFERROR(VLOOKUP(TRIM('📥 Respostas'!L135),'⚙️ Config'!$A$4:$B$13,2,0),"")</f>
        <v/>
      </c>
      <c r="J135" s="14" t="str">
        <f aca="false">IFERROR(VLOOKUP(TRIM('📥 Respostas'!M135),'⚙️ Config'!$A$4:$B$13,2,0),"")</f>
        <v/>
      </c>
      <c r="K135" s="14" t="str">
        <f aca="false">IFERROR(VLOOKUP(TRIM('📥 Respostas'!N135),'⚙️ Config'!$A$4:$B$13,2,0),"")</f>
        <v/>
      </c>
      <c r="L135" s="14" t="str">
        <f aca="false">IFERROR(VLOOKUP(TRIM('📥 Respostas'!O135),'⚙️ Config'!$A$4:$B$13,2,0),"")</f>
        <v/>
      </c>
      <c r="M135" s="14" t="str">
        <f aca="false">IFERROR(VLOOKUP(TRIM('📥 Respostas'!P135),'⚙️ Config'!$A$4:$B$13,2,0),"")</f>
        <v/>
      </c>
      <c r="N135" s="14" t="str">
        <f aca="false">IFERROR(VLOOKUP(TRIM('📥 Respostas'!Q135),'⚙️ Config'!$A$4:$B$13,2,0),"")</f>
        <v/>
      </c>
      <c r="O135" s="14" t="str">
        <f aca="false">IFERROR(VLOOKUP(TRIM('📥 Respostas'!R135),'⚙️ Config'!$A$4:$B$13,2,0),"")</f>
        <v/>
      </c>
      <c r="P135" s="14" t="str">
        <f aca="false">IFERROR(VLOOKUP(TRIM('📥 Respostas'!S135),'⚙️ Config'!$A$4:$B$13,2,0),"")</f>
        <v/>
      </c>
      <c r="Q135" s="14" t="str">
        <f aca="false">IFERROR(VLOOKUP(TRIM('📥 Respostas'!T135),'⚙️ Config'!$A$4:$B$13,2,0),"")</f>
        <v/>
      </c>
      <c r="R135" s="14" t="str">
        <f aca="false">IFERROR(VLOOKUP(TRIM('📥 Respostas'!U135),'⚙️ Config'!$A$4:$B$13,2,0),"")</f>
        <v/>
      </c>
      <c r="S135" s="14" t="str">
        <f aca="false">IFERROR(VLOOKUP(TRIM('📥 Respostas'!V135),'⚙️ Config'!$A$4:$B$13,2,0),"")</f>
        <v/>
      </c>
      <c r="T135" s="14" t="str">
        <f aca="false">IFERROR(VLOOKUP(TRIM('📥 Respostas'!W135),'⚙️ Config'!$A$4:$B$13,2,0),"")</f>
        <v/>
      </c>
      <c r="U135" s="14" t="str">
        <f aca="false">IFERROR(VLOOKUP(TRIM('📥 Respostas'!X135),'⚙️ Config'!$A$4:$B$13,2,0),"")</f>
        <v/>
      </c>
      <c r="V135" s="14" t="str">
        <f aca="false">IFERROR(VLOOKUP(TRIM('📥 Respostas'!Y135),'⚙️ Config'!$A$4:$B$13,2,0),"")</f>
        <v/>
      </c>
      <c r="W135" s="14" t="str">
        <f aca="false">IFERROR(VLOOKUP(TRIM('📥 Respostas'!Z135),'⚙️ Config'!$A$4:$B$13,2,0),"")</f>
        <v/>
      </c>
      <c r="X135" s="14" t="str">
        <f aca="false">IFERROR(VLOOKUP(TRIM('📥 Respostas'!AA135),'⚙️ Config'!$A$4:$B$13,2,0),"")</f>
        <v/>
      </c>
      <c r="Y135" s="14" t="str">
        <f aca="false">IFERROR(VLOOKUP(TRIM('📥 Respostas'!AB135),'⚙️ Config'!$A$4:$B$13,2,0),"")</f>
        <v/>
      </c>
      <c r="Z135" s="14" t="str">
        <f aca="false">IFERROR(VLOOKUP(TRIM('📥 Respostas'!AC135),'⚙️ Config'!$A$4:$B$13,2,0),"")</f>
        <v/>
      </c>
      <c r="AA135" s="14" t="str">
        <f aca="false">IFERROR(VLOOKUP(TRIM('📥 Respostas'!AD135),'⚙️ Config'!$A$4:$B$13,2,0),"")</f>
        <v/>
      </c>
      <c r="AB135" s="14" t="str">
        <f aca="false">IFERROR(VLOOKUP(TRIM('📥 Respostas'!AE135),'⚙️ Config'!$A$4:$B$13,2,0),"")</f>
        <v/>
      </c>
      <c r="AC135" s="14" t="str">
        <f aca="false">IFERROR(VLOOKUP(TRIM('📥 Respostas'!AF135),'⚙️ Config'!$A$4:$B$13,2,0),"")</f>
        <v/>
      </c>
      <c r="AD135" s="14" t="str">
        <f aca="false">IFERROR(VLOOKUP(TRIM('📥 Respostas'!AG135),'⚙️ Config'!$A$4:$B$13,2,0),"")</f>
        <v/>
      </c>
      <c r="AE135" s="14" t="str">
        <f aca="false">IFERROR(VLOOKUP(TRIM('📥 Respostas'!AH135),'⚙️ Config'!$A$4:$B$13,2,0),"")</f>
        <v/>
      </c>
      <c r="AF135" s="14" t="str">
        <f aca="false">IFERROR(VLOOKUP(TRIM('📥 Respostas'!AI135),'⚙️ Config'!$C$4:$D$11,2,0),"")</f>
        <v/>
      </c>
      <c r="AG135" s="14" t="str">
        <f aca="false">IFERROR(VLOOKUP(TRIM('📥 Respostas'!AJ135),'⚙️ Config'!$A$4:$B$13,2,0),"")</f>
        <v/>
      </c>
      <c r="AH135" s="14" t="str">
        <f aca="false">IFERROR(VLOOKUP(TRIM('📥 Respostas'!AK135),'⚙️ Config'!$A$4:$B$13,2,0),"")</f>
        <v/>
      </c>
      <c r="AI135" s="14" t="str">
        <f aca="false">IFERROR(VLOOKUP(TRIM('📥 Respostas'!AL135),'⚙️ Config'!$A$4:$B$13,2,0),"")</f>
        <v/>
      </c>
      <c r="AJ135" s="14" t="str">
        <f aca="false">IFERROR(VLOOKUP(TRIM('📥 Respostas'!AM135),'⚙️ Config'!$A$4:$B$13,2,0),"")</f>
        <v/>
      </c>
      <c r="AK135" s="14" t="str">
        <f aca="false">IFERROR(VLOOKUP(TRIM('📥 Respostas'!AN135),'⚙️ Config'!$A$4:$B$13,2,0),"")</f>
        <v/>
      </c>
      <c r="AL135" s="14" t="str">
        <f aca="false">IFERROR(VLOOKUP(TRIM('📥 Respostas'!AO135),'⚙️ Config'!$A$4:$B$13,2,0),"")</f>
        <v/>
      </c>
      <c r="AM135" s="14" t="str">
        <f aca="false">IFERROR(VLOOKUP(TRIM('📥 Respostas'!AP135),'⚙️ Config'!$A$4:$B$13,2,0),"")</f>
        <v/>
      </c>
      <c r="AN135" s="14" t="str">
        <f aca="false">IFERROR(VLOOKUP(TRIM('📥 Respostas'!AQ135),'⚙️ Config'!$A$4:$B$13,2,0),"")</f>
        <v/>
      </c>
      <c r="AO135" s="14" t="str">
        <f aca="false">IFERROR(VLOOKUP(TRIM('📥 Respostas'!AR135),'⚙️ Config'!$A$4:$B$13,2,0),"")</f>
        <v/>
      </c>
      <c r="AP135" s="14" t="str">
        <f aca="false">IFERROR(VLOOKUP(TRIM('📥 Respostas'!AS135),'⚙️ Config'!$A$4:$B$13,2,0),"")</f>
        <v/>
      </c>
      <c r="AQ135" s="14" t="str">
        <f aca="false">IFERROR(VLOOKUP(TRIM('📥 Respostas'!AT135),'⚙️ Config'!$A$4:$B$13,2,0),"")</f>
        <v/>
      </c>
      <c r="AR135" s="14" t="str">
        <f aca="false">IFERROR(VLOOKUP(TRIM('📥 Respostas'!AU135),'⚙️ Config'!$A$4:$B$13,2,0),"")</f>
        <v/>
      </c>
    </row>
    <row r="136" customFormat="false" ht="15" hidden="false" customHeight="false" outlineLevel="0" collapsed="false">
      <c r="A136" s="12" t="str">
        <f aca="false">IF(ISBLANK('📥 Respostas'!D136),"",ROW()-3)</f>
        <v/>
      </c>
      <c r="B136" s="12" t="n">
        <f aca="false">'📥 Respostas'!D136</f>
        <v>0</v>
      </c>
      <c r="C136" s="13" t="n">
        <f aca="false">'📥 Respostas'!C136</f>
        <v>0</v>
      </c>
      <c r="D136" s="14" t="str">
        <f aca="false">IFERROR(VLOOKUP(TRIM('📥 Respostas'!G136),'⚙️ Config'!$A$4:$B$13,2,0),"")</f>
        <v/>
      </c>
      <c r="E136" s="14" t="str">
        <f aca="false">IFERROR(VLOOKUP(TRIM('📥 Respostas'!H136),'⚙️ Config'!$A$4:$B$13,2,0),"")</f>
        <v/>
      </c>
      <c r="F136" s="14" t="str">
        <f aca="false">IFERROR(VLOOKUP(TRIM('📥 Respostas'!I136),'⚙️ Config'!$A$4:$B$13,2,0),"")</f>
        <v/>
      </c>
      <c r="G136" s="14" t="str">
        <f aca="false">IFERROR(VLOOKUP(TRIM('📥 Respostas'!J136),'⚙️ Config'!$A$4:$B$13,2,0),"")</f>
        <v/>
      </c>
      <c r="H136" s="14" t="str">
        <f aca="false">IFERROR(VLOOKUP(TRIM('📥 Respostas'!K136),'⚙️ Config'!$A$4:$B$13,2,0),"")</f>
        <v/>
      </c>
      <c r="I136" s="14" t="str">
        <f aca="false">IFERROR(VLOOKUP(TRIM('📥 Respostas'!L136),'⚙️ Config'!$A$4:$B$13,2,0),"")</f>
        <v/>
      </c>
      <c r="J136" s="14" t="str">
        <f aca="false">IFERROR(VLOOKUP(TRIM('📥 Respostas'!M136),'⚙️ Config'!$A$4:$B$13,2,0),"")</f>
        <v/>
      </c>
      <c r="K136" s="14" t="str">
        <f aca="false">IFERROR(VLOOKUP(TRIM('📥 Respostas'!N136),'⚙️ Config'!$A$4:$B$13,2,0),"")</f>
        <v/>
      </c>
      <c r="L136" s="14" t="str">
        <f aca="false">IFERROR(VLOOKUP(TRIM('📥 Respostas'!O136),'⚙️ Config'!$A$4:$B$13,2,0),"")</f>
        <v/>
      </c>
      <c r="M136" s="14" t="str">
        <f aca="false">IFERROR(VLOOKUP(TRIM('📥 Respostas'!P136),'⚙️ Config'!$A$4:$B$13,2,0),"")</f>
        <v/>
      </c>
      <c r="N136" s="14" t="str">
        <f aca="false">IFERROR(VLOOKUP(TRIM('📥 Respostas'!Q136),'⚙️ Config'!$A$4:$B$13,2,0),"")</f>
        <v/>
      </c>
      <c r="O136" s="14" t="str">
        <f aca="false">IFERROR(VLOOKUP(TRIM('📥 Respostas'!R136),'⚙️ Config'!$A$4:$B$13,2,0),"")</f>
        <v/>
      </c>
      <c r="P136" s="14" t="str">
        <f aca="false">IFERROR(VLOOKUP(TRIM('📥 Respostas'!S136),'⚙️ Config'!$A$4:$B$13,2,0),"")</f>
        <v/>
      </c>
      <c r="Q136" s="14" t="str">
        <f aca="false">IFERROR(VLOOKUP(TRIM('📥 Respostas'!T136),'⚙️ Config'!$A$4:$B$13,2,0),"")</f>
        <v/>
      </c>
      <c r="R136" s="14" t="str">
        <f aca="false">IFERROR(VLOOKUP(TRIM('📥 Respostas'!U136),'⚙️ Config'!$A$4:$B$13,2,0),"")</f>
        <v/>
      </c>
      <c r="S136" s="14" t="str">
        <f aca="false">IFERROR(VLOOKUP(TRIM('📥 Respostas'!V136),'⚙️ Config'!$A$4:$B$13,2,0),"")</f>
        <v/>
      </c>
      <c r="T136" s="14" t="str">
        <f aca="false">IFERROR(VLOOKUP(TRIM('📥 Respostas'!W136),'⚙️ Config'!$A$4:$B$13,2,0),"")</f>
        <v/>
      </c>
      <c r="U136" s="14" t="str">
        <f aca="false">IFERROR(VLOOKUP(TRIM('📥 Respostas'!X136),'⚙️ Config'!$A$4:$B$13,2,0),"")</f>
        <v/>
      </c>
      <c r="V136" s="14" t="str">
        <f aca="false">IFERROR(VLOOKUP(TRIM('📥 Respostas'!Y136),'⚙️ Config'!$A$4:$B$13,2,0),"")</f>
        <v/>
      </c>
      <c r="W136" s="14" t="str">
        <f aca="false">IFERROR(VLOOKUP(TRIM('📥 Respostas'!Z136),'⚙️ Config'!$A$4:$B$13,2,0),"")</f>
        <v/>
      </c>
      <c r="X136" s="14" t="str">
        <f aca="false">IFERROR(VLOOKUP(TRIM('📥 Respostas'!AA136),'⚙️ Config'!$A$4:$B$13,2,0),"")</f>
        <v/>
      </c>
      <c r="Y136" s="14" t="str">
        <f aca="false">IFERROR(VLOOKUP(TRIM('📥 Respostas'!AB136),'⚙️ Config'!$A$4:$B$13,2,0),"")</f>
        <v/>
      </c>
      <c r="Z136" s="14" t="str">
        <f aca="false">IFERROR(VLOOKUP(TRIM('📥 Respostas'!AC136),'⚙️ Config'!$A$4:$B$13,2,0),"")</f>
        <v/>
      </c>
      <c r="AA136" s="14" t="str">
        <f aca="false">IFERROR(VLOOKUP(TRIM('📥 Respostas'!AD136),'⚙️ Config'!$A$4:$B$13,2,0),"")</f>
        <v/>
      </c>
      <c r="AB136" s="14" t="str">
        <f aca="false">IFERROR(VLOOKUP(TRIM('📥 Respostas'!AE136),'⚙️ Config'!$A$4:$B$13,2,0),"")</f>
        <v/>
      </c>
      <c r="AC136" s="14" t="str">
        <f aca="false">IFERROR(VLOOKUP(TRIM('📥 Respostas'!AF136),'⚙️ Config'!$A$4:$B$13,2,0),"")</f>
        <v/>
      </c>
      <c r="AD136" s="14" t="str">
        <f aca="false">IFERROR(VLOOKUP(TRIM('📥 Respostas'!AG136),'⚙️ Config'!$A$4:$B$13,2,0),"")</f>
        <v/>
      </c>
      <c r="AE136" s="14" t="str">
        <f aca="false">IFERROR(VLOOKUP(TRIM('📥 Respostas'!AH136),'⚙️ Config'!$A$4:$B$13,2,0),"")</f>
        <v/>
      </c>
      <c r="AF136" s="14" t="str">
        <f aca="false">IFERROR(VLOOKUP(TRIM('📥 Respostas'!AI136),'⚙️ Config'!$C$4:$D$11,2,0),"")</f>
        <v/>
      </c>
      <c r="AG136" s="14" t="str">
        <f aca="false">IFERROR(VLOOKUP(TRIM('📥 Respostas'!AJ136),'⚙️ Config'!$A$4:$B$13,2,0),"")</f>
        <v/>
      </c>
      <c r="AH136" s="14" t="str">
        <f aca="false">IFERROR(VLOOKUP(TRIM('📥 Respostas'!AK136),'⚙️ Config'!$A$4:$B$13,2,0),"")</f>
        <v/>
      </c>
      <c r="AI136" s="14" t="str">
        <f aca="false">IFERROR(VLOOKUP(TRIM('📥 Respostas'!AL136),'⚙️ Config'!$A$4:$B$13,2,0),"")</f>
        <v/>
      </c>
      <c r="AJ136" s="14" t="str">
        <f aca="false">IFERROR(VLOOKUP(TRIM('📥 Respostas'!AM136),'⚙️ Config'!$A$4:$B$13,2,0),"")</f>
        <v/>
      </c>
      <c r="AK136" s="14" t="str">
        <f aca="false">IFERROR(VLOOKUP(TRIM('📥 Respostas'!AN136),'⚙️ Config'!$A$4:$B$13,2,0),"")</f>
        <v/>
      </c>
      <c r="AL136" s="14" t="str">
        <f aca="false">IFERROR(VLOOKUP(TRIM('📥 Respostas'!AO136),'⚙️ Config'!$A$4:$B$13,2,0),"")</f>
        <v/>
      </c>
      <c r="AM136" s="14" t="str">
        <f aca="false">IFERROR(VLOOKUP(TRIM('📥 Respostas'!AP136),'⚙️ Config'!$A$4:$B$13,2,0),"")</f>
        <v/>
      </c>
      <c r="AN136" s="14" t="str">
        <f aca="false">IFERROR(VLOOKUP(TRIM('📥 Respostas'!AQ136),'⚙️ Config'!$A$4:$B$13,2,0),"")</f>
        <v/>
      </c>
      <c r="AO136" s="14" t="str">
        <f aca="false">IFERROR(VLOOKUP(TRIM('📥 Respostas'!AR136),'⚙️ Config'!$A$4:$B$13,2,0),"")</f>
        <v/>
      </c>
      <c r="AP136" s="14" t="str">
        <f aca="false">IFERROR(VLOOKUP(TRIM('📥 Respostas'!AS136),'⚙️ Config'!$A$4:$B$13,2,0),"")</f>
        <v/>
      </c>
      <c r="AQ136" s="14" t="str">
        <f aca="false">IFERROR(VLOOKUP(TRIM('📥 Respostas'!AT136),'⚙️ Config'!$A$4:$B$13,2,0),"")</f>
        <v/>
      </c>
      <c r="AR136" s="14" t="str">
        <f aca="false">IFERROR(VLOOKUP(TRIM('📥 Respostas'!AU136),'⚙️ Config'!$A$4:$B$13,2,0),"")</f>
        <v/>
      </c>
    </row>
    <row r="137" customFormat="false" ht="15" hidden="false" customHeight="false" outlineLevel="0" collapsed="false">
      <c r="A137" s="15" t="str">
        <f aca="false">IF(ISBLANK('📥 Respostas'!D137),"",ROW()-3)</f>
        <v/>
      </c>
      <c r="B137" s="15" t="n">
        <f aca="false">'📥 Respostas'!D137</f>
        <v>0</v>
      </c>
      <c r="C137" s="5" t="n">
        <f aca="false">'📥 Respostas'!C137</f>
        <v>0</v>
      </c>
      <c r="D137" s="14" t="str">
        <f aca="false">IFERROR(VLOOKUP(TRIM('📥 Respostas'!G137),'⚙️ Config'!$A$4:$B$13,2,0),"")</f>
        <v/>
      </c>
      <c r="E137" s="14" t="str">
        <f aca="false">IFERROR(VLOOKUP(TRIM('📥 Respostas'!H137),'⚙️ Config'!$A$4:$B$13,2,0),"")</f>
        <v/>
      </c>
      <c r="F137" s="14" t="str">
        <f aca="false">IFERROR(VLOOKUP(TRIM('📥 Respostas'!I137),'⚙️ Config'!$A$4:$B$13,2,0),"")</f>
        <v/>
      </c>
      <c r="G137" s="14" t="str">
        <f aca="false">IFERROR(VLOOKUP(TRIM('📥 Respostas'!J137),'⚙️ Config'!$A$4:$B$13,2,0),"")</f>
        <v/>
      </c>
      <c r="H137" s="14" t="str">
        <f aca="false">IFERROR(VLOOKUP(TRIM('📥 Respostas'!K137),'⚙️ Config'!$A$4:$B$13,2,0),"")</f>
        <v/>
      </c>
      <c r="I137" s="14" t="str">
        <f aca="false">IFERROR(VLOOKUP(TRIM('📥 Respostas'!L137),'⚙️ Config'!$A$4:$B$13,2,0),"")</f>
        <v/>
      </c>
      <c r="J137" s="14" t="str">
        <f aca="false">IFERROR(VLOOKUP(TRIM('📥 Respostas'!M137),'⚙️ Config'!$A$4:$B$13,2,0),"")</f>
        <v/>
      </c>
      <c r="K137" s="14" t="str">
        <f aca="false">IFERROR(VLOOKUP(TRIM('📥 Respostas'!N137),'⚙️ Config'!$A$4:$B$13,2,0),"")</f>
        <v/>
      </c>
      <c r="L137" s="14" t="str">
        <f aca="false">IFERROR(VLOOKUP(TRIM('📥 Respostas'!O137),'⚙️ Config'!$A$4:$B$13,2,0),"")</f>
        <v/>
      </c>
      <c r="M137" s="14" t="str">
        <f aca="false">IFERROR(VLOOKUP(TRIM('📥 Respostas'!P137),'⚙️ Config'!$A$4:$B$13,2,0),"")</f>
        <v/>
      </c>
      <c r="N137" s="14" t="str">
        <f aca="false">IFERROR(VLOOKUP(TRIM('📥 Respostas'!Q137),'⚙️ Config'!$A$4:$B$13,2,0),"")</f>
        <v/>
      </c>
      <c r="O137" s="14" t="str">
        <f aca="false">IFERROR(VLOOKUP(TRIM('📥 Respostas'!R137),'⚙️ Config'!$A$4:$B$13,2,0),"")</f>
        <v/>
      </c>
      <c r="P137" s="14" t="str">
        <f aca="false">IFERROR(VLOOKUP(TRIM('📥 Respostas'!S137),'⚙️ Config'!$A$4:$B$13,2,0),"")</f>
        <v/>
      </c>
      <c r="Q137" s="14" t="str">
        <f aca="false">IFERROR(VLOOKUP(TRIM('📥 Respostas'!T137),'⚙️ Config'!$A$4:$B$13,2,0),"")</f>
        <v/>
      </c>
      <c r="R137" s="14" t="str">
        <f aca="false">IFERROR(VLOOKUP(TRIM('📥 Respostas'!U137),'⚙️ Config'!$A$4:$B$13,2,0),"")</f>
        <v/>
      </c>
      <c r="S137" s="14" t="str">
        <f aca="false">IFERROR(VLOOKUP(TRIM('📥 Respostas'!V137),'⚙️ Config'!$A$4:$B$13,2,0),"")</f>
        <v/>
      </c>
      <c r="T137" s="14" t="str">
        <f aca="false">IFERROR(VLOOKUP(TRIM('📥 Respostas'!W137),'⚙️ Config'!$A$4:$B$13,2,0),"")</f>
        <v/>
      </c>
      <c r="U137" s="14" t="str">
        <f aca="false">IFERROR(VLOOKUP(TRIM('📥 Respostas'!X137),'⚙️ Config'!$A$4:$B$13,2,0),"")</f>
        <v/>
      </c>
      <c r="V137" s="14" t="str">
        <f aca="false">IFERROR(VLOOKUP(TRIM('📥 Respostas'!Y137),'⚙️ Config'!$A$4:$B$13,2,0),"")</f>
        <v/>
      </c>
      <c r="W137" s="14" t="str">
        <f aca="false">IFERROR(VLOOKUP(TRIM('📥 Respostas'!Z137),'⚙️ Config'!$A$4:$B$13,2,0),"")</f>
        <v/>
      </c>
      <c r="X137" s="14" t="str">
        <f aca="false">IFERROR(VLOOKUP(TRIM('📥 Respostas'!AA137),'⚙️ Config'!$A$4:$B$13,2,0),"")</f>
        <v/>
      </c>
      <c r="Y137" s="14" t="str">
        <f aca="false">IFERROR(VLOOKUP(TRIM('📥 Respostas'!AB137),'⚙️ Config'!$A$4:$B$13,2,0),"")</f>
        <v/>
      </c>
      <c r="Z137" s="14" t="str">
        <f aca="false">IFERROR(VLOOKUP(TRIM('📥 Respostas'!AC137),'⚙️ Config'!$A$4:$B$13,2,0),"")</f>
        <v/>
      </c>
      <c r="AA137" s="14" t="str">
        <f aca="false">IFERROR(VLOOKUP(TRIM('📥 Respostas'!AD137),'⚙️ Config'!$A$4:$B$13,2,0),"")</f>
        <v/>
      </c>
      <c r="AB137" s="14" t="str">
        <f aca="false">IFERROR(VLOOKUP(TRIM('📥 Respostas'!AE137),'⚙️ Config'!$A$4:$B$13,2,0),"")</f>
        <v/>
      </c>
      <c r="AC137" s="14" t="str">
        <f aca="false">IFERROR(VLOOKUP(TRIM('📥 Respostas'!AF137),'⚙️ Config'!$A$4:$B$13,2,0),"")</f>
        <v/>
      </c>
      <c r="AD137" s="14" t="str">
        <f aca="false">IFERROR(VLOOKUP(TRIM('📥 Respostas'!AG137),'⚙️ Config'!$A$4:$B$13,2,0),"")</f>
        <v/>
      </c>
      <c r="AE137" s="14" t="str">
        <f aca="false">IFERROR(VLOOKUP(TRIM('📥 Respostas'!AH137),'⚙️ Config'!$A$4:$B$13,2,0),"")</f>
        <v/>
      </c>
      <c r="AF137" s="14" t="str">
        <f aca="false">IFERROR(VLOOKUP(TRIM('📥 Respostas'!AI137),'⚙️ Config'!$C$4:$D$11,2,0),"")</f>
        <v/>
      </c>
      <c r="AG137" s="14" t="str">
        <f aca="false">IFERROR(VLOOKUP(TRIM('📥 Respostas'!AJ137),'⚙️ Config'!$A$4:$B$13,2,0),"")</f>
        <v/>
      </c>
      <c r="AH137" s="14" t="str">
        <f aca="false">IFERROR(VLOOKUP(TRIM('📥 Respostas'!AK137),'⚙️ Config'!$A$4:$B$13,2,0),"")</f>
        <v/>
      </c>
      <c r="AI137" s="14" t="str">
        <f aca="false">IFERROR(VLOOKUP(TRIM('📥 Respostas'!AL137),'⚙️ Config'!$A$4:$B$13,2,0),"")</f>
        <v/>
      </c>
      <c r="AJ137" s="14" t="str">
        <f aca="false">IFERROR(VLOOKUP(TRIM('📥 Respostas'!AM137),'⚙️ Config'!$A$4:$B$13,2,0),"")</f>
        <v/>
      </c>
      <c r="AK137" s="14" t="str">
        <f aca="false">IFERROR(VLOOKUP(TRIM('📥 Respostas'!AN137),'⚙️ Config'!$A$4:$B$13,2,0),"")</f>
        <v/>
      </c>
      <c r="AL137" s="14" t="str">
        <f aca="false">IFERROR(VLOOKUP(TRIM('📥 Respostas'!AO137),'⚙️ Config'!$A$4:$B$13,2,0),"")</f>
        <v/>
      </c>
      <c r="AM137" s="14" t="str">
        <f aca="false">IFERROR(VLOOKUP(TRIM('📥 Respostas'!AP137),'⚙️ Config'!$A$4:$B$13,2,0),"")</f>
        <v/>
      </c>
      <c r="AN137" s="14" t="str">
        <f aca="false">IFERROR(VLOOKUP(TRIM('📥 Respostas'!AQ137),'⚙️ Config'!$A$4:$B$13,2,0),"")</f>
        <v/>
      </c>
      <c r="AO137" s="14" t="str">
        <f aca="false">IFERROR(VLOOKUP(TRIM('📥 Respostas'!AR137),'⚙️ Config'!$A$4:$B$13,2,0),"")</f>
        <v/>
      </c>
      <c r="AP137" s="14" t="str">
        <f aca="false">IFERROR(VLOOKUP(TRIM('📥 Respostas'!AS137),'⚙️ Config'!$A$4:$B$13,2,0),"")</f>
        <v/>
      </c>
      <c r="AQ137" s="14" t="str">
        <f aca="false">IFERROR(VLOOKUP(TRIM('📥 Respostas'!AT137),'⚙️ Config'!$A$4:$B$13,2,0),"")</f>
        <v/>
      </c>
      <c r="AR137" s="14" t="str">
        <f aca="false">IFERROR(VLOOKUP(TRIM('📥 Respostas'!AU137),'⚙️ Config'!$A$4:$B$13,2,0),"")</f>
        <v/>
      </c>
    </row>
    <row r="138" customFormat="false" ht="15" hidden="false" customHeight="false" outlineLevel="0" collapsed="false">
      <c r="A138" s="12" t="str">
        <f aca="false">IF(ISBLANK('📥 Respostas'!D138),"",ROW()-3)</f>
        <v/>
      </c>
      <c r="B138" s="12" t="n">
        <f aca="false">'📥 Respostas'!D138</f>
        <v>0</v>
      </c>
      <c r="C138" s="13" t="n">
        <f aca="false">'📥 Respostas'!C138</f>
        <v>0</v>
      </c>
      <c r="D138" s="14" t="str">
        <f aca="false">IFERROR(VLOOKUP(TRIM('📥 Respostas'!G138),'⚙️ Config'!$A$4:$B$13,2,0),"")</f>
        <v/>
      </c>
      <c r="E138" s="14" t="str">
        <f aca="false">IFERROR(VLOOKUP(TRIM('📥 Respostas'!H138),'⚙️ Config'!$A$4:$B$13,2,0),"")</f>
        <v/>
      </c>
      <c r="F138" s="14" t="str">
        <f aca="false">IFERROR(VLOOKUP(TRIM('📥 Respostas'!I138),'⚙️ Config'!$A$4:$B$13,2,0),"")</f>
        <v/>
      </c>
      <c r="G138" s="14" t="str">
        <f aca="false">IFERROR(VLOOKUP(TRIM('📥 Respostas'!J138),'⚙️ Config'!$A$4:$B$13,2,0),"")</f>
        <v/>
      </c>
      <c r="H138" s="14" t="str">
        <f aca="false">IFERROR(VLOOKUP(TRIM('📥 Respostas'!K138),'⚙️ Config'!$A$4:$B$13,2,0),"")</f>
        <v/>
      </c>
      <c r="I138" s="14" t="str">
        <f aca="false">IFERROR(VLOOKUP(TRIM('📥 Respostas'!L138),'⚙️ Config'!$A$4:$B$13,2,0),"")</f>
        <v/>
      </c>
      <c r="J138" s="14" t="str">
        <f aca="false">IFERROR(VLOOKUP(TRIM('📥 Respostas'!M138),'⚙️ Config'!$A$4:$B$13,2,0),"")</f>
        <v/>
      </c>
      <c r="K138" s="14" t="str">
        <f aca="false">IFERROR(VLOOKUP(TRIM('📥 Respostas'!N138),'⚙️ Config'!$A$4:$B$13,2,0),"")</f>
        <v/>
      </c>
      <c r="L138" s="14" t="str">
        <f aca="false">IFERROR(VLOOKUP(TRIM('📥 Respostas'!O138),'⚙️ Config'!$A$4:$B$13,2,0),"")</f>
        <v/>
      </c>
      <c r="M138" s="14" t="str">
        <f aca="false">IFERROR(VLOOKUP(TRIM('📥 Respostas'!P138),'⚙️ Config'!$A$4:$B$13,2,0),"")</f>
        <v/>
      </c>
      <c r="N138" s="14" t="str">
        <f aca="false">IFERROR(VLOOKUP(TRIM('📥 Respostas'!Q138),'⚙️ Config'!$A$4:$B$13,2,0),"")</f>
        <v/>
      </c>
      <c r="O138" s="14" t="str">
        <f aca="false">IFERROR(VLOOKUP(TRIM('📥 Respostas'!R138),'⚙️ Config'!$A$4:$B$13,2,0),"")</f>
        <v/>
      </c>
      <c r="P138" s="14" t="str">
        <f aca="false">IFERROR(VLOOKUP(TRIM('📥 Respostas'!S138),'⚙️ Config'!$A$4:$B$13,2,0),"")</f>
        <v/>
      </c>
      <c r="Q138" s="14" t="str">
        <f aca="false">IFERROR(VLOOKUP(TRIM('📥 Respostas'!T138),'⚙️ Config'!$A$4:$B$13,2,0),"")</f>
        <v/>
      </c>
      <c r="R138" s="14" t="str">
        <f aca="false">IFERROR(VLOOKUP(TRIM('📥 Respostas'!U138),'⚙️ Config'!$A$4:$B$13,2,0),"")</f>
        <v/>
      </c>
      <c r="S138" s="14" t="str">
        <f aca="false">IFERROR(VLOOKUP(TRIM('📥 Respostas'!V138),'⚙️ Config'!$A$4:$B$13,2,0),"")</f>
        <v/>
      </c>
      <c r="T138" s="14" t="str">
        <f aca="false">IFERROR(VLOOKUP(TRIM('📥 Respostas'!W138),'⚙️ Config'!$A$4:$B$13,2,0),"")</f>
        <v/>
      </c>
      <c r="U138" s="14" t="str">
        <f aca="false">IFERROR(VLOOKUP(TRIM('📥 Respostas'!X138),'⚙️ Config'!$A$4:$B$13,2,0),"")</f>
        <v/>
      </c>
      <c r="V138" s="14" t="str">
        <f aca="false">IFERROR(VLOOKUP(TRIM('📥 Respostas'!Y138),'⚙️ Config'!$A$4:$B$13,2,0),"")</f>
        <v/>
      </c>
      <c r="W138" s="14" t="str">
        <f aca="false">IFERROR(VLOOKUP(TRIM('📥 Respostas'!Z138),'⚙️ Config'!$A$4:$B$13,2,0),"")</f>
        <v/>
      </c>
      <c r="X138" s="14" t="str">
        <f aca="false">IFERROR(VLOOKUP(TRIM('📥 Respostas'!AA138),'⚙️ Config'!$A$4:$B$13,2,0),"")</f>
        <v/>
      </c>
      <c r="Y138" s="14" t="str">
        <f aca="false">IFERROR(VLOOKUP(TRIM('📥 Respostas'!AB138),'⚙️ Config'!$A$4:$B$13,2,0),"")</f>
        <v/>
      </c>
      <c r="Z138" s="14" t="str">
        <f aca="false">IFERROR(VLOOKUP(TRIM('📥 Respostas'!AC138),'⚙️ Config'!$A$4:$B$13,2,0),"")</f>
        <v/>
      </c>
      <c r="AA138" s="14" t="str">
        <f aca="false">IFERROR(VLOOKUP(TRIM('📥 Respostas'!AD138),'⚙️ Config'!$A$4:$B$13,2,0),"")</f>
        <v/>
      </c>
      <c r="AB138" s="14" t="str">
        <f aca="false">IFERROR(VLOOKUP(TRIM('📥 Respostas'!AE138),'⚙️ Config'!$A$4:$B$13,2,0),"")</f>
        <v/>
      </c>
      <c r="AC138" s="14" t="str">
        <f aca="false">IFERROR(VLOOKUP(TRIM('📥 Respostas'!AF138),'⚙️ Config'!$A$4:$B$13,2,0),"")</f>
        <v/>
      </c>
      <c r="AD138" s="14" t="str">
        <f aca="false">IFERROR(VLOOKUP(TRIM('📥 Respostas'!AG138),'⚙️ Config'!$A$4:$B$13,2,0),"")</f>
        <v/>
      </c>
      <c r="AE138" s="14" t="str">
        <f aca="false">IFERROR(VLOOKUP(TRIM('📥 Respostas'!AH138),'⚙️ Config'!$A$4:$B$13,2,0),"")</f>
        <v/>
      </c>
      <c r="AF138" s="14" t="str">
        <f aca="false">IFERROR(VLOOKUP(TRIM('📥 Respostas'!AI138),'⚙️ Config'!$C$4:$D$11,2,0),"")</f>
        <v/>
      </c>
      <c r="AG138" s="14" t="str">
        <f aca="false">IFERROR(VLOOKUP(TRIM('📥 Respostas'!AJ138),'⚙️ Config'!$A$4:$B$13,2,0),"")</f>
        <v/>
      </c>
      <c r="AH138" s="14" t="str">
        <f aca="false">IFERROR(VLOOKUP(TRIM('📥 Respostas'!AK138),'⚙️ Config'!$A$4:$B$13,2,0),"")</f>
        <v/>
      </c>
      <c r="AI138" s="14" t="str">
        <f aca="false">IFERROR(VLOOKUP(TRIM('📥 Respostas'!AL138),'⚙️ Config'!$A$4:$B$13,2,0),"")</f>
        <v/>
      </c>
      <c r="AJ138" s="14" t="str">
        <f aca="false">IFERROR(VLOOKUP(TRIM('📥 Respostas'!AM138),'⚙️ Config'!$A$4:$B$13,2,0),"")</f>
        <v/>
      </c>
      <c r="AK138" s="14" t="str">
        <f aca="false">IFERROR(VLOOKUP(TRIM('📥 Respostas'!AN138),'⚙️ Config'!$A$4:$B$13,2,0),"")</f>
        <v/>
      </c>
      <c r="AL138" s="14" t="str">
        <f aca="false">IFERROR(VLOOKUP(TRIM('📥 Respostas'!AO138),'⚙️ Config'!$A$4:$B$13,2,0),"")</f>
        <v/>
      </c>
      <c r="AM138" s="14" t="str">
        <f aca="false">IFERROR(VLOOKUP(TRIM('📥 Respostas'!AP138),'⚙️ Config'!$A$4:$B$13,2,0),"")</f>
        <v/>
      </c>
      <c r="AN138" s="14" t="str">
        <f aca="false">IFERROR(VLOOKUP(TRIM('📥 Respostas'!AQ138),'⚙️ Config'!$A$4:$B$13,2,0),"")</f>
        <v/>
      </c>
      <c r="AO138" s="14" t="str">
        <f aca="false">IFERROR(VLOOKUP(TRIM('📥 Respostas'!AR138),'⚙️ Config'!$A$4:$B$13,2,0),"")</f>
        <v/>
      </c>
      <c r="AP138" s="14" t="str">
        <f aca="false">IFERROR(VLOOKUP(TRIM('📥 Respostas'!AS138),'⚙️ Config'!$A$4:$B$13,2,0),"")</f>
        <v/>
      </c>
      <c r="AQ138" s="14" t="str">
        <f aca="false">IFERROR(VLOOKUP(TRIM('📥 Respostas'!AT138),'⚙️ Config'!$A$4:$B$13,2,0),"")</f>
        <v/>
      </c>
      <c r="AR138" s="14" t="str">
        <f aca="false">IFERROR(VLOOKUP(TRIM('📥 Respostas'!AU138),'⚙️ Config'!$A$4:$B$13,2,0),"")</f>
        <v/>
      </c>
    </row>
    <row r="139" customFormat="false" ht="15" hidden="false" customHeight="false" outlineLevel="0" collapsed="false">
      <c r="A139" s="15" t="str">
        <f aca="false">IF(ISBLANK('📥 Respostas'!D139),"",ROW()-3)</f>
        <v/>
      </c>
      <c r="B139" s="15" t="n">
        <f aca="false">'📥 Respostas'!D139</f>
        <v>0</v>
      </c>
      <c r="C139" s="5" t="n">
        <f aca="false">'📥 Respostas'!C139</f>
        <v>0</v>
      </c>
      <c r="D139" s="14" t="str">
        <f aca="false">IFERROR(VLOOKUP(TRIM('📥 Respostas'!G139),'⚙️ Config'!$A$4:$B$13,2,0),"")</f>
        <v/>
      </c>
      <c r="E139" s="14" t="str">
        <f aca="false">IFERROR(VLOOKUP(TRIM('📥 Respostas'!H139),'⚙️ Config'!$A$4:$B$13,2,0),"")</f>
        <v/>
      </c>
      <c r="F139" s="14" t="str">
        <f aca="false">IFERROR(VLOOKUP(TRIM('📥 Respostas'!I139),'⚙️ Config'!$A$4:$B$13,2,0),"")</f>
        <v/>
      </c>
      <c r="G139" s="14" t="str">
        <f aca="false">IFERROR(VLOOKUP(TRIM('📥 Respostas'!J139),'⚙️ Config'!$A$4:$B$13,2,0),"")</f>
        <v/>
      </c>
      <c r="H139" s="14" t="str">
        <f aca="false">IFERROR(VLOOKUP(TRIM('📥 Respostas'!K139),'⚙️ Config'!$A$4:$B$13,2,0),"")</f>
        <v/>
      </c>
      <c r="I139" s="14" t="str">
        <f aca="false">IFERROR(VLOOKUP(TRIM('📥 Respostas'!L139),'⚙️ Config'!$A$4:$B$13,2,0),"")</f>
        <v/>
      </c>
      <c r="J139" s="14" t="str">
        <f aca="false">IFERROR(VLOOKUP(TRIM('📥 Respostas'!M139),'⚙️ Config'!$A$4:$B$13,2,0),"")</f>
        <v/>
      </c>
      <c r="K139" s="14" t="str">
        <f aca="false">IFERROR(VLOOKUP(TRIM('📥 Respostas'!N139),'⚙️ Config'!$A$4:$B$13,2,0),"")</f>
        <v/>
      </c>
      <c r="L139" s="14" t="str">
        <f aca="false">IFERROR(VLOOKUP(TRIM('📥 Respostas'!O139),'⚙️ Config'!$A$4:$B$13,2,0),"")</f>
        <v/>
      </c>
      <c r="M139" s="14" t="str">
        <f aca="false">IFERROR(VLOOKUP(TRIM('📥 Respostas'!P139),'⚙️ Config'!$A$4:$B$13,2,0),"")</f>
        <v/>
      </c>
      <c r="N139" s="14" t="str">
        <f aca="false">IFERROR(VLOOKUP(TRIM('📥 Respostas'!Q139),'⚙️ Config'!$A$4:$B$13,2,0),"")</f>
        <v/>
      </c>
      <c r="O139" s="14" t="str">
        <f aca="false">IFERROR(VLOOKUP(TRIM('📥 Respostas'!R139),'⚙️ Config'!$A$4:$B$13,2,0),"")</f>
        <v/>
      </c>
      <c r="P139" s="14" t="str">
        <f aca="false">IFERROR(VLOOKUP(TRIM('📥 Respostas'!S139),'⚙️ Config'!$A$4:$B$13,2,0),"")</f>
        <v/>
      </c>
      <c r="Q139" s="14" t="str">
        <f aca="false">IFERROR(VLOOKUP(TRIM('📥 Respostas'!T139),'⚙️ Config'!$A$4:$B$13,2,0),"")</f>
        <v/>
      </c>
      <c r="R139" s="14" t="str">
        <f aca="false">IFERROR(VLOOKUP(TRIM('📥 Respostas'!U139),'⚙️ Config'!$A$4:$B$13,2,0),"")</f>
        <v/>
      </c>
      <c r="S139" s="14" t="str">
        <f aca="false">IFERROR(VLOOKUP(TRIM('📥 Respostas'!V139),'⚙️ Config'!$A$4:$B$13,2,0),"")</f>
        <v/>
      </c>
      <c r="T139" s="14" t="str">
        <f aca="false">IFERROR(VLOOKUP(TRIM('📥 Respostas'!W139),'⚙️ Config'!$A$4:$B$13,2,0),"")</f>
        <v/>
      </c>
      <c r="U139" s="14" t="str">
        <f aca="false">IFERROR(VLOOKUP(TRIM('📥 Respostas'!X139),'⚙️ Config'!$A$4:$B$13,2,0),"")</f>
        <v/>
      </c>
      <c r="V139" s="14" t="str">
        <f aca="false">IFERROR(VLOOKUP(TRIM('📥 Respostas'!Y139),'⚙️ Config'!$A$4:$B$13,2,0),"")</f>
        <v/>
      </c>
      <c r="W139" s="14" t="str">
        <f aca="false">IFERROR(VLOOKUP(TRIM('📥 Respostas'!Z139),'⚙️ Config'!$A$4:$B$13,2,0),"")</f>
        <v/>
      </c>
      <c r="X139" s="14" t="str">
        <f aca="false">IFERROR(VLOOKUP(TRIM('📥 Respostas'!AA139),'⚙️ Config'!$A$4:$B$13,2,0),"")</f>
        <v/>
      </c>
      <c r="Y139" s="14" t="str">
        <f aca="false">IFERROR(VLOOKUP(TRIM('📥 Respostas'!AB139),'⚙️ Config'!$A$4:$B$13,2,0),"")</f>
        <v/>
      </c>
      <c r="Z139" s="14" t="str">
        <f aca="false">IFERROR(VLOOKUP(TRIM('📥 Respostas'!AC139),'⚙️ Config'!$A$4:$B$13,2,0),"")</f>
        <v/>
      </c>
      <c r="AA139" s="14" t="str">
        <f aca="false">IFERROR(VLOOKUP(TRIM('📥 Respostas'!AD139),'⚙️ Config'!$A$4:$B$13,2,0),"")</f>
        <v/>
      </c>
      <c r="AB139" s="14" t="str">
        <f aca="false">IFERROR(VLOOKUP(TRIM('📥 Respostas'!AE139),'⚙️ Config'!$A$4:$B$13,2,0),"")</f>
        <v/>
      </c>
      <c r="AC139" s="14" t="str">
        <f aca="false">IFERROR(VLOOKUP(TRIM('📥 Respostas'!AF139),'⚙️ Config'!$A$4:$B$13,2,0),"")</f>
        <v/>
      </c>
      <c r="AD139" s="14" t="str">
        <f aca="false">IFERROR(VLOOKUP(TRIM('📥 Respostas'!AG139),'⚙️ Config'!$A$4:$B$13,2,0),"")</f>
        <v/>
      </c>
      <c r="AE139" s="14" t="str">
        <f aca="false">IFERROR(VLOOKUP(TRIM('📥 Respostas'!AH139),'⚙️ Config'!$A$4:$B$13,2,0),"")</f>
        <v/>
      </c>
      <c r="AF139" s="14" t="str">
        <f aca="false">IFERROR(VLOOKUP(TRIM('📥 Respostas'!AI139),'⚙️ Config'!$C$4:$D$11,2,0),"")</f>
        <v/>
      </c>
      <c r="AG139" s="14" t="str">
        <f aca="false">IFERROR(VLOOKUP(TRIM('📥 Respostas'!AJ139),'⚙️ Config'!$A$4:$B$13,2,0),"")</f>
        <v/>
      </c>
      <c r="AH139" s="14" t="str">
        <f aca="false">IFERROR(VLOOKUP(TRIM('📥 Respostas'!AK139),'⚙️ Config'!$A$4:$B$13,2,0),"")</f>
        <v/>
      </c>
      <c r="AI139" s="14" t="str">
        <f aca="false">IFERROR(VLOOKUP(TRIM('📥 Respostas'!AL139),'⚙️ Config'!$A$4:$B$13,2,0),"")</f>
        <v/>
      </c>
      <c r="AJ139" s="14" t="str">
        <f aca="false">IFERROR(VLOOKUP(TRIM('📥 Respostas'!AM139),'⚙️ Config'!$A$4:$B$13,2,0),"")</f>
        <v/>
      </c>
      <c r="AK139" s="14" t="str">
        <f aca="false">IFERROR(VLOOKUP(TRIM('📥 Respostas'!AN139),'⚙️ Config'!$A$4:$B$13,2,0),"")</f>
        <v/>
      </c>
      <c r="AL139" s="14" t="str">
        <f aca="false">IFERROR(VLOOKUP(TRIM('📥 Respostas'!AO139),'⚙️ Config'!$A$4:$B$13,2,0),"")</f>
        <v/>
      </c>
      <c r="AM139" s="14" t="str">
        <f aca="false">IFERROR(VLOOKUP(TRIM('📥 Respostas'!AP139),'⚙️ Config'!$A$4:$B$13,2,0),"")</f>
        <v/>
      </c>
      <c r="AN139" s="14" t="str">
        <f aca="false">IFERROR(VLOOKUP(TRIM('📥 Respostas'!AQ139),'⚙️ Config'!$A$4:$B$13,2,0),"")</f>
        <v/>
      </c>
      <c r="AO139" s="14" t="str">
        <f aca="false">IFERROR(VLOOKUP(TRIM('📥 Respostas'!AR139),'⚙️ Config'!$A$4:$B$13,2,0),"")</f>
        <v/>
      </c>
      <c r="AP139" s="14" t="str">
        <f aca="false">IFERROR(VLOOKUP(TRIM('📥 Respostas'!AS139),'⚙️ Config'!$A$4:$B$13,2,0),"")</f>
        <v/>
      </c>
      <c r="AQ139" s="14" t="str">
        <f aca="false">IFERROR(VLOOKUP(TRIM('📥 Respostas'!AT139),'⚙️ Config'!$A$4:$B$13,2,0),"")</f>
        <v/>
      </c>
      <c r="AR139" s="14" t="str">
        <f aca="false">IFERROR(VLOOKUP(TRIM('📥 Respostas'!AU139),'⚙️ Config'!$A$4:$B$13,2,0),"")</f>
        <v/>
      </c>
    </row>
    <row r="140" customFormat="false" ht="15" hidden="false" customHeight="false" outlineLevel="0" collapsed="false">
      <c r="A140" s="12" t="str">
        <f aca="false">IF(ISBLANK('📥 Respostas'!D140),"",ROW()-3)</f>
        <v/>
      </c>
      <c r="B140" s="12" t="n">
        <f aca="false">'📥 Respostas'!D140</f>
        <v>0</v>
      </c>
      <c r="C140" s="13" t="n">
        <f aca="false">'📥 Respostas'!C140</f>
        <v>0</v>
      </c>
      <c r="D140" s="14" t="str">
        <f aca="false">IFERROR(VLOOKUP(TRIM('📥 Respostas'!G140),'⚙️ Config'!$A$4:$B$13,2,0),"")</f>
        <v/>
      </c>
      <c r="E140" s="14" t="str">
        <f aca="false">IFERROR(VLOOKUP(TRIM('📥 Respostas'!H140),'⚙️ Config'!$A$4:$B$13,2,0),"")</f>
        <v/>
      </c>
      <c r="F140" s="14" t="str">
        <f aca="false">IFERROR(VLOOKUP(TRIM('📥 Respostas'!I140),'⚙️ Config'!$A$4:$B$13,2,0),"")</f>
        <v/>
      </c>
      <c r="G140" s="14" t="str">
        <f aca="false">IFERROR(VLOOKUP(TRIM('📥 Respostas'!J140),'⚙️ Config'!$A$4:$B$13,2,0),"")</f>
        <v/>
      </c>
      <c r="H140" s="14" t="str">
        <f aca="false">IFERROR(VLOOKUP(TRIM('📥 Respostas'!K140),'⚙️ Config'!$A$4:$B$13,2,0),"")</f>
        <v/>
      </c>
      <c r="I140" s="14" t="str">
        <f aca="false">IFERROR(VLOOKUP(TRIM('📥 Respostas'!L140),'⚙️ Config'!$A$4:$B$13,2,0),"")</f>
        <v/>
      </c>
      <c r="J140" s="14" t="str">
        <f aca="false">IFERROR(VLOOKUP(TRIM('📥 Respostas'!M140),'⚙️ Config'!$A$4:$B$13,2,0),"")</f>
        <v/>
      </c>
      <c r="K140" s="14" t="str">
        <f aca="false">IFERROR(VLOOKUP(TRIM('📥 Respostas'!N140),'⚙️ Config'!$A$4:$B$13,2,0),"")</f>
        <v/>
      </c>
      <c r="L140" s="14" t="str">
        <f aca="false">IFERROR(VLOOKUP(TRIM('📥 Respostas'!O140),'⚙️ Config'!$A$4:$B$13,2,0),"")</f>
        <v/>
      </c>
      <c r="M140" s="14" t="str">
        <f aca="false">IFERROR(VLOOKUP(TRIM('📥 Respostas'!P140),'⚙️ Config'!$A$4:$B$13,2,0),"")</f>
        <v/>
      </c>
      <c r="N140" s="14" t="str">
        <f aca="false">IFERROR(VLOOKUP(TRIM('📥 Respostas'!Q140),'⚙️ Config'!$A$4:$B$13,2,0),"")</f>
        <v/>
      </c>
      <c r="O140" s="14" t="str">
        <f aca="false">IFERROR(VLOOKUP(TRIM('📥 Respostas'!R140),'⚙️ Config'!$A$4:$B$13,2,0),"")</f>
        <v/>
      </c>
      <c r="P140" s="14" t="str">
        <f aca="false">IFERROR(VLOOKUP(TRIM('📥 Respostas'!S140),'⚙️ Config'!$A$4:$B$13,2,0),"")</f>
        <v/>
      </c>
      <c r="Q140" s="14" t="str">
        <f aca="false">IFERROR(VLOOKUP(TRIM('📥 Respostas'!T140),'⚙️ Config'!$A$4:$B$13,2,0),"")</f>
        <v/>
      </c>
      <c r="R140" s="14" t="str">
        <f aca="false">IFERROR(VLOOKUP(TRIM('📥 Respostas'!U140),'⚙️ Config'!$A$4:$B$13,2,0),"")</f>
        <v/>
      </c>
      <c r="S140" s="14" t="str">
        <f aca="false">IFERROR(VLOOKUP(TRIM('📥 Respostas'!V140),'⚙️ Config'!$A$4:$B$13,2,0),"")</f>
        <v/>
      </c>
      <c r="T140" s="14" t="str">
        <f aca="false">IFERROR(VLOOKUP(TRIM('📥 Respostas'!W140),'⚙️ Config'!$A$4:$B$13,2,0),"")</f>
        <v/>
      </c>
      <c r="U140" s="14" t="str">
        <f aca="false">IFERROR(VLOOKUP(TRIM('📥 Respostas'!X140),'⚙️ Config'!$A$4:$B$13,2,0),"")</f>
        <v/>
      </c>
      <c r="V140" s="14" t="str">
        <f aca="false">IFERROR(VLOOKUP(TRIM('📥 Respostas'!Y140),'⚙️ Config'!$A$4:$B$13,2,0),"")</f>
        <v/>
      </c>
      <c r="W140" s="14" t="str">
        <f aca="false">IFERROR(VLOOKUP(TRIM('📥 Respostas'!Z140),'⚙️ Config'!$A$4:$B$13,2,0),"")</f>
        <v/>
      </c>
      <c r="X140" s="14" t="str">
        <f aca="false">IFERROR(VLOOKUP(TRIM('📥 Respostas'!AA140),'⚙️ Config'!$A$4:$B$13,2,0),"")</f>
        <v/>
      </c>
      <c r="Y140" s="14" t="str">
        <f aca="false">IFERROR(VLOOKUP(TRIM('📥 Respostas'!AB140),'⚙️ Config'!$A$4:$B$13,2,0),"")</f>
        <v/>
      </c>
      <c r="Z140" s="14" t="str">
        <f aca="false">IFERROR(VLOOKUP(TRIM('📥 Respostas'!AC140),'⚙️ Config'!$A$4:$B$13,2,0),"")</f>
        <v/>
      </c>
      <c r="AA140" s="14" t="str">
        <f aca="false">IFERROR(VLOOKUP(TRIM('📥 Respostas'!AD140),'⚙️ Config'!$A$4:$B$13,2,0),"")</f>
        <v/>
      </c>
      <c r="AB140" s="14" t="str">
        <f aca="false">IFERROR(VLOOKUP(TRIM('📥 Respostas'!AE140),'⚙️ Config'!$A$4:$B$13,2,0),"")</f>
        <v/>
      </c>
      <c r="AC140" s="14" t="str">
        <f aca="false">IFERROR(VLOOKUP(TRIM('📥 Respostas'!AF140),'⚙️ Config'!$A$4:$B$13,2,0),"")</f>
        <v/>
      </c>
      <c r="AD140" s="14" t="str">
        <f aca="false">IFERROR(VLOOKUP(TRIM('📥 Respostas'!AG140),'⚙️ Config'!$A$4:$B$13,2,0),"")</f>
        <v/>
      </c>
      <c r="AE140" s="14" t="str">
        <f aca="false">IFERROR(VLOOKUP(TRIM('📥 Respostas'!AH140),'⚙️ Config'!$A$4:$B$13,2,0),"")</f>
        <v/>
      </c>
      <c r="AF140" s="14" t="str">
        <f aca="false">IFERROR(VLOOKUP(TRIM('📥 Respostas'!AI140),'⚙️ Config'!$C$4:$D$11,2,0),"")</f>
        <v/>
      </c>
      <c r="AG140" s="14" t="str">
        <f aca="false">IFERROR(VLOOKUP(TRIM('📥 Respostas'!AJ140),'⚙️ Config'!$A$4:$B$13,2,0),"")</f>
        <v/>
      </c>
      <c r="AH140" s="14" t="str">
        <f aca="false">IFERROR(VLOOKUP(TRIM('📥 Respostas'!AK140),'⚙️ Config'!$A$4:$B$13,2,0),"")</f>
        <v/>
      </c>
      <c r="AI140" s="14" t="str">
        <f aca="false">IFERROR(VLOOKUP(TRIM('📥 Respostas'!AL140),'⚙️ Config'!$A$4:$B$13,2,0),"")</f>
        <v/>
      </c>
      <c r="AJ140" s="14" t="str">
        <f aca="false">IFERROR(VLOOKUP(TRIM('📥 Respostas'!AM140),'⚙️ Config'!$A$4:$B$13,2,0),"")</f>
        <v/>
      </c>
      <c r="AK140" s="14" t="str">
        <f aca="false">IFERROR(VLOOKUP(TRIM('📥 Respostas'!AN140),'⚙️ Config'!$A$4:$B$13,2,0),"")</f>
        <v/>
      </c>
      <c r="AL140" s="14" t="str">
        <f aca="false">IFERROR(VLOOKUP(TRIM('📥 Respostas'!AO140),'⚙️ Config'!$A$4:$B$13,2,0),"")</f>
        <v/>
      </c>
      <c r="AM140" s="14" t="str">
        <f aca="false">IFERROR(VLOOKUP(TRIM('📥 Respostas'!AP140),'⚙️ Config'!$A$4:$B$13,2,0),"")</f>
        <v/>
      </c>
      <c r="AN140" s="14" t="str">
        <f aca="false">IFERROR(VLOOKUP(TRIM('📥 Respostas'!AQ140),'⚙️ Config'!$A$4:$B$13,2,0),"")</f>
        <v/>
      </c>
      <c r="AO140" s="14" t="str">
        <f aca="false">IFERROR(VLOOKUP(TRIM('📥 Respostas'!AR140),'⚙️ Config'!$A$4:$B$13,2,0),"")</f>
        <v/>
      </c>
      <c r="AP140" s="14" t="str">
        <f aca="false">IFERROR(VLOOKUP(TRIM('📥 Respostas'!AS140),'⚙️ Config'!$A$4:$B$13,2,0),"")</f>
        <v/>
      </c>
      <c r="AQ140" s="14" t="str">
        <f aca="false">IFERROR(VLOOKUP(TRIM('📥 Respostas'!AT140),'⚙️ Config'!$A$4:$B$13,2,0),"")</f>
        <v/>
      </c>
      <c r="AR140" s="14" t="str">
        <f aca="false">IFERROR(VLOOKUP(TRIM('📥 Respostas'!AU140),'⚙️ Config'!$A$4:$B$13,2,0),"")</f>
        <v/>
      </c>
    </row>
    <row r="141" customFormat="false" ht="15" hidden="false" customHeight="false" outlineLevel="0" collapsed="false">
      <c r="A141" s="15" t="str">
        <f aca="false">IF(ISBLANK('📥 Respostas'!D141),"",ROW()-3)</f>
        <v/>
      </c>
      <c r="B141" s="15" t="n">
        <f aca="false">'📥 Respostas'!D141</f>
        <v>0</v>
      </c>
      <c r="C141" s="5" t="n">
        <f aca="false">'📥 Respostas'!C141</f>
        <v>0</v>
      </c>
      <c r="D141" s="14" t="str">
        <f aca="false">IFERROR(VLOOKUP(TRIM('📥 Respostas'!G141),'⚙️ Config'!$A$4:$B$13,2,0),"")</f>
        <v/>
      </c>
      <c r="E141" s="14" t="str">
        <f aca="false">IFERROR(VLOOKUP(TRIM('📥 Respostas'!H141),'⚙️ Config'!$A$4:$B$13,2,0),"")</f>
        <v/>
      </c>
      <c r="F141" s="14" t="str">
        <f aca="false">IFERROR(VLOOKUP(TRIM('📥 Respostas'!I141),'⚙️ Config'!$A$4:$B$13,2,0),"")</f>
        <v/>
      </c>
      <c r="G141" s="14" t="str">
        <f aca="false">IFERROR(VLOOKUP(TRIM('📥 Respostas'!J141),'⚙️ Config'!$A$4:$B$13,2,0),"")</f>
        <v/>
      </c>
      <c r="H141" s="14" t="str">
        <f aca="false">IFERROR(VLOOKUP(TRIM('📥 Respostas'!K141),'⚙️ Config'!$A$4:$B$13,2,0),"")</f>
        <v/>
      </c>
      <c r="I141" s="14" t="str">
        <f aca="false">IFERROR(VLOOKUP(TRIM('📥 Respostas'!L141),'⚙️ Config'!$A$4:$B$13,2,0),"")</f>
        <v/>
      </c>
      <c r="J141" s="14" t="str">
        <f aca="false">IFERROR(VLOOKUP(TRIM('📥 Respostas'!M141),'⚙️ Config'!$A$4:$B$13,2,0),"")</f>
        <v/>
      </c>
      <c r="K141" s="14" t="str">
        <f aca="false">IFERROR(VLOOKUP(TRIM('📥 Respostas'!N141),'⚙️ Config'!$A$4:$B$13,2,0),"")</f>
        <v/>
      </c>
      <c r="L141" s="14" t="str">
        <f aca="false">IFERROR(VLOOKUP(TRIM('📥 Respostas'!O141),'⚙️ Config'!$A$4:$B$13,2,0),"")</f>
        <v/>
      </c>
      <c r="M141" s="14" t="str">
        <f aca="false">IFERROR(VLOOKUP(TRIM('📥 Respostas'!P141),'⚙️ Config'!$A$4:$B$13,2,0),"")</f>
        <v/>
      </c>
      <c r="N141" s="14" t="str">
        <f aca="false">IFERROR(VLOOKUP(TRIM('📥 Respostas'!Q141),'⚙️ Config'!$A$4:$B$13,2,0),"")</f>
        <v/>
      </c>
      <c r="O141" s="14" t="str">
        <f aca="false">IFERROR(VLOOKUP(TRIM('📥 Respostas'!R141),'⚙️ Config'!$A$4:$B$13,2,0),"")</f>
        <v/>
      </c>
      <c r="P141" s="14" t="str">
        <f aca="false">IFERROR(VLOOKUP(TRIM('📥 Respostas'!S141),'⚙️ Config'!$A$4:$B$13,2,0),"")</f>
        <v/>
      </c>
      <c r="Q141" s="14" t="str">
        <f aca="false">IFERROR(VLOOKUP(TRIM('📥 Respostas'!T141),'⚙️ Config'!$A$4:$B$13,2,0),"")</f>
        <v/>
      </c>
      <c r="R141" s="14" t="str">
        <f aca="false">IFERROR(VLOOKUP(TRIM('📥 Respostas'!U141),'⚙️ Config'!$A$4:$B$13,2,0),"")</f>
        <v/>
      </c>
      <c r="S141" s="14" t="str">
        <f aca="false">IFERROR(VLOOKUP(TRIM('📥 Respostas'!V141),'⚙️ Config'!$A$4:$B$13,2,0),"")</f>
        <v/>
      </c>
      <c r="T141" s="14" t="str">
        <f aca="false">IFERROR(VLOOKUP(TRIM('📥 Respostas'!W141),'⚙️ Config'!$A$4:$B$13,2,0),"")</f>
        <v/>
      </c>
      <c r="U141" s="14" t="str">
        <f aca="false">IFERROR(VLOOKUP(TRIM('📥 Respostas'!X141),'⚙️ Config'!$A$4:$B$13,2,0),"")</f>
        <v/>
      </c>
      <c r="V141" s="14" t="str">
        <f aca="false">IFERROR(VLOOKUP(TRIM('📥 Respostas'!Y141),'⚙️ Config'!$A$4:$B$13,2,0),"")</f>
        <v/>
      </c>
      <c r="W141" s="14" t="str">
        <f aca="false">IFERROR(VLOOKUP(TRIM('📥 Respostas'!Z141),'⚙️ Config'!$A$4:$B$13,2,0),"")</f>
        <v/>
      </c>
      <c r="X141" s="14" t="str">
        <f aca="false">IFERROR(VLOOKUP(TRIM('📥 Respostas'!AA141),'⚙️ Config'!$A$4:$B$13,2,0),"")</f>
        <v/>
      </c>
      <c r="Y141" s="14" t="str">
        <f aca="false">IFERROR(VLOOKUP(TRIM('📥 Respostas'!AB141),'⚙️ Config'!$A$4:$B$13,2,0),"")</f>
        <v/>
      </c>
      <c r="Z141" s="14" t="str">
        <f aca="false">IFERROR(VLOOKUP(TRIM('📥 Respostas'!AC141),'⚙️ Config'!$A$4:$B$13,2,0),"")</f>
        <v/>
      </c>
      <c r="AA141" s="14" t="str">
        <f aca="false">IFERROR(VLOOKUP(TRIM('📥 Respostas'!AD141),'⚙️ Config'!$A$4:$B$13,2,0),"")</f>
        <v/>
      </c>
      <c r="AB141" s="14" t="str">
        <f aca="false">IFERROR(VLOOKUP(TRIM('📥 Respostas'!AE141),'⚙️ Config'!$A$4:$B$13,2,0),"")</f>
        <v/>
      </c>
      <c r="AC141" s="14" t="str">
        <f aca="false">IFERROR(VLOOKUP(TRIM('📥 Respostas'!AF141),'⚙️ Config'!$A$4:$B$13,2,0),"")</f>
        <v/>
      </c>
      <c r="AD141" s="14" t="str">
        <f aca="false">IFERROR(VLOOKUP(TRIM('📥 Respostas'!AG141),'⚙️ Config'!$A$4:$B$13,2,0),"")</f>
        <v/>
      </c>
      <c r="AE141" s="14" t="str">
        <f aca="false">IFERROR(VLOOKUP(TRIM('📥 Respostas'!AH141),'⚙️ Config'!$A$4:$B$13,2,0),"")</f>
        <v/>
      </c>
      <c r="AF141" s="14" t="str">
        <f aca="false">IFERROR(VLOOKUP(TRIM('📥 Respostas'!AI141),'⚙️ Config'!$C$4:$D$11,2,0),"")</f>
        <v/>
      </c>
      <c r="AG141" s="14" t="str">
        <f aca="false">IFERROR(VLOOKUP(TRIM('📥 Respostas'!AJ141),'⚙️ Config'!$A$4:$B$13,2,0),"")</f>
        <v/>
      </c>
      <c r="AH141" s="14" t="str">
        <f aca="false">IFERROR(VLOOKUP(TRIM('📥 Respostas'!AK141),'⚙️ Config'!$A$4:$B$13,2,0),"")</f>
        <v/>
      </c>
      <c r="AI141" s="14" t="str">
        <f aca="false">IFERROR(VLOOKUP(TRIM('📥 Respostas'!AL141),'⚙️ Config'!$A$4:$B$13,2,0),"")</f>
        <v/>
      </c>
      <c r="AJ141" s="14" t="str">
        <f aca="false">IFERROR(VLOOKUP(TRIM('📥 Respostas'!AM141),'⚙️ Config'!$A$4:$B$13,2,0),"")</f>
        <v/>
      </c>
      <c r="AK141" s="14" t="str">
        <f aca="false">IFERROR(VLOOKUP(TRIM('📥 Respostas'!AN141),'⚙️ Config'!$A$4:$B$13,2,0),"")</f>
        <v/>
      </c>
      <c r="AL141" s="14" t="str">
        <f aca="false">IFERROR(VLOOKUP(TRIM('📥 Respostas'!AO141),'⚙️ Config'!$A$4:$B$13,2,0),"")</f>
        <v/>
      </c>
      <c r="AM141" s="14" t="str">
        <f aca="false">IFERROR(VLOOKUP(TRIM('📥 Respostas'!AP141),'⚙️ Config'!$A$4:$B$13,2,0),"")</f>
        <v/>
      </c>
      <c r="AN141" s="14" t="str">
        <f aca="false">IFERROR(VLOOKUP(TRIM('📥 Respostas'!AQ141),'⚙️ Config'!$A$4:$B$13,2,0),"")</f>
        <v/>
      </c>
      <c r="AO141" s="14" t="str">
        <f aca="false">IFERROR(VLOOKUP(TRIM('📥 Respostas'!AR141),'⚙️ Config'!$A$4:$B$13,2,0),"")</f>
        <v/>
      </c>
      <c r="AP141" s="14" t="str">
        <f aca="false">IFERROR(VLOOKUP(TRIM('📥 Respostas'!AS141),'⚙️ Config'!$A$4:$B$13,2,0),"")</f>
        <v/>
      </c>
      <c r="AQ141" s="14" t="str">
        <f aca="false">IFERROR(VLOOKUP(TRIM('📥 Respostas'!AT141),'⚙️ Config'!$A$4:$B$13,2,0),"")</f>
        <v/>
      </c>
      <c r="AR141" s="14" t="str">
        <f aca="false">IFERROR(VLOOKUP(TRIM('📥 Respostas'!AU141),'⚙️ Config'!$A$4:$B$13,2,0),"")</f>
        <v/>
      </c>
    </row>
    <row r="142" customFormat="false" ht="15" hidden="false" customHeight="false" outlineLevel="0" collapsed="false">
      <c r="A142" s="12" t="str">
        <f aca="false">IF(ISBLANK('📥 Respostas'!D142),"",ROW()-3)</f>
        <v/>
      </c>
      <c r="B142" s="12" t="n">
        <f aca="false">'📥 Respostas'!D142</f>
        <v>0</v>
      </c>
      <c r="C142" s="13" t="n">
        <f aca="false">'📥 Respostas'!C142</f>
        <v>0</v>
      </c>
      <c r="D142" s="14" t="str">
        <f aca="false">IFERROR(VLOOKUP(TRIM('📥 Respostas'!G142),'⚙️ Config'!$A$4:$B$13,2,0),"")</f>
        <v/>
      </c>
      <c r="E142" s="14" t="str">
        <f aca="false">IFERROR(VLOOKUP(TRIM('📥 Respostas'!H142),'⚙️ Config'!$A$4:$B$13,2,0),"")</f>
        <v/>
      </c>
      <c r="F142" s="14" t="str">
        <f aca="false">IFERROR(VLOOKUP(TRIM('📥 Respostas'!I142),'⚙️ Config'!$A$4:$B$13,2,0),"")</f>
        <v/>
      </c>
      <c r="G142" s="14" t="str">
        <f aca="false">IFERROR(VLOOKUP(TRIM('📥 Respostas'!J142),'⚙️ Config'!$A$4:$B$13,2,0),"")</f>
        <v/>
      </c>
      <c r="H142" s="14" t="str">
        <f aca="false">IFERROR(VLOOKUP(TRIM('📥 Respostas'!K142),'⚙️ Config'!$A$4:$B$13,2,0),"")</f>
        <v/>
      </c>
      <c r="I142" s="14" t="str">
        <f aca="false">IFERROR(VLOOKUP(TRIM('📥 Respostas'!L142),'⚙️ Config'!$A$4:$B$13,2,0),"")</f>
        <v/>
      </c>
      <c r="J142" s="14" t="str">
        <f aca="false">IFERROR(VLOOKUP(TRIM('📥 Respostas'!M142),'⚙️ Config'!$A$4:$B$13,2,0),"")</f>
        <v/>
      </c>
      <c r="K142" s="14" t="str">
        <f aca="false">IFERROR(VLOOKUP(TRIM('📥 Respostas'!N142),'⚙️ Config'!$A$4:$B$13,2,0),"")</f>
        <v/>
      </c>
      <c r="L142" s="14" t="str">
        <f aca="false">IFERROR(VLOOKUP(TRIM('📥 Respostas'!O142),'⚙️ Config'!$A$4:$B$13,2,0),"")</f>
        <v/>
      </c>
      <c r="M142" s="14" t="str">
        <f aca="false">IFERROR(VLOOKUP(TRIM('📥 Respostas'!P142),'⚙️ Config'!$A$4:$B$13,2,0),"")</f>
        <v/>
      </c>
      <c r="N142" s="14" t="str">
        <f aca="false">IFERROR(VLOOKUP(TRIM('📥 Respostas'!Q142),'⚙️ Config'!$A$4:$B$13,2,0),"")</f>
        <v/>
      </c>
      <c r="O142" s="14" t="str">
        <f aca="false">IFERROR(VLOOKUP(TRIM('📥 Respostas'!R142),'⚙️ Config'!$A$4:$B$13,2,0),"")</f>
        <v/>
      </c>
      <c r="P142" s="14" t="str">
        <f aca="false">IFERROR(VLOOKUP(TRIM('📥 Respostas'!S142),'⚙️ Config'!$A$4:$B$13,2,0),"")</f>
        <v/>
      </c>
      <c r="Q142" s="14" t="str">
        <f aca="false">IFERROR(VLOOKUP(TRIM('📥 Respostas'!T142),'⚙️ Config'!$A$4:$B$13,2,0),"")</f>
        <v/>
      </c>
      <c r="R142" s="14" t="str">
        <f aca="false">IFERROR(VLOOKUP(TRIM('📥 Respostas'!U142),'⚙️ Config'!$A$4:$B$13,2,0),"")</f>
        <v/>
      </c>
      <c r="S142" s="14" t="str">
        <f aca="false">IFERROR(VLOOKUP(TRIM('📥 Respostas'!V142),'⚙️ Config'!$A$4:$B$13,2,0),"")</f>
        <v/>
      </c>
      <c r="T142" s="14" t="str">
        <f aca="false">IFERROR(VLOOKUP(TRIM('📥 Respostas'!W142),'⚙️ Config'!$A$4:$B$13,2,0),"")</f>
        <v/>
      </c>
      <c r="U142" s="14" t="str">
        <f aca="false">IFERROR(VLOOKUP(TRIM('📥 Respostas'!X142),'⚙️ Config'!$A$4:$B$13,2,0),"")</f>
        <v/>
      </c>
      <c r="V142" s="14" t="str">
        <f aca="false">IFERROR(VLOOKUP(TRIM('📥 Respostas'!Y142),'⚙️ Config'!$A$4:$B$13,2,0),"")</f>
        <v/>
      </c>
      <c r="W142" s="14" t="str">
        <f aca="false">IFERROR(VLOOKUP(TRIM('📥 Respostas'!Z142),'⚙️ Config'!$A$4:$B$13,2,0),"")</f>
        <v/>
      </c>
      <c r="X142" s="14" t="str">
        <f aca="false">IFERROR(VLOOKUP(TRIM('📥 Respostas'!AA142),'⚙️ Config'!$A$4:$B$13,2,0),"")</f>
        <v/>
      </c>
      <c r="Y142" s="14" t="str">
        <f aca="false">IFERROR(VLOOKUP(TRIM('📥 Respostas'!AB142),'⚙️ Config'!$A$4:$B$13,2,0),"")</f>
        <v/>
      </c>
      <c r="Z142" s="14" t="str">
        <f aca="false">IFERROR(VLOOKUP(TRIM('📥 Respostas'!AC142),'⚙️ Config'!$A$4:$B$13,2,0),"")</f>
        <v/>
      </c>
      <c r="AA142" s="14" t="str">
        <f aca="false">IFERROR(VLOOKUP(TRIM('📥 Respostas'!AD142),'⚙️ Config'!$A$4:$B$13,2,0),"")</f>
        <v/>
      </c>
      <c r="AB142" s="14" t="str">
        <f aca="false">IFERROR(VLOOKUP(TRIM('📥 Respostas'!AE142),'⚙️ Config'!$A$4:$B$13,2,0),"")</f>
        <v/>
      </c>
      <c r="AC142" s="14" t="str">
        <f aca="false">IFERROR(VLOOKUP(TRIM('📥 Respostas'!AF142),'⚙️ Config'!$A$4:$B$13,2,0),"")</f>
        <v/>
      </c>
      <c r="AD142" s="14" t="str">
        <f aca="false">IFERROR(VLOOKUP(TRIM('📥 Respostas'!AG142),'⚙️ Config'!$A$4:$B$13,2,0),"")</f>
        <v/>
      </c>
      <c r="AE142" s="14" t="str">
        <f aca="false">IFERROR(VLOOKUP(TRIM('📥 Respostas'!AH142),'⚙️ Config'!$A$4:$B$13,2,0),"")</f>
        <v/>
      </c>
      <c r="AF142" s="14" t="str">
        <f aca="false">IFERROR(VLOOKUP(TRIM('📥 Respostas'!AI142),'⚙️ Config'!$C$4:$D$11,2,0),"")</f>
        <v/>
      </c>
      <c r="AG142" s="14" t="str">
        <f aca="false">IFERROR(VLOOKUP(TRIM('📥 Respostas'!AJ142),'⚙️ Config'!$A$4:$B$13,2,0),"")</f>
        <v/>
      </c>
      <c r="AH142" s="14" t="str">
        <f aca="false">IFERROR(VLOOKUP(TRIM('📥 Respostas'!AK142),'⚙️ Config'!$A$4:$B$13,2,0),"")</f>
        <v/>
      </c>
      <c r="AI142" s="14" t="str">
        <f aca="false">IFERROR(VLOOKUP(TRIM('📥 Respostas'!AL142),'⚙️ Config'!$A$4:$B$13,2,0),"")</f>
        <v/>
      </c>
      <c r="AJ142" s="14" t="str">
        <f aca="false">IFERROR(VLOOKUP(TRIM('📥 Respostas'!AM142),'⚙️ Config'!$A$4:$B$13,2,0),"")</f>
        <v/>
      </c>
      <c r="AK142" s="14" t="str">
        <f aca="false">IFERROR(VLOOKUP(TRIM('📥 Respostas'!AN142),'⚙️ Config'!$A$4:$B$13,2,0),"")</f>
        <v/>
      </c>
      <c r="AL142" s="14" t="str">
        <f aca="false">IFERROR(VLOOKUP(TRIM('📥 Respostas'!AO142),'⚙️ Config'!$A$4:$B$13,2,0),"")</f>
        <v/>
      </c>
      <c r="AM142" s="14" t="str">
        <f aca="false">IFERROR(VLOOKUP(TRIM('📥 Respostas'!AP142),'⚙️ Config'!$A$4:$B$13,2,0),"")</f>
        <v/>
      </c>
      <c r="AN142" s="14" t="str">
        <f aca="false">IFERROR(VLOOKUP(TRIM('📥 Respostas'!AQ142),'⚙️ Config'!$A$4:$B$13,2,0),"")</f>
        <v/>
      </c>
      <c r="AO142" s="14" t="str">
        <f aca="false">IFERROR(VLOOKUP(TRIM('📥 Respostas'!AR142),'⚙️ Config'!$A$4:$B$13,2,0),"")</f>
        <v/>
      </c>
      <c r="AP142" s="14" t="str">
        <f aca="false">IFERROR(VLOOKUP(TRIM('📥 Respostas'!AS142),'⚙️ Config'!$A$4:$B$13,2,0),"")</f>
        <v/>
      </c>
      <c r="AQ142" s="14" t="str">
        <f aca="false">IFERROR(VLOOKUP(TRIM('📥 Respostas'!AT142),'⚙️ Config'!$A$4:$B$13,2,0),"")</f>
        <v/>
      </c>
      <c r="AR142" s="14" t="str">
        <f aca="false">IFERROR(VLOOKUP(TRIM('📥 Respostas'!AU142),'⚙️ Config'!$A$4:$B$13,2,0),"")</f>
        <v/>
      </c>
    </row>
    <row r="143" customFormat="false" ht="15" hidden="false" customHeight="false" outlineLevel="0" collapsed="false">
      <c r="A143" s="15" t="str">
        <f aca="false">IF(ISBLANK('📥 Respostas'!D143),"",ROW()-3)</f>
        <v/>
      </c>
      <c r="B143" s="15" t="n">
        <f aca="false">'📥 Respostas'!D143</f>
        <v>0</v>
      </c>
      <c r="C143" s="5" t="n">
        <f aca="false">'📥 Respostas'!C143</f>
        <v>0</v>
      </c>
      <c r="D143" s="14" t="str">
        <f aca="false">IFERROR(VLOOKUP(TRIM('📥 Respostas'!G143),'⚙️ Config'!$A$4:$B$13,2,0),"")</f>
        <v/>
      </c>
      <c r="E143" s="14" t="str">
        <f aca="false">IFERROR(VLOOKUP(TRIM('📥 Respostas'!H143),'⚙️ Config'!$A$4:$B$13,2,0),"")</f>
        <v/>
      </c>
      <c r="F143" s="14" t="str">
        <f aca="false">IFERROR(VLOOKUP(TRIM('📥 Respostas'!I143),'⚙️ Config'!$A$4:$B$13,2,0),"")</f>
        <v/>
      </c>
      <c r="G143" s="14" t="str">
        <f aca="false">IFERROR(VLOOKUP(TRIM('📥 Respostas'!J143),'⚙️ Config'!$A$4:$B$13,2,0),"")</f>
        <v/>
      </c>
      <c r="H143" s="14" t="str">
        <f aca="false">IFERROR(VLOOKUP(TRIM('📥 Respostas'!K143),'⚙️ Config'!$A$4:$B$13,2,0),"")</f>
        <v/>
      </c>
      <c r="I143" s="14" t="str">
        <f aca="false">IFERROR(VLOOKUP(TRIM('📥 Respostas'!L143),'⚙️ Config'!$A$4:$B$13,2,0),"")</f>
        <v/>
      </c>
      <c r="J143" s="14" t="str">
        <f aca="false">IFERROR(VLOOKUP(TRIM('📥 Respostas'!M143),'⚙️ Config'!$A$4:$B$13,2,0),"")</f>
        <v/>
      </c>
      <c r="K143" s="14" t="str">
        <f aca="false">IFERROR(VLOOKUP(TRIM('📥 Respostas'!N143),'⚙️ Config'!$A$4:$B$13,2,0),"")</f>
        <v/>
      </c>
      <c r="L143" s="14" t="str">
        <f aca="false">IFERROR(VLOOKUP(TRIM('📥 Respostas'!O143),'⚙️ Config'!$A$4:$B$13,2,0),"")</f>
        <v/>
      </c>
      <c r="M143" s="14" t="str">
        <f aca="false">IFERROR(VLOOKUP(TRIM('📥 Respostas'!P143),'⚙️ Config'!$A$4:$B$13,2,0),"")</f>
        <v/>
      </c>
      <c r="N143" s="14" t="str">
        <f aca="false">IFERROR(VLOOKUP(TRIM('📥 Respostas'!Q143),'⚙️ Config'!$A$4:$B$13,2,0),"")</f>
        <v/>
      </c>
      <c r="O143" s="14" t="str">
        <f aca="false">IFERROR(VLOOKUP(TRIM('📥 Respostas'!R143),'⚙️ Config'!$A$4:$B$13,2,0),"")</f>
        <v/>
      </c>
      <c r="P143" s="14" t="str">
        <f aca="false">IFERROR(VLOOKUP(TRIM('📥 Respostas'!S143),'⚙️ Config'!$A$4:$B$13,2,0),"")</f>
        <v/>
      </c>
      <c r="Q143" s="14" t="str">
        <f aca="false">IFERROR(VLOOKUP(TRIM('📥 Respostas'!T143),'⚙️ Config'!$A$4:$B$13,2,0),"")</f>
        <v/>
      </c>
      <c r="R143" s="14" t="str">
        <f aca="false">IFERROR(VLOOKUP(TRIM('📥 Respostas'!U143),'⚙️ Config'!$A$4:$B$13,2,0),"")</f>
        <v/>
      </c>
      <c r="S143" s="14" t="str">
        <f aca="false">IFERROR(VLOOKUP(TRIM('📥 Respostas'!V143),'⚙️ Config'!$A$4:$B$13,2,0),"")</f>
        <v/>
      </c>
      <c r="T143" s="14" t="str">
        <f aca="false">IFERROR(VLOOKUP(TRIM('📥 Respostas'!W143),'⚙️ Config'!$A$4:$B$13,2,0),"")</f>
        <v/>
      </c>
      <c r="U143" s="14" t="str">
        <f aca="false">IFERROR(VLOOKUP(TRIM('📥 Respostas'!X143),'⚙️ Config'!$A$4:$B$13,2,0),"")</f>
        <v/>
      </c>
      <c r="V143" s="14" t="str">
        <f aca="false">IFERROR(VLOOKUP(TRIM('📥 Respostas'!Y143),'⚙️ Config'!$A$4:$B$13,2,0),"")</f>
        <v/>
      </c>
      <c r="W143" s="14" t="str">
        <f aca="false">IFERROR(VLOOKUP(TRIM('📥 Respostas'!Z143),'⚙️ Config'!$A$4:$B$13,2,0),"")</f>
        <v/>
      </c>
      <c r="X143" s="14" t="str">
        <f aca="false">IFERROR(VLOOKUP(TRIM('📥 Respostas'!AA143),'⚙️ Config'!$A$4:$B$13,2,0),"")</f>
        <v/>
      </c>
      <c r="Y143" s="14" t="str">
        <f aca="false">IFERROR(VLOOKUP(TRIM('📥 Respostas'!AB143),'⚙️ Config'!$A$4:$B$13,2,0),"")</f>
        <v/>
      </c>
      <c r="Z143" s="14" t="str">
        <f aca="false">IFERROR(VLOOKUP(TRIM('📥 Respostas'!AC143),'⚙️ Config'!$A$4:$B$13,2,0),"")</f>
        <v/>
      </c>
      <c r="AA143" s="14" t="str">
        <f aca="false">IFERROR(VLOOKUP(TRIM('📥 Respostas'!AD143),'⚙️ Config'!$A$4:$B$13,2,0),"")</f>
        <v/>
      </c>
      <c r="AB143" s="14" t="str">
        <f aca="false">IFERROR(VLOOKUP(TRIM('📥 Respostas'!AE143),'⚙️ Config'!$A$4:$B$13,2,0),"")</f>
        <v/>
      </c>
      <c r="AC143" s="14" t="str">
        <f aca="false">IFERROR(VLOOKUP(TRIM('📥 Respostas'!AF143),'⚙️ Config'!$A$4:$B$13,2,0),"")</f>
        <v/>
      </c>
      <c r="AD143" s="14" t="str">
        <f aca="false">IFERROR(VLOOKUP(TRIM('📥 Respostas'!AG143),'⚙️ Config'!$A$4:$B$13,2,0),"")</f>
        <v/>
      </c>
      <c r="AE143" s="14" t="str">
        <f aca="false">IFERROR(VLOOKUP(TRIM('📥 Respostas'!AH143),'⚙️ Config'!$A$4:$B$13,2,0),"")</f>
        <v/>
      </c>
      <c r="AF143" s="14" t="str">
        <f aca="false">IFERROR(VLOOKUP(TRIM('📥 Respostas'!AI143),'⚙️ Config'!$C$4:$D$11,2,0),"")</f>
        <v/>
      </c>
      <c r="AG143" s="14" t="str">
        <f aca="false">IFERROR(VLOOKUP(TRIM('📥 Respostas'!AJ143),'⚙️ Config'!$A$4:$B$13,2,0),"")</f>
        <v/>
      </c>
      <c r="AH143" s="14" t="str">
        <f aca="false">IFERROR(VLOOKUP(TRIM('📥 Respostas'!AK143),'⚙️ Config'!$A$4:$B$13,2,0),"")</f>
        <v/>
      </c>
      <c r="AI143" s="14" t="str">
        <f aca="false">IFERROR(VLOOKUP(TRIM('📥 Respostas'!AL143),'⚙️ Config'!$A$4:$B$13,2,0),"")</f>
        <v/>
      </c>
      <c r="AJ143" s="14" t="str">
        <f aca="false">IFERROR(VLOOKUP(TRIM('📥 Respostas'!AM143),'⚙️ Config'!$A$4:$B$13,2,0),"")</f>
        <v/>
      </c>
      <c r="AK143" s="14" t="str">
        <f aca="false">IFERROR(VLOOKUP(TRIM('📥 Respostas'!AN143),'⚙️ Config'!$A$4:$B$13,2,0),"")</f>
        <v/>
      </c>
      <c r="AL143" s="14" t="str">
        <f aca="false">IFERROR(VLOOKUP(TRIM('📥 Respostas'!AO143),'⚙️ Config'!$A$4:$B$13,2,0),"")</f>
        <v/>
      </c>
      <c r="AM143" s="14" t="str">
        <f aca="false">IFERROR(VLOOKUP(TRIM('📥 Respostas'!AP143),'⚙️ Config'!$A$4:$B$13,2,0),"")</f>
        <v/>
      </c>
      <c r="AN143" s="14" t="str">
        <f aca="false">IFERROR(VLOOKUP(TRIM('📥 Respostas'!AQ143),'⚙️ Config'!$A$4:$B$13,2,0),"")</f>
        <v/>
      </c>
      <c r="AO143" s="14" t="str">
        <f aca="false">IFERROR(VLOOKUP(TRIM('📥 Respostas'!AR143),'⚙️ Config'!$A$4:$B$13,2,0),"")</f>
        <v/>
      </c>
      <c r="AP143" s="14" t="str">
        <f aca="false">IFERROR(VLOOKUP(TRIM('📥 Respostas'!AS143),'⚙️ Config'!$A$4:$B$13,2,0),"")</f>
        <v/>
      </c>
      <c r="AQ143" s="14" t="str">
        <f aca="false">IFERROR(VLOOKUP(TRIM('📥 Respostas'!AT143),'⚙️ Config'!$A$4:$B$13,2,0),"")</f>
        <v/>
      </c>
      <c r="AR143" s="14" t="str">
        <f aca="false">IFERROR(VLOOKUP(TRIM('📥 Respostas'!AU143),'⚙️ Config'!$A$4:$B$13,2,0),"")</f>
        <v/>
      </c>
    </row>
    <row r="144" customFormat="false" ht="15" hidden="false" customHeight="false" outlineLevel="0" collapsed="false">
      <c r="A144" s="12" t="str">
        <f aca="false">IF(ISBLANK('📥 Respostas'!D144),"",ROW()-3)</f>
        <v/>
      </c>
      <c r="B144" s="12" t="n">
        <f aca="false">'📥 Respostas'!D144</f>
        <v>0</v>
      </c>
      <c r="C144" s="13" t="n">
        <f aca="false">'📥 Respostas'!C144</f>
        <v>0</v>
      </c>
      <c r="D144" s="14" t="str">
        <f aca="false">IFERROR(VLOOKUP(TRIM('📥 Respostas'!G144),'⚙️ Config'!$A$4:$B$13,2,0),"")</f>
        <v/>
      </c>
      <c r="E144" s="14" t="str">
        <f aca="false">IFERROR(VLOOKUP(TRIM('📥 Respostas'!H144),'⚙️ Config'!$A$4:$B$13,2,0),"")</f>
        <v/>
      </c>
      <c r="F144" s="14" t="str">
        <f aca="false">IFERROR(VLOOKUP(TRIM('📥 Respostas'!I144),'⚙️ Config'!$A$4:$B$13,2,0),"")</f>
        <v/>
      </c>
      <c r="G144" s="14" t="str">
        <f aca="false">IFERROR(VLOOKUP(TRIM('📥 Respostas'!J144),'⚙️ Config'!$A$4:$B$13,2,0),"")</f>
        <v/>
      </c>
      <c r="H144" s="14" t="str">
        <f aca="false">IFERROR(VLOOKUP(TRIM('📥 Respostas'!K144),'⚙️ Config'!$A$4:$B$13,2,0),"")</f>
        <v/>
      </c>
      <c r="I144" s="14" t="str">
        <f aca="false">IFERROR(VLOOKUP(TRIM('📥 Respostas'!L144),'⚙️ Config'!$A$4:$B$13,2,0),"")</f>
        <v/>
      </c>
      <c r="J144" s="14" t="str">
        <f aca="false">IFERROR(VLOOKUP(TRIM('📥 Respostas'!M144),'⚙️ Config'!$A$4:$B$13,2,0),"")</f>
        <v/>
      </c>
      <c r="K144" s="14" t="str">
        <f aca="false">IFERROR(VLOOKUP(TRIM('📥 Respostas'!N144),'⚙️ Config'!$A$4:$B$13,2,0),"")</f>
        <v/>
      </c>
      <c r="L144" s="14" t="str">
        <f aca="false">IFERROR(VLOOKUP(TRIM('📥 Respostas'!O144),'⚙️ Config'!$A$4:$B$13,2,0),"")</f>
        <v/>
      </c>
      <c r="M144" s="14" t="str">
        <f aca="false">IFERROR(VLOOKUP(TRIM('📥 Respostas'!P144),'⚙️ Config'!$A$4:$B$13,2,0),"")</f>
        <v/>
      </c>
      <c r="N144" s="14" t="str">
        <f aca="false">IFERROR(VLOOKUP(TRIM('📥 Respostas'!Q144),'⚙️ Config'!$A$4:$B$13,2,0),"")</f>
        <v/>
      </c>
      <c r="O144" s="14" t="str">
        <f aca="false">IFERROR(VLOOKUP(TRIM('📥 Respostas'!R144),'⚙️ Config'!$A$4:$B$13,2,0),"")</f>
        <v/>
      </c>
      <c r="P144" s="14" t="str">
        <f aca="false">IFERROR(VLOOKUP(TRIM('📥 Respostas'!S144),'⚙️ Config'!$A$4:$B$13,2,0),"")</f>
        <v/>
      </c>
      <c r="Q144" s="14" t="str">
        <f aca="false">IFERROR(VLOOKUP(TRIM('📥 Respostas'!T144),'⚙️ Config'!$A$4:$B$13,2,0),"")</f>
        <v/>
      </c>
      <c r="R144" s="14" t="str">
        <f aca="false">IFERROR(VLOOKUP(TRIM('📥 Respostas'!U144),'⚙️ Config'!$A$4:$B$13,2,0),"")</f>
        <v/>
      </c>
      <c r="S144" s="14" t="str">
        <f aca="false">IFERROR(VLOOKUP(TRIM('📥 Respostas'!V144),'⚙️ Config'!$A$4:$B$13,2,0),"")</f>
        <v/>
      </c>
      <c r="T144" s="14" t="str">
        <f aca="false">IFERROR(VLOOKUP(TRIM('📥 Respostas'!W144),'⚙️ Config'!$A$4:$B$13,2,0),"")</f>
        <v/>
      </c>
      <c r="U144" s="14" t="str">
        <f aca="false">IFERROR(VLOOKUP(TRIM('📥 Respostas'!X144),'⚙️ Config'!$A$4:$B$13,2,0),"")</f>
        <v/>
      </c>
      <c r="V144" s="14" t="str">
        <f aca="false">IFERROR(VLOOKUP(TRIM('📥 Respostas'!Y144),'⚙️ Config'!$A$4:$B$13,2,0),"")</f>
        <v/>
      </c>
      <c r="W144" s="14" t="str">
        <f aca="false">IFERROR(VLOOKUP(TRIM('📥 Respostas'!Z144),'⚙️ Config'!$A$4:$B$13,2,0),"")</f>
        <v/>
      </c>
      <c r="X144" s="14" t="str">
        <f aca="false">IFERROR(VLOOKUP(TRIM('📥 Respostas'!AA144),'⚙️ Config'!$A$4:$B$13,2,0),"")</f>
        <v/>
      </c>
      <c r="Y144" s="14" t="str">
        <f aca="false">IFERROR(VLOOKUP(TRIM('📥 Respostas'!AB144),'⚙️ Config'!$A$4:$B$13,2,0),"")</f>
        <v/>
      </c>
      <c r="Z144" s="14" t="str">
        <f aca="false">IFERROR(VLOOKUP(TRIM('📥 Respostas'!AC144),'⚙️ Config'!$A$4:$B$13,2,0),"")</f>
        <v/>
      </c>
      <c r="AA144" s="14" t="str">
        <f aca="false">IFERROR(VLOOKUP(TRIM('📥 Respostas'!AD144),'⚙️ Config'!$A$4:$B$13,2,0),"")</f>
        <v/>
      </c>
      <c r="AB144" s="14" t="str">
        <f aca="false">IFERROR(VLOOKUP(TRIM('📥 Respostas'!AE144),'⚙️ Config'!$A$4:$B$13,2,0),"")</f>
        <v/>
      </c>
      <c r="AC144" s="14" t="str">
        <f aca="false">IFERROR(VLOOKUP(TRIM('📥 Respostas'!AF144),'⚙️ Config'!$A$4:$B$13,2,0),"")</f>
        <v/>
      </c>
      <c r="AD144" s="14" t="str">
        <f aca="false">IFERROR(VLOOKUP(TRIM('📥 Respostas'!AG144),'⚙️ Config'!$A$4:$B$13,2,0),"")</f>
        <v/>
      </c>
      <c r="AE144" s="14" t="str">
        <f aca="false">IFERROR(VLOOKUP(TRIM('📥 Respostas'!AH144),'⚙️ Config'!$A$4:$B$13,2,0),"")</f>
        <v/>
      </c>
      <c r="AF144" s="14" t="str">
        <f aca="false">IFERROR(VLOOKUP(TRIM('📥 Respostas'!AI144),'⚙️ Config'!$C$4:$D$11,2,0),"")</f>
        <v/>
      </c>
      <c r="AG144" s="14" t="str">
        <f aca="false">IFERROR(VLOOKUP(TRIM('📥 Respostas'!AJ144),'⚙️ Config'!$A$4:$B$13,2,0),"")</f>
        <v/>
      </c>
      <c r="AH144" s="14" t="str">
        <f aca="false">IFERROR(VLOOKUP(TRIM('📥 Respostas'!AK144),'⚙️ Config'!$A$4:$B$13,2,0),"")</f>
        <v/>
      </c>
      <c r="AI144" s="14" t="str">
        <f aca="false">IFERROR(VLOOKUP(TRIM('📥 Respostas'!AL144),'⚙️ Config'!$A$4:$B$13,2,0),"")</f>
        <v/>
      </c>
      <c r="AJ144" s="14" t="str">
        <f aca="false">IFERROR(VLOOKUP(TRIM('📥 Respostas'!AM144),'⚙️ Config'!$A$4:$B$13,2,0),"")</f>
        <v/>
      </c>
      <c r="AK144" s="14" t="str">
        <f aca="false">IFERROR(VLOOKUP(TRIM('📥 Respostas'!AN144),'⚙️ Config'!$A$4:$B$13,2,0),"")</f>
        <v/>
      </c>
      <c r="AL144" s="14" t="str">
        <f aca="false">IFERROR(VLOOKUP(TRIM('📥 Respostas'!AO144),'⚙️ Config'!$A$4:$B$13,2,0),"")</f>
        <v/>
      </c>
      <c r="AM144" s="14" t="str">
        <f aca="false">IFERROR(VLOOKUP(TRIM('📥 Respostas'!AP144),'⚙️ Config'!$A$4:$B$13,2,0),"")</f>
        <v/>
      </c>
      <c r="AN144" s="14" t="str">
        <f aca="false">IFERROR(VLOOKUP(TRIM('📥 Respostas'!AQ144),'⚙️ Config'!$A$4:$B$13,2,0),"")</f>
        <v/>
      </c>
      <c r="AO144" s="14" t="str">
        <f aca="false">IFERROR(VLOOKUP(TRIM('📥 Respostas'!AR144),'⚙️ Config'!$A$4:$B$13,2,0),"")</f>
        <v/>
      </c>
      <c r="AP144" s="14" t="str">
        <f aca="false">IFERROR(VLOOKUP(TRIM('📥 Respostas'!AS144),'⚙️ Config'!$A$4:$B$13,2,0),"")</f>
        <v/>
      </c>
      <c r="AQ144" s="14" t="str">
        <f aca="false">IFERROR(VLOOKUP(TRIM('📥 Respostas'!AT144),'⚙️ Config'!$A$4:$B$13,2,0),"")</f>
        <v/>
      </c>
      <c r="AR144" s="14" t="str">
        <f aca="false">IFERROR(VLOOKUP(TRIM('📥 Respostas'!AU144),'⚙️ Config'!$A$4:$B$13,2,0),"")</f>
        <v/>
      </c>
    </row>
    <row r="145" customFormat="false" ht="15" hidden="false" customHeight="false" outlineLevel="0" collapsed="false">
      <c r="A145" s="15" t="str">
        <f aca="false">IF(ISBLANK('📥 Respostas'!D145),"",ROW()-3)</f>
        <v/>
      </c>
      <c r="B145" s="15" t="n">
        <f aca="false">'📥 Respostas'!D145</f>
        <v>0</v>
      </c>
      <c r="C145" s="5" t="n">
        <f aca="false">'📥 Respostas'!C145</f>
        <v>0</v>
      </c>
      <c r="D145" s="14" t="str">
        <f aca="false">IFERROR(VLOOKUP(TRIM('📥 Respostas'!G145),'⚙️ Config'!$A$4:$B$13,2,0),"")</f>
        <v/>
      </c>
      <c r="E145" s="14" t="str">
        <f aca="false">IFERROR(VLOOKUP(TRIM('📥 Respostas'!H145),'⚙️ Config'!$A$4:$B$13,2,0),"")</f>
        <v/>
      </c>
      <c r="F145" s="14" t="str">
        <f aca="false">IFERROR(VLOOKUP(TRIM('📥 Respostas'!I145),'⚙️ Config'!$A$4:$B$13,2,0),"")</f>
        <v/>
      </c>
      <c r="G145" s="14" t="str">
        <f aca="false">IFERROR(VLOOKUP(TRIM('📥 Respostas'!J145),'⚙️ Config'!$A$4:$B$13,2,0),"")</f>
        <v/>
      </c>
      <c r="H145" s="14" t="str">
        <f aca="false">IFERROR(VLOOKUP(TRIM('📥 Respostas'!K145),'⚙️ Config'!$A$4:$B$13,2,0),"")</f>
        <v/>
      </c>
      <c r="I145" s="14" t="str">
        <f aca="false">IFERROR(VLOOKUP(TRIM('📥 Respostas'!L145),'⚙️ Config'!$A$4:$B$13,2,0),"")</f>
        <v/>
      </c>
      <c r="J145" s="14" t="str">
        <f aca="false">IFERROR(VLOOKUP(TRIM('📥 Respostas'!M145),'⚙️ Config'!$A$4:$B$13,2,0),"")</f>
        <v/>
      </c>
      <c r="K145" s="14" t="str">
        <f aca="false">IFERROR(VLOOKUP(TRIM('📥 Respostas'!N145),'⚙️ Config'!$A$4:$B$13,2,0),"")</f>
        <v/>
      </c>
      <c r="L145" s="14" t="str">
        <f aca="false">IFERROR(VLOOKUP(TRIM('📥 Respostas'!O145),'⚙️ Config'!$A$4:$B$13,2,0),"")</f>
        <v/>
      </c>
      <c r="M145" s="14" t="str">
        <f aca="false">IFERROR(VLOOKUP(TRIM('📥 Respostas'!P145),'⚙️ Config'!$A$4:$B$13,2,0),"")</f>
        <v/>
      </c>
      <c r="N145" s="14" t="str">
        <f aca="false">IFERROR(VLOOKUP(TRIM('📥 Respostas'!Q145),'⚙️ Config'!$A$4:$B$13,2,0),"")</f>
        <v/>
      </c>
      <c r="O145" s="14" t="str">
        <f aca="false">IFERROR(VLOOKUP(TRIM('📥 Respostas'!R145),'⚙️ Config'!$A$4:$B$13,2,0),"")</f>
        <v/>
      </c>
      <c r="P145" s="14" t="str">
        <f aca="false">IFERROR(VLOOKUP(TRIM('📥 Respostas'!S145),'⚙️ Config'!$A$4:$B$13,2,0),"")</f>
        <v/>
      </c>
      <c r="Q145" s="14" t="str">
        <f aca="false">IFERROR(VLOOKUP(TRIM('📥 Respostas'!T145),'⚙️ Config'!$A$4:$B$13,2,0),"")</f>
        <v/>
      </c>
      <c r="R145" s="14" t="str">
        <f aca="false">IFERROR(VLOOKUP(TRIM('📥 Respostas'!U145),'⚙️ Config'!$A$4:$B$13,2,0),"")</f>
        <v/>
      </c>
      <c r="S145" s="14" t="str">
        <f aca="false">IFERROR(VLOOKUP(TRIM('📥 Respostas'!V145),'⚙️ Config'!$A$4:$B$13,2,0),"")</f>
        <v/>
      </c>
      <c r="T145" s="14" t="str">
        <f aca="false">IFERROR(VLOOKUP(TRIM('📥 Respostas'!W145),'⚙️ Config'!$A$4:$B$13,2,0),"")</f>
        <v/>
      </c>
      <c r="U145" s="14" t="str">
        <f aca="false">IFERROR(VLOOKUP(TRIM('📥 Respostas'!X145),'⚙️ Config'!$A$4:$B$13,2,0),"")</f>
        <v/>
      </c>
      <c r="V145" s="14" t="str">
        <f aca="false">IFERROR(VLOOKUP(TRIM('📥 Respostas'!Y145),'⚙️ Config'!$A$4:$B$13,2,0),"")</f>
        <v/>
      </c>
      <c r="W145" s="14" t="str">
        <f aca="false">IFERROR(VLOOKUP(TRIM('📥 Respostas'!Z145),'⚙️ Config'!$A$4:$B$13,2,0),"")</f>
        <v/>
      </c>
      <c r="X145" s="14" t="str">
        <f aca="false">IFERROR(VLOOKUP(TRIM('📥 Respostas'!AA145),'⚙️ Config'!$A$4:$B$13,2,0),"")</f>
        <v/>
      </c>
      <c r="Y145" s="14" t="str">
        <f aca="false">IFERROR(VLOOKUP(TRIM('📥 Respostas'!AB145),'⚙️ Config'!$A$4:$B$13,2,0),"")</f>
        <v/>
      </c>
      <c r="Z145" s="14" t="str">
        <f aca="false">IFERROR(VLOOKUP(TRIM('📥 Respostas'!AC145),'⚙️ Config'!$A$4:$B$13,2,0),"")</f>
        <v/>
      </c>
      <c r="AA145" s="14" t="str">
        <f aca="false">IFERROR(VLOOKUP(TRIM('📥 Respostas'!AD145),'⚙️ Config'!$A$4:$B$13,2,0),"")</f>
        <v/>
      </c>
      <c r="AB145" s="14" t="str">
        <f aca="false">IFERROR(VLOOKUP(TRIM('📥 Respostas'!AE145),'⚙️ Config'!$A$4:$B$13,2,0),"")</f>
        <v/>
      </c>
      <c r="AC145" s="14" t="str">
        <f aca="false">IFERROR(VLOOKUP(TRIM('📥 Respostas'!AF145),'⚙️ Config'!$A$4:$B$13,2,0),"")</f>
        <v/>
      </c>
      <c r="AD145" s="14" t="str">
        <f aca="false">IFERROR(VLOOKUP(TRIM('📥 Respostas'!AG145),'⚙️ Config'!$A$4:$B$13,2,0),"")</f>
        <v/>
      </c>
      <c r="AE145" s="14" t="str">
        <f aca="false">IFERROR(VLOOKUP(TRIM('📥 Respostas'!AH145),'⚙️ Config'!$A$4:$B$13,2,0),"")</f>
        <v/>
      </c>
      <c r="AF145" s="14" t="str">
        <f aca="false">IFERROR(VLOOKUP(TRIM('📥 Respostas'!AI145),'⚙️ Config'!$C$4:$D$11,2,0),"")</f>
        <v/>
      </c>
      <c r="AG145" s="14" t="str">
        <f aca="false">IFERROR(VLOOKUP(TRIM('📥 Respostas'!AJ145),'⚙️ Config'!$A$4:$B$13,2,0),"")</f>
        <v/>
      </c>
      <c r="AH145" s="14" t="str">
        <f aca="false">IFERROR(VLOOKUP(TRIM('📥 Respostas'!AK145),'⚙️ Config'!$A$4:$B$13,2,0),"")</f>
        <v/>
      </c>
      <c r="AI145" s="14" t="str">
        <f aca="false">IFERROR(VLOOKUP(TRIM('📥 Respostas'!AL145),'⚙️ Config'!$A$4:$B$13,2,0),"")</f>
        <v/>
      </c>
      <c r="AJ145" s="14" t="str">
        <f aca="false">IFERROR(VLOOKUP(TRIM('📥 Respostas'!AM145),'⚙️ Config'!$A$4:$B$13,2,0),"")</f>
        <v/>
      </c>
      <c r="AK145" s="14" t="str">
        <f aca="false">IFERROR(VLOOKUP(TRIM('📥 Respostas'!AN145),'⚙️ Config'!$A$4:$B$13,2,0),"")</f>
        <v/>
      </c>
      <c r="AL145" s="14" t="str">
        <f aca="false">IFERROR(VLOOKUP(TRIM('📥 Respostas'!AO145),'⚙️ Config'!$A$4:$B$13,2,0),"")</f>
        <v/>
      </c>
      <c r="AM145" s="14" t="str">
        <f aca="false">IFERROR(VLOOKUP(TRIM('📥 Respostas'!AP145),'⚙️ Config'!$A$4:$B$13,2,0),"")</f>
        <v/>
      </c>
      <c r="AN145" s="14" t="str">
        <f aca="false">IFERROR(VLOOKUP(TRIM('📥 Respostas'!AQ145),'⚙️ Config'!$A$4:$B$13,2,0),"")</f>
        <v/>
      </c>
      <c r="AO145" s="14" t="str">
        <f aca="false">IFERROR(VLOOKUP(TRIM('📥 Respostas'!AR145),'⚙️ Config'!$A$4:$B$13,2,0),"")</f>
        <v/>
      </c>
      <c r="AP145" s="14" t="str">
        <f aca="false">IFERROR(VLOOKUP(TRIM('📥 Respostas'!AS145),'⚙️ Config'!$A$4:$B$13,2,0),"")</f>
        <v/>
      </c>
      <c r="AQ145" s="14" t="str">
        <f aca="false">IFERROR(VLOOKUP(TRIM('📥 Respostas'!AT145),'⚙️ Config'!$A$4:$B$13,2,0),"")</f>
        <v/>
      </c>
      <c r="AR145" s="14" t="str">
        <f aca="false">IFERROR(VLOOKUP(TRIM('📥 Respostas'!AU145),'⚙️ Config'!$A$4:$B$13,2,0),"")</f>
        <v/>
      </c>
    </row>
    <row r="146" customFormat="false" ht="15" hidden="false" customHeight="false" outlineLevel="0" collapsed="false">
      <c r="A146" s="12" t="str">
        <f aca="false">IF(ISBLANK('📥 Respostas'!D146),"",ROW()-3)</f>
        <v/>
      </c>
      <c r="B146" s="12" t="n">
        <f aca="false">'📥 Respostas'!D146</f>
        <v>0</v>
      </c>
      <c r="C146" s="13" t="n">
        <f aca="false">'📥 Respostas'!C146</f>
        <v>0</v>
      </c>
      <c r="D146" s="14" t="str">
        <f aca="false">IFERROR(VLOOKUP(TRIM('📥 Respostas'!G146),'⚙️ Config'!$A$4:$B$13,2,0),"")</f>
        <v/>
      </c>
      <c r="E146" s="14" t="str">
        <f aca="false">IFERROR(VLOOKUP(TRIM('📥 Respostas'!H146),'⚙️ Config'!$A$4:$B$13,2,0),"")</f>
        <v/>
      </c>
      <c r="F146" s="14" t="str">
        <f aca="false">IFERROR(VLOOKUP(TRIM('📥 Respostas'!I146),'⚙️ Config'!$A$4:$B$13,2,0),"")</f>
        <v/>
      </c>
      <c r="G146" s="14" t="str">
        <f aca="false">IFERROR(VLOOKUP(TRIM('📥 Respostas'!J146),'⚙️ Config'!$A$4:$B$13,2,0),"")</f>
        <v/>
      </c>
      <c r="H146" s="14" t="str">
        <f aca="false">IFERROR(VLOOKUP(TRIM('📥 Respostas'!K146),'⚙️ Config'!$A$4:$B$13,2,0),"")</f>
        <v/>
      </c>
      <c r="I146" s="14" t="str">
        <f aca="false">IFERROR(VLOOKUP(TRIM('📥 Respostas'!L146),'⚙️ Config'!$A$4:$B$13,2,0),"")</f>
        <v/>
      </c>
      <c r="J146" s="14" t="str">
        <f aca="false">IFERROR(VLOOKUP(TRIM('📥 Respostas'!M146),'⚙️ Config'!$A$4:$B$13,2,0),"")</f>
        <v/>
      </c>
      <c r="K146" s="14" t="str">
        <f aca="false">IFERROR(VLOOKUP(TRIM('📥 Respostas'!N146),'⚙️ Config'!$A$4:$B$13,2,0),"")</f>
        <v/>
      </c>
      <c r="L146" s="14" t="str">
        <f aca="false">IFERROR(VLOOKUP(TRIM('📥 Respostas'!O146),'⚙️ Config'!$A$4:$B$13,2,0),"")</f>
        <v/>
      </c>
      <c r="M146" s="14" t="str">
        <f aca="false">IFERROR(VLOOKUP(TRIM('📥 Respostas'!P146),'⚙️ Config'!$A$4:$B$13,2,0),"")</f>
        <v/>
      </c>
      <c r="N146" s="14" t="str">
        <f aca="false">IFERROR(VLOOKUP(TRIM('📥 Respostas'!Q146),'⚙️ Config'!$A$4:$B$13,2,0),"")</f>
        <v/>
      </c>
      <c r="O146" s="14" t="str">
        <f aca="false">IFERROR(VLOOKUP(TRIM('📥 Respostas'!R146),'⚙️ Config'!$A$4:$B$13,2,0),"")</f>
        <v/>
      </c>
      <c r="P146" s="14" t="str">
        <f aca="false">IFERROR(VLOOKUP(TRIM('📥 Respostas'!S146),'⚙️ Config'!$A$4:$B$13,2,0),"")</f>
        <v/>
      </c>
      <c r="Q146" s="14" t="str">
        <f aca="false">IFERROR(VLOOKUP(TRIM('📥 Respostas'!T146),'⚙️ Config'!$A$4:$B$13,2,0),"")</f>
        <v/>
      </c>
      <c r="R146" s="14" t="str">
        <f aca="false">IFERROR(VLOOKUP(TRIM('📥 Respostas'!U146),'⚙️ Config'!$A$4:$B$13,2,0),"")</f>
        <v/>
      </c>
      <c r="S146" s="14" t="str">
        <f aca="false">IFERROR(VLOOKUP(TRIM('📥 Respostas'!V146),'⚙️ Config'!$A$4:$B$13,2,0),"")</f>
        <v/>
      </c>
      <c r="T146" s="14" t="str">
        <f aca="false">IFERROR(VLOOKUP(TRIM('📥 Respostas'!W146),'⚙️ Config'!$A$4:$B$13,2,0),"")</f>
        <v/>
      </c>
      <c r="U146" s="14" t="str">
        <f aca="false">IFERROR(VLOOKUP(TRIM('📥 Respostas'!X146),'⚙️ Config'!$A$4:$B$13,2,0),"")</f>
        <v/>
      </c>
      <c r="V146" s="14" t="str">
        <f aca="false">IFERROR(VLOOKUP(TRIM('📥 Respostas'!Y146),'⚙️ Config'!$A$4:$B$13,2,0),"")</f>
        <v/>
      </c>
      <c r="W146" s="14" t="str">
        <f aca="false">IFERROR(VLOOKUP(TRIM('📥 Respostas'!Z146),'⚙️ Config'!$A$4:$B$13,2,0),"")</f>
        <v/>
      </c>
      <c r="X146" s="14" t="str">
        <f aca="false">IFERROR(VLOOKUP(TRIM('📥 Respostas'!AA146),'⚙️ Config'!$A$4:$B$13,2,0),"")</f>
        <v/>
      </c>
      <c r="Y146" s="14" t="str">
        <f aca="false">IFERROR(VLOOKUP(TRIM('📥 Respostas'!AB146),'⚙️ Config'!$A$4:$B$13,2,0),"")</f>
        <v/>
      </c>
      <c r="Z146" s="14" t="str">
        <f aca="false">IFERROR(VLOOKUP(TRIM('📥 Respostas'!AC146),'⚙️ Config'!$A$4:$B$13,2,0),"")</f>
        <v/>
      </c>
      <c r="AA146" s="14" t="str">
        <f aca="false">IFERROR(VLOOKUP(TRIM('📥 Respostas'!AD146),'⚙️ Config'!$A$4:$B$13,2,0),"")</f>
        <v/>
      </c>
      <c r="AB146" s="14" t="str">
        <f aca="false">IFERROR(VLOOKUP(TRIM('📥 Respostas'!AE146),'⚙️ Config'!$A$4:$B$13,2,0),"")</f>
        <v/>
      </c>
      <c r="AC146" s="14" t="str">
        <f aca="false">IFERROR(VLOOKUP(TRIM('📥 Respostas'!AF146),'⚙️ Config'!$A$4:$B$13,2,0),"")</f>
        <v/>
      </c>
      <c r="AD146" s="14" t="str">
        <f aca="false">IFERROR(VLOOKUP(TRIM('📥 Respostas'!AG146),'⚙️ Config'!$A$4:$B$13,2,0),"")</f>
        <v/>
      </c>
      <c r="AE146" s="14" t="str">
        <f aca="false">IFERROR(VLOOKUP(TRIM('📥 Respostas'!AH146),'⚙️ Config'!$A$4:$B$13,2,0),"")</f>
        <v/>
      </c>
      <c r="AF146" s="14" t="str">
        <f aca="false">IFERROR(VLOOKUP(TRIM('📥 Respostas'!AI146),'⚙️ Config'!$C$4:$D$11,2,0),"")</f>
        <v/>
      </c>
      <c r="AG146" s="14" t="str">
        <f aca="false">IFERROR(VLOOKUP(TRIM('📥 Respostas'!AJ146),'⚙️ Config'!$A$4:$B$13,2,0),"")</f>
        <v/>
      </c>
      <c r="AH146" s="14" t="str">
        <f aca="false">IFERROR(VLOOKUP(TRIM('📥 Respostas'!AK146),'⚙️ Config'!$A$4:$B$13,2,0),"")</f>
        <v/>
      </c>
      <c r="AI146" s="14" t="str">
        <f aca="false">IFERROR(VLOOKUP(TRIM('📥 Respostas'!AL146),'⚙️ Config'!$A$4:$B$13,2,0),"")</f>
        <v/>
      </c>
      <c r="AJ146" s="14" t="str">
        <f aca="false">IFERROR(VLOOKUP(TRIM('📥 Respostas'!AM146),'⚙️ Config'!$A$4:$B$13,2,0),"")</f>
        <v/>
      </c>
      <c r="AK146" s="14" t="str">
        <f aca="false">IFERROR(VLOOKUP(TRIM('📥 Respostas'!AN146),'⚙️ Config'!$A$4:$B$13,2,0),"")</f>
        <v/>
      </c>
      <c r="AL146" s="14" t="str">
        <f aca="false">IFERROR(VLOOKUP(TRIM('📥 Respostas'!AO146),'⚙️ Config'!$A$4:$B$13,2,0),"")</f>
        <v/>
      </c>
      <c r="AM146" s="14" t="str">
        <f aca="false">IFERROR(VLOOKUP(TRIM('📥 Respostas'!AP146),'⚙️ Config'!$A$4:$B$13,2,0),"")</f>
        <v/>
      </c>
      <c r="AN146" s="14" t="str">
        <f aca="false">IFERROR(VLOOKUP(TRIM('📥 Respostas'!AQ146),'⚙️ Config'!$A$4:$B$13,2,0),"")</f>
        <v/>
      </c>
      <c r="AO146" s="14" t="str">
        <f aca="false">IFERROR(VLOOKUP(TRIM('📥 Respostas'!AR146),'⚙️ Config'!$A$4:$B$13,2,0),"")</f>
        <v/>
      </c>
      <c r="AP146" s="14" t="str">
        <f aca="false">IFERROR(VLOOKUP(TRIM('📥 Respostas'!AS146),'⚙️ Config'!$A$4:$B$13,2,0),"")</f>
        <v/>
      </c>
      <c r="AQ146" s="14" t="str">
        <f aca="false">IFERROR(VLOOKUP(TRIM('📥 Respostas'!AT146),'⚙️ Config'!$A$4:$B$13,2,0),"")</f>
        <v/>
      </c>
      <c r="AR146" s="14" t="str">
        <f aca="false">IFERROR(VLOOKUP(TRIM('📥 Respostas'!AU146),'⚙️ Config'!$A$4:$B$13,2,0),"")</f>
        <v/>
      </c>
    </row>
    <row r="147" customFormat="false" ht="15" hidden="false" customHeight="false" outlineLevel="0" collapsed="false">
      <c r="A147" s="15" t="str">
        <f aca="false">IF(ISBLANK('📥 Respostas'!D147),"",ROW()-3)</f>
        <v/>
      </c>
      <c r="B147" s="15" t="n">
        <f aca="false">'📥 Respostas'!D147</f>
        <v>0</v>
      </c>
      <c r="C147" s="5" t="n">
        <f aca="false">'📥 Respostas'!C147</f>
        <v>0</v>
      </c>
      <c r="D147" s="14" t="str">
        <f aca="false">IFERROR(VLOOKUP(TRIM('📥 Respostas'!G147),'⚙️ Config'!$A$4:$B$13,2,0),"")</f>
        <v/>
      </c>
      <c r="E147" s="14" t="str">
        <f aca="false">IFERROR(VLOOKUP(TRIM('📥 Respostas'!H147),'⚙️ Config'!$A$4:$B$13,2,0),"")</f>
        <v/>
      </c>
      <c r="F147" s="14" t="str">
        <f aca="false">IFERROR(VLOOKUP(TRIM('📥 Respostas'!I147),'⚙️ Config'!$A$4:$B$13,2,0),"")</f>
        <v/>
      </c>
      <c r="G147" s="14" t="str">
        <f aca="false">IFERROR(VLOOKUP(TRIM('📥 Respostas'!J147),'⚙️ Config'!$A$4:$B$13,2,0),"")</f>
        <v/>
      </c>
      <c r="H147" s="14" t="str">
        <f aca="false">IFERROR(VLOOKUP(TRIM('📥 Respostas'!K147),'⚙️ Config'!$A$4:$B$13,2,0),"")</f>
        <v/>
      </c>
      <c r="I147" s="14" t="str">
        <f aca="false">IFERROR(VLOOKUP(TRIM('📥 Respostas'!L147),'⚙️ Config'!$A$4:$B$13,2,0),"")</f>
        <v/>
      </c>
      <c r="J147" s="14" t="str">
        <f aca="false">IFERROR(VLOOKUP(TRIM('📥 Respostas'!M147),'⚙️ Config'!$A$4:$B$13,2,0),"")</f>
        <v/>
      </c>
      <c r="K147" s="14" t="str">
        <f aca="false">IFERROR(VLOOKUP(TRIM('📥 Respostas'!N147),'⚙️ Config'!$A$4:$B$13,2,0),"")</f>
        <v/>
      </c>
      <c r="L147" s="14" t="str">
        <f aca="false">IFERROR(VLOOKUP(TRIM('📥 Respostas'!O147),'⚙️ Config'!$A$4:$B$13,2,0),"")</f>
        <v/>
      </c>
      <c r="M147" s="14" t="str">
        <f aca="false">IFERROR(VLOOKUP(TRIM('📥 Respostas'!P147),'⚙️ Config'!$A$4:$B$13,2,0),"")</f>
        <v/>
      </c>
      <c r="N147" s="14" t="str">
        <f aca="false">IFERROR(VLOOKUP(TRIM('📥 Respostas'!Q147),'⚙️ Config'!$A$4:$B$13,2,0),"")</f>
        <v/>
      </c>
      <c r="O147" s="14" t="str">
        <f aca="false">IFERROR(VLOOKUP(TRIM('📥 Respostas'!R147),'⚙️ Config'!$A$4:$B$13,2,0),"")</f>
        <v/>
      </c>
      <c r="P147" s="14" t="str">
        <f aca="false">IFERROR(VLOOKUP(TRIM('📥 Respostas'!S147),'⚙️ Config'!$A$4:$B$13,2,0),"")</f>
        <v/>
      </c>
      <c r="Q147" s="14" t="str">
        <f aca="false">IFERROR(VLOOKUP(TRIM('📥 Respostas'!T147),'⚙️ Config'!$A$4:$B$13,2,0),"")</f>
        <v/>
      </c>
      <c r="R147" s="14" t="str">
        <f aca="false">IFERROR(VLOOKUP(TRIM('📥 Respostas'!U147),'⚙️ Config'!$A$4:$B$13,2,0),"")</f>
        <v/>
      </c>
      <c r="S147" s="14" t="str">
        <f aca="false">IFERROR(VLOOKUP(TRIM('📥 Respostas'!V147),'⚙️ Config'!$A$4:$B$13,2,0),"")</f>
        <v/>
      </c>
      <c r="T147" s="14" t="str">
        <f aca="false">IFERROR(VLOOKUP(TRIM('📥 Respostas'!W147),'⚙️ Config'!$A$4:$B$13,2,0),"")</f>
        <v/>
      </c>
      <c r="U147" s="14" t="str">
        <f aca="false">IFERROR(VLOOKUP(TRIM('📥 Respostas'!X147),'⚙️ Config'!$A$4:$B$13,2,0),"")</f>
        <v/>
      </c>
      <c r="V147" s="14" t="str">
        <f aca="false">IFERROR(VLOOKUP(TRIM('📥 Respostas'!Y147),'⚙️ Config'!$A$4:$B$13,2,0),"")</f>
        <v/>
      </c>
      <c r="W147" s="14" t="str">
        <f aca="false">IFERROR(VLOOKUP(TRIM('📥 Respostas'!Z147),'⚙️ Config'!$A$4:$B$13,2,0),"")</f>
        <v/>
      </c>
      <c r="X147" s="14" t="str">
        <f aca="false">IFERROR(VLOOKUP(TRIM('📥 Respostas'!AA147),'⚙️ Config'!$A$4:$B$13,2,0),"")</f>
        <v/>
      </c>
      <c r="Y147" s="14" t="str">
        <f aca="false">IFERROR(VLOOKUP(TRIM('📥 Respostas'!AB147),'⚙️ Config'!$A$4:$B$13,2,0),"")</f>
        <v/>
      </c>
      <c r="Z147" s="14" t="str">
        <f aca="false">IFERROR(VLOOKUP(TRIM('📥 Respostas'!AC147),'⚙️ Config'!$A$4:$B$13,2,0),"")</f>
        <v/>
      </c>
      <c r="AA147" s="14" t="str">
        <f aca="false">IFERROR(VLOOKUP(TRIM('📥 Respostas'!AD147),'⚙️ Config'!$A$4:$B$13,2,0),"")</f>
        <v/>
      </c>
      <c r="AB147" s="14" t="str">
        <f aca="false">IFERROR(VLOOKUP(TRIM('📥 Respostas'!AE147),'⚙️ Config'!$A$4:$B$13,2,0),"")</f>
        <v/>
      </c>
      <c r="AC147" s="14" t="str">
        <f aca="false">IFERROR(VLOOKUP(TRIM('📥 Respostas'!AF147),'⚙️ Config'!$A$4:$B$13,2,0),"")</f>
        <v/>
      </c>
      <c r="AD147" s="14" t="str">
        <f aca="false">IFERROR(VLOOKUP(TRIM('📥 Respostas'!AG147),'⚙️ Config'!$A$4:$B$13,2,0),"")</f>
        <v/>
      </c>
      <c r="AE147" s="14" t="str">
        <f aca="false">IFERROR(VLOOKUP(TRIM('📥 Respostas'!AH147),'⚙️ Config'!$A$4:$B$13,2,0),"")</f>
        <v/>
      </c>
      <c r="AF147" s="14" t="str">
        <f aca="false">IFERROR(VLOOKUP(TRIM('📥 Respostas'!AI147),'⚙️ Config'!$C$4:$D$11,2,0),"")</f>
        <v/>
      </c>
      <c r="AG147" s="14" t="str">
        <f aca="false">IFERROR(VLOOKUP(TRIM('📥 Respostas'!AJ147),'⚙️ Config'!$A$4:$B$13,2,0),"")</f>
        <v/>
      </c>
      <c r="AH147" s="14" t="str">
        <f aca="false">IFERROR(VLOOKUP(TRIM('📥 Respostas'!AK147),'⚙️ Config'!$A$4:$B$13,2,0),"")</f>
        <v/>
      </c>
      <c r="AI147" s="14" t="str">
        <f aca="false">IFERROR(VLOOKUP(TRIM('📥 Respostas'!AL147),'⚙️ Config'!$A$4:$B$13,2,0),"")</f>
        <v/>
      </c>
      <c r="AJ147" s="14" t="str">
        <f aca="false">IFERROR(VLOOKUP(TRIM('📥 Respostas'!AM147),'⚙️ Config'!$A$4:$B$13,2,0),"")</f>
        <v/>
      </c>
      <c r="AK147" s="14" t="str">
        <f aca="false">IFERROR(VLOOKUP(TRIM('📥 Respostas'!AN147),'⚙️ Config'!$A$4:$B$13,2,0),"")</f>
        <v/>
      </c>
      <c r="AL147" s="14" t="str">
        <f aca="false">IFERROR(VLOOKUP(TRIM('📥 Respostas'!AO147),'⚙️ Config'!$A$4:$B$13,2,0),"")</f>
        <v/>
      </c>
      <c r="AM147" s="14" t="str">
        <f aca="false">IFERROR(VLOOKUP(TRIM('📥 Respostas'!AP147),'⚙️ Config'!$A$4:$B$13,2,0),"")</f>
        <v/>
      </c>
      <c r="AN147" s="14" t="str">
        <f aca="false">IFERROR(VLOOKUP(TRIM('📥 Respostas'!AQ147),'⚙️ Config'!$A$4:$B$13,2,0),"")</f>
        <v/>
      </c>
      <c r="AO147" s="14" t="str">
        <f aca="false">IFERROR(VLOOKUP(TRIM('📥 Respostas'!AR147),'⚙️ Config'!$A$4:$B$13,2,0),"")</f>
        <v/>
      </c>
      <c r="AP147" s="14" t="str">
        <f aca="false">IFERROR(VLOOKUP(TRIM('📥 Respostas'!AS147),'⚙️ Config'!$A$4:$B$13,2,0),"")</f>
        <v/>
      </c>
      <c r="AQ147" s="14" t="str">
        <f aca="false">IFERROR(VLOOKUP(TRIM('📥 Respostas'!AT147),'⚙️ Config'!$A$4:$B$13,2,0),"")</f>
        <v/>
      </c>
      <c r="AR147" s="14" t="str">
        <f aca="false">IFERROR(VLOOKUP(TRIM('📥 Respostas'!AU147),'⚙️ Config'!$A$4:$B$13,2,0),"")</f>
        <v/>
      </c>
    </row>
    <row r="148" customFormat="false" ht="15" hidden="false" customHeight="false" outlineLevel="0" collapsed="false">
      <c r="A148" s="12" t="str">
        <f aca="false">IF(ISBLANK('📥 Respostas'!D148),"",ROW()-3)</f>
        <v/>
      </c>
      <c r="B148" s="12" t="n">
        <f aca="false">'📥 Respostas'!D148</f>
        <v>0</v>
      </c>
      <c r="C148" s="13" t="n">
        <f aca="false">'📥 Respostas'!C148</f>
        <v>0</v>
      </c>
      <c r="D148" s="14" t="str">
        <f aca="false">IFERROR(VLOOKUP(TRIM('📥 Respostas'!G148),'⚙️ Config'!$A$4:$B$13,2,0),"")</f>
        <v/>
      </c>
      <c r="E148" s="14" t="str">
        <f aca="false">IFERROR(VLOOKUP(TRIM('📥 Respostas'!H148),'⚙️ Config'!$A$4:$B$13,2,0),"")</f>
        <v/>
      </c>
      <c r="F148" s="14" t="str">
        <f aca="false">IFERROR(VLOOKUP(TRIM('📥 Respostas'!I148),'⚙️ Config'!$A$4:$B$13,2,0),"")</f>
        <v/>
      </c>
      <c r="G148" s="14" t="str">
        <f aca="false">IFERROR(VLOOKUP(TRIM('📥 Respostas'!J148),'⚙️ Config'!$A$4:$B$13,2,0),"")</f>
        <v/>
      </c>
      <c r="H148" s="14" t="str">
        <f aca="false">IFERROR(VLOOKUP(TRIM('📥 Respostas'!K148),'⚙️ Config'!$A$4:$B$13,2,0),"")</f>
        <v/>
      </c>
      <c r="I148" s="14" t="str">
        <f aca="false">IFERROR(VLOOKUP(TRIM('📥 Respostas'!L148),'⚙️ Config'!$A$4:$B$13,2,0),"")</f>
        <v/>
      </c>
      <c r="J148" s="14" t="str">
        <f aca="false">IFERROR(VLOOKUP(TRIM('📥 Respostas'!M148),'⚙️ Config'!$A$4:$B$13,2,0),"")</f>
        <v/>
      </c>
      <c r="K148" s="14" t="str">
        <f aca="false">IFERROR(VLOOKUP(TRIM('📥 Respostas'!N148),'⚙️ Config'!$A$4:$B$13,2,0),"")</f>
        <v/>
      </c>
      <c r="L148" s="14" t="str">
        <f aca="false">IFERROR(VLOOKUP(TRIM('📥 Respostas'!O148),'⚙️ Config'!$A$4:$B$13,2,0),"")</f>
        <v/>
      </c>
      <c r="M148" s="14" t="str">
        <f aca="false">IFERROR(VLOOKUP(TRIM('📥 Respostas'!P148),'⚙️ Config'!$A$4:$B$13,2,0),"")</f>
        <v/>
      </c>
      <c r="N148" s="14" t="str">
        <f aca="false">IFERROR(VLOOKUP(TRIM('📥 Respostas'!Q148),'⚙️ Config'!$A$4:$B$13,2,0),"")</f>
        <v/>
      </c>
      <c r="O148" s="14" t="str">
        <f aca="false">IFERROR(VLOOKUP(TRIM('📥 Respostas'!R148),'⚙️ Config'!$A$4:$B$13,2,0),"")</f>
        <v/>
      </c>
      <c r="P148" s="14" t="str">
        <f aca="false">IFERROR(VLOOKUP(TRIM('📥 Respostas'!S148),'⚙️ Config'!$A$4:$B$13,2,0),"")</f>
        <v/>
      </c>
      <c r="Q148" s="14" t="str">
        <f aca="false">IFERROR(VLOOKUP(TRIM('📥 Respostas'!T148),'⚙️ Config'!$A$4:$B$13,2,0),"")</f>
        <v/>
      </c>
      <c r="R148" s="14" t="str">
        <f aca="false">IFERROR(VLOOKUP(TRIM('📥 Respostas'!U148),'⚙️ Config'!$A$4:$B$13,2,0),"")</f>
        <v/>
      </c>
      <c r="S148" s="14" t="str">
        <f aca="false">IFERROR(VLOOKUP(TRIM('📥 Respostas'!V148),'⚙️ Config'!$A$4:$B$13,2,0),"")</f>
        <v/>
      </c>
      <c r="T148" s="14" t="str">
        <f aca="false">IFERROR(VLOOKUP(TRIM('📥 Respostas'!W148),'⚙️ Config'!$A$4:$B$13,2,0),"")</f>
        <v/>
      </c>
      <c r="U148" s="14" t="str">
        <f aca="false">IFERROR(VLOOKUP(TRIM('📥 Respostas'!X148),'⚙️ Config'!$A$4:$B$13,2,0),"")</f>
        <v/>
      </c>
      <c r="V148" s="14" t="str">
        <f aca="false">IFERROR(VLOOKUP(TRIM('📥 Respostas'!Y148),'⚙️ Config'!$A$4:$B$13,2,0),"")</f>
        <v/>
      </c>
      <c r="W148" s="14" t="str">
        <f aca="false">IFERROR(VLOOKUP(TRIM('📥 Respostas'!Z148),'⚙️ Config'!$A$4:$B$13,2,0),"")</f>
        <v/>
      </c>
      <c r="X148" s="14" t="str">
        <f aca="false">IFERROR(VLOOKUP(TRIM('📥 Respostas'!AA148),'⚙️ Config'!$A$4:$B$13,2,0),"")</f>
        <v/>
      </c>
      <c r="Y148" s="14" t="str">
        <f aca="false">IFERROR(VLOOKUP(TRIM('📥 Respostas'!AB148),'⚙️ Config'!$A$4:$B$13,2,0),"")</f>
        <v/>
      </c>
      <c r="Z148" s="14" t="str">
        <f aca="false">IFERROR(VLOOKUP(TRIM('📥 Respostas'!AC148),'⚙️ Config'!$A$4:$B$13,2,0),"")</f>
        <v/>
      </c>
      <c r="AA148" s="14" t="str">
        <f aca="false">IFERROR(VLOOKUP(TRIM('📥 Respostas'!AD148),'⚙️ Config'!$A$4:$B$13,2,0),"")</f>
        <v/>
      </c>
      <c r="AB148" s="14" t="str">
        <f aca="false">IFERROR(VLOOKUP(TRIM('📥 Respostas'!AE148),'⚙️ Config'!$A$4:$B$13,2,0),"")</f>
        <v/>
      </c>
      <c r="AC148" s="14" t="str">
        <f aca="false">IFERROR(VLOOKUP(TRIM('📥 Respostas'!AF148),'⚙️ Config'!$A$4:$B$13,2,0),"")</f>
        <v/>
      </c>
      <c r="AD148" s="14" t="str">
        <f aca="false">IFERROR(VLOOKUP(TRIM('📥 Respostas'!AG148),'⚙️ Config'!$A$4:$B$13,2,0),"")</f>
        <v/>
      </c>
      <c r="AE148" s="14" t="str">
        <f aca="false">IFERROR(VLOOKUP(TRIM('📥 Respostas'!AH148),'⚙️ Config'!$A$4:$B$13,2,0),"")</f>
        <v/>
      </c>
      <c r="AF148" s="14" t="str">
        <f aca="false">IFERROR(VLOOKUP(TRIM('📥 Respostas'!AI148),'⚙️ Config'!$C$4:$D$11,2,0),"")</f>
        <v/>
      </c>
      <c r="AG148" s="14" t="str">
        <f aca="false">IFERROR(VLOOKUP(TRIM('📥 Respostas'!AJ148),'⚙️ Config'!$A$4:$B$13,2,0),"")</f>
        <v/>
      </c>
      <c r="AH148" s="14" t="str">
        <f aca="false">IFERROR(VLOOKUP(TRIM('📥 Respostas'!AK148),'⚙️ Config'!$A$4:$B$13,2,0),"")</f>
        <v/>
      </c>
      <c r="AI148" s="14" t="str">
        <f aca="false">IFERROR(VLOOKUP(TRIM('📥 Respostas'!AL148),'⚙️ Config'!$A$4:$B$13,2,0),"")</f>
        <v/>
      </c>
      <c r="AJ148" s="14" t="str">
        <f aca="false">IFERROR(VLOOKUP(TRIM('📥 Respostas'!AM148),'⚙️ Config'!$A$4:$B$13,2,0),"")</f>
        <v/>
      </c>
      <c r="AK148" s="14" t="str">
        <f aca="false">IFERROR(VLOOKUP(TRIM('📥 Respostas'!AN148),'⚙️ Config'!$A$4:$B$13,2,0),"")</f>
        <v/>
      </c>
      <c r="AL148" s="14" t="str">
        <f aca="false">IFERROR(VLOOKUP(TRIM('📥 Respostas'!AO148),'⚙️ Config'!$A$4:$B$13,2,0),"")</f>
        <v/>
      </c>
      <c r="AM148" s="14" t="str">
        <f aca="false">IFERROR(VLOOKUP(TRIM('📥 Respostas'!AP148),'⚙️ Config'!$A$4:$B$13,2,0),"")</f>
        <v/>
      </c>
      <c r="AN148" s="14" t="str">
        <f aca="false">IFERROR(VLOOKUP(TRIM('📥 Respostas'!AQ148),'⚙️ Config'!$A$4:$B$13,2,0),"")</f>
        <v/>
      </c>
      <c r="AO148" s="14" t="str">
        <f aca="false">IFERROR(VLOOKUP(TRIM('📥 Respostas'!AR148),'⚙️ Config'!$A$4:$B$13,2,0),"")</f>
        <v/>
      </c>
      <c r="AP148" s="14" t="str">
        <f aca="false">IFERROR(VLOOKUP(TRIM('📥 Respostas'!AS148),'⚙️ Config'!$A$4:$B$13,2,0),"")</f>
        <v/>
      </c>
      <c r="AQ148" s="14" t="str">
        <f aca="false">IFERROR(VLOOKUP(TRIM('📥 Respostas'!AT148),'⚙️ Config'!$A$4:$B$13,2,0),"")</f>
        <v/>
      </c>
      <c r="AR148" s="14" t="str">
        <f aca="false">IFERROR(VLOOKUP(TRIM('📥 Respostas'!AU148),'⚙️ Config'!$A$4:$B$13,2,0),"")</f>
        <v/>
      </c>
    </row>
    <row r="149" customFormat="false" ht="15" hidden="false" customHeight="false" outlineLevel="0" collapsed="false">
      <c r="A149" s="15" t="str">
        <f aca="false">IF(ISBLANK('📥 Respostas'!D149),"",ROW()-3)</f>
        <v/>
      </c>
      <c r="B149" s="15" t="n">
        <f aca="false">'📥 Respostas'!D149</f>
        <v>0</v>
      </c>
      <c r="C149" s="5" t="n">
        <f aca="false">'📥 Respostas'!C149</f>
        <v>0</v>
      </c>
      <c r="D149" s="14" t="str">
        <f aca="false">IFERROR(VLOOKUP(TRIM('📥 Respostas'!G149),'⚙️ Config'!$A$4:$B$13,2,0),"")</f>
        <v/>
      </c>
      <c r="E149" s="14" t="str">
        <f aca="false">IFERROR(VLOOKUP(TRIM('📥 Respostas'!H149),'⚙️ Config'!$A$4:$B$13,2,0),"")</f>
        <v/>
      </c>
      <c r="F149" s="14" t="str">
        <f aca="false">IFERROR(VLOOKUP(TRIM('📥 Respostas'!I149),'⚙️ Config'!$A$4:$B$13,2,0),"")</f>
        <v/>
      </c>
      <c r="G149" s="14" t="str">
        <f aca="false">IFERROR(VLOOKUP(TRIM('📥 Respostas'!J149),'⚙️ Config'!$A$4:$B$13,2,0),"")</f>
        <v/>
      </c>
      <c r="H149" s="14" t="str">
        <f aca="false">IFERROR(VLOOKUP(TRIM('📥 Respostas'!K149),'⚙️ Config'!$A$4:$B$13,2,0),"")</f>
        <v/>
      </c>
      <c r="I149" s="14" t="str">
        <f aca="false">IFERROR(VLOOKUP(TRIM('📥 Respostas'!L149),'⚙️ Config'!$A$4:$B$13,2,0),"")</f>
        <v/>
      </c>
      <c r="J149" s="14" t="str">
        <f aca="false">IFERROR(VLOOKUP(TRIM('📥 Respostas'!M149),'⚙️ Config'!$A$4:$B$13,2,0),"")</f>
        <v/>
      </c>
      <c r="K149" s="14" t="str">
        <f aca="false">IFERROR(VLOOKUP(TRIM('📥 Respostas'!N149),'⚙️ Config'!$A$4:$B$13,2,0),"")</f>
        <v/>
      </c>
      <c r="L149" s="14" t="str">
        <f aca="false">IFERROR(VLOOKUP(TRIM('📥 Respostas'!O149),'⚙️ Config'!$A$4:$B$13,2,0),"")</f>
        <v/>
      </c>
      <c r="M149" s="14" t="str">
        <f aca="false">IFERROR(VLOOKUP(TRIM('📥 Respostas'!P149),'⚙️ Config'!$A$4:$B$13,2,0),"")</f>
        <v/>
      </c>
      <c r="N149" s="14" t="str">
        <f aca="false">IFERROR(VLOOKUP(TRIM('📥 Respostas'!Q149),'⚙️ Config'!$A$4:$B$13,2,0),"")</f>
        <v/>
      </c>
      <c r="O149" s="14" t="str">
        <f aca="false">IFERROR(VLOOKUP(TRIM('📥 Respostas'!R149),'⚙️ Config'!$A$4:$B$13,2,0),"")</f>
        <v/>
      </c>
      <c r="P149" s="14" t="str">
        <f aca="false">IFERROR(VLOOKUP(TRIM('📥 Respostas'!S149),'⚙️ Config'!$A$4:$B$13,2,0),"")</f>
        <v/>
      </c>
      <c r="Q149" s="14" t="str">
        <f aca="false">IFERROR(VLOOKUP(TRIM('📥 Respostas'!T149),'⚙️ Config'!$A$4:$B$13,2,0),"")</f>
        <v/>
      </c>
      <c r="R149" s="14" t="str">
        <f aca="false">IFERROR(VLOOKUP(TRIM('📥 Respostas'!U149),'⚙️ Config'!$A$4:$B$13,2,0),"")</f>
        <v/>
      </c>
      <c r="S149" s="14" t="str">
        <f aca="false">IFERROR(VLOOKUP(TRIM('📥 Respostas'!V149),'⚙️ Config'!$A$4:$B$13,2,0),"")</f>
        <v/>
      </c>
      <c r="T149" s="14" t="str">
        <f aca="false">IFERROR(VLOOKUP(TRIM('📥 Respostas'!W149),'⚙️ Config'!$A$4:$B$13,2,0),"")</f>
        <v/>
      </c>
      <c r="U149" s="14" t="str">
        <f aca="false">IFERROR(VLOOKUP(TRIM('📥 Respostas'!X149),'⚙️ Config'!$A$4:$B$13,2,0),"")</f>
        <v/>
      </c>
      <c r="V149" s="14" t="str">
        <f aca="false">IFERROR(VLOOKUP(TRIM('📥 Respostas'!Y149),'⚙️ Config'!$A$4:$B$13,2,0),"")</f>
        <v/>
      </c>
      <c r="W149" s="14" t="str">
        <f aca="false">IFERROR(VLOOKUP(TRIM('📥 Respostas'!Z149),'⚙️ Config'!$A$4:$B$13,2,0),"")</f>
        <v/>
      </c>
      <c r="X149" s="14" t="str">
        <f aca="false">IFERROR(VLOOKUP(TRIM('📥 Respostas'!AA149),'⚙️ Config'!$A$4:$B$13,2,0),"")</f>
        <v/>
      </c>
      <c r="Y149" s="14" t="str">
        <f aca="false">IFERROR(VLOOKUP(TRIM('📥 Respostas'!AB149),'⚙️ Config'!$A$4:$B$13,2,0),"")</f>
        <v/>
      </c>
      <c r="Z149" s="14" t="str">
        <f aca="false">IFERROR(VLOOKUP(TRIM('📥 Respostas'!AC149),'⚙️ Config'!$A$4:$B$13,2,0),"")</f>
        <v/>
      </c>
      <c r="AA149" s="14" t="str">
        <f aca="false">IFERROR(VLOOKUP(TRIM('📥 Respostas'!AD149),'⚙️ Config'!$A$4:$B$13,2,0),"")</f>
        <v/>
      </c>
      <c r="AB149" s="14" t="str">
        <f aca="false">IFERROR(VLOOKUP(TRIM('📥 Respostas'!AE149),'⚙️ Config'!$A$4:$B$13,2,0),"")</f>
        <v/>
      </c>
      <c r="AC149" s="14" t="str">
        <f aca="false">IFERROR(VLOOKUP(TRIM('📥 Respostas'!AF149),'⚙️ Config'!$A$4:$B$13,2,0),"")</f>
        <v/>
      </c>
      <c r="AD149" s="14" t="str">
        <f aca="false">IFERROR(VLOOKUP(TRIM('📥 Respostas'!AG149),'⚙️ Config'!$A$4:$B$13,2,0),"")</f>
        <v/>
      </c>
      <c r="AE149" s="14" t="str">
        <f aca="false">IFERROR(VLOOKUP(TRIM('📥 Respostas'!AH149),'⚙️ Config'!$A$4:$B$13,2,0),"")</f>
        <v/>
      </c>
      <c r="AF149" s="14" t="str">
        <f aca="false">IFERROR(VLOOKUP(TRIM('📥 Respostas'!AI149),'⚙️ Config'!$C$4:$D$11,2,0),"")</f>
        <v/>
      </c>
      <c r="AG149" s="14" t="str">
        <f aca="false">IFERROR(VLOOKUP(TRIM('📥 Respostas'!AJ149),'⚙️ Config'!$A$4:$B$13,2,0),"")</f>
        <v/>
      </c>
      <c r="AH149" s="14" t="str">
        <f aca="false">IFERROR(VLOOKUP(TRIM('📥 Respostas'!AK149),'⚙️ Config'!$A$4:$B$13,2,0),"")</f>
        <v/>
      </c>
      <c r="AI149" s="14" t="str">
        <f aca="false">IFERROR(VLOOKUP(TRIM('📥 Respostas'!AL149),'⚙️ Config'!$A$4:$B$13,2,0),"")</f>
        <v/>
      </c>
      <c r="AJ149" s="14" t="str">
        <f aca="false">IFERROR(VLOOKUP(TRIM('📥 Respostas'!AM149),'⚙️ Config'!$A$4:$B$13,2,0),"")</f>
        <v/>
      </c>
      <c r="AK149" s="14" t="str">
        <f aca="false">IFERROR(VLOOKUP(TRIM('📥 Respostas'!AN149),'⚙️ Config'!$A$4:$B$13,2,0),"")</f>
        <v/>
      </c>
      <c r="AL149" s="14" t="str">
        <f aca="false">IFERROR(VLOOKUP(TRIM('📥 Respostas'!AO149),'⚙️ Config'!$A$4:$B$13,2,0),"")</f>
        <v/>
      </c>
      <c r="AM149" s="14" t="str">
        <f aca="false">IFERROR(VLOOKUP(TRIM('📥 Respostas'!AP149),'⚙️ Config'!$A$4:$B$13,2,0),"")</f>
        <v/>
      </c>
      <c r="AN149" s="14" t="str">
        <f aca="false">IFERROR(VLOOKUP(TRIM('📥 Respostas'!AQ149),'⚙️ Config'!$A$4:$B$13,2,0),"")</f>
        <v/>
      </c>
      <c r="AO149" s="14" t="str">
        <f aca="false">IFERROR(VLOOKUP(TRIM('📥 Respostas'!AR149),'⚙️ Config'!$A$4:$B$13,2,0),"")</f>
        <v/>
      </c>
      <c r="AP149" s="14" t="str">
        <f aca="false">IFERROR(VLOOKUP(TRIM('📥 Respostas'!AS149),'⚙️ Config'!$A$4:$B$13,2,0),"")</f>
        <v/>
      </c>
      <c r="AQ149" s="14" t="str">
        <f aca="false">IFERROR(VLOOKUP(TRIM('📥 Respostas'!AT149),'⚙️ Config'!$A$4:$B$13,2,0),"")</f>
        <v/>
      </c>
      <c r="AR149" s="14" t="str">
        <f aca="false">IFERROR(VLOOKUP(TRIM('📥 Respostas'!AU149),'⚙️ Config'!$A$4:$B$13,2,0),"")</f>
        <v/>
      </c>
    </row>
    <row r="150" customFormat="false" ht="15" hidden="false" customHeight="false" outlineLevel="0" collapsed="false">
      <c r="A150" s="12" t="str">
        <f aca="false">IF(ISBLANK('📥 Respostas'!D150),"",ROW()-3)</f>
        <v/>
      </c>
      <c r="B150" s="12" t="n">
        <f aca="false">'📥 Respostas'!D150</f>
        <v>0</v>
      </c>
      <c r="C150" s="13" t="n">
        <f aca="false">'📥 Respostas'!C150</f>
        <v>0</v>
      </c>
      <c r="D150" s="14" t="str">
        <f aca="false">IFERROR(VLOOKUP(TRIM('📥 Respostas'!G150),'⚙️ Config'!$A$4:$B$13,2,0),"")</f>
        <v/>
      </c>
      <c r="E150" s="14" t="str">
        <f aca="false">IFERROR(VLOOKUP(TRIM('📥 Respostas'!H150),'⚙️ Config'!$A$4:$B$13,2,0),"")</f>
        <v/>
      </c>
      <c r="F150" s="14" t="str">
        <f aca="false">IFERROR(VLOOKUP(TRIM('📥 Respostas'!I150),'⚙️ Config'!$A$4:$B$13,2,0),"")</f>
        <v/>
      </c>
      <c r="G150" s="14" t="str">
        <f aca="false">IFERROR(VLOOKUP(TRIM('📥 Respostas'!J150),'⚙️ Config'!$A$4:$B$13,2,0),"")</f>
        <v/>
      </c>
      <c r="H150" s="14" t="str">
        <f aca="false">IFERROR(VLOOKUP(TRIM('📥 Respostas'!K150),'⚙️ Config'!$A$4:$B$13,2,0),"")</f>
        <v/>
      </c>
      <c r="I150" s="14" t="str">
        <f aca="false">IFERROR(VLOOKUP(TRIM('📥 Respostas'!L150),'⚙️ Config'!$A$4:$B$13,2,0),"")</f>
        <v/>
      </c>
      <c r="J150" s="14" t="str">
        <f aca="false">IFERROR(VLOOKUP(TRIM('📥 Respostas'!M150),'⚙️ Config'!$A$4:$B$13,2,0),"")</f>
        <v/>
      </c>
      <c r="K150" s="14" t="str">
        <f aca="false">IFERROR(VLOOKUP(TRIM('📥 Respostas'!N150),'⚙️ Config'!$A$4:$B$13,2,0),"")</f>
        <v/>
      </c>
      <c r="L150" s="14" t="str">
        <f aca="false">IFERROR(VLOOKUP(TRIM('📥 Respostas'!O150),'⚙️ Config'!$A$4:$B$13,2,0),"")</f>
        <v/>
      </c>
      <c r="M150" s="14" t="str">
        <f aca="false">IFERROR(VLOOKUP(TRIM('📥 Respostas'!P150),'⚙️ Config'!$A$4:$B$13,2,0),"")</f>
        <v/>
      </c>
      <c r="N150" s="14" t="str">
        <f aca="false">IFERROR(VLOOKUP(TRIM('📥 Respostas'!Q150),'⚙️ Config'!$A$4:$B$13,2,0),"")</f>
        <v/>
      </c>
      <c r="O150" s="14" t="str">
        <f aca="false">IFERROR(VLOOKUP(TRIM('📥 Respostas'!R150),'⚙️ Config'!$A$4:$B$13,2,0),"")</f>
        <v/>
      </c>
      <c r="P150" s="14" t="str">
        <f aca="false">IFERROR(VLOOKUP(TRIM('📥 Respostas'!S150),'⚙️ Config'!$A$4:$B$13,2,0),"")</f>
        <v/>
      </c>
      <c r="Q150" s="14" t="str">
        <f aca="false">IFERROR(VLOOKUP(TRIM('📥 Respostas'!T150),'⚙️ Config'!$A$4:$B$13,2,0),"")</f>
        <v/>
      </c>
      <c r="R150" s="14" t="str">
        <f aca="false">IFERROR(VLOOKUP(TRIM('📥 Respostas'!U150),'⚙️ Config'!$A$4:$B$13,2,0),"")</f>
        <v/>
      </c>
      <c r="S150" s="14" t="str">
        <f aca="false">IFERROR(VLOOKUP(TRIM('📥 Respostas'!V150),'⚙️ Config'!$A$4:$B$13,2,0),"")</f>
        <v/>
      </c>
      <c r="T150" s="14" t="str">
        <f aca="false">IFERROR(VLOOKUP(TRIM('📥 Respostas'!W150),'⚙️ Config'!$A$4:$B$13,2,0),"")</f>
        <v/>
      </c>
      <c r="U150" s="14" t="str">
        <f aca="false">IFERROR(VLOOKUP(TRIM('📥 Respostas'!X150),'⚙️ Config'!$A$4:$B$13,2,0),"")</f>
        <v/>
      </c>
      <c r="V150" s="14" t="str">
        <f aca="false">IFERROR(VLOOKUP(TRIM('📥 Respostas'!Y150),'⚙️ Config'!$A$4:$B$13,2,0),"")</f>
        <v/>
      </c>
      <c r="W150" s="14" t="str">
        <f aca="false">IFERROR(VLOOKUP(TRIM('📥 Respostas'!Z150),'⚙️ Config'!$A$4:$B$13,2,0),"")</f>
        <v/>
      </c>
      <c r="X150" s="14" t="str">
        <f aca="false">IFERROR(VLOOKUP(TRIM('📥 Respostas'!AA150),'⚙️ Config'!$A$4:$B$13,2,0),"")</f>
        <v/>
      </c>
      <c r="Y150" s="14" t="str">
        <f aca="false">IFERROR(VLOOKUP(TRIM('📥 Respostas'!AB150),'⚙️ Config'!$A$4:$B$13,2,0),"")</f>
        <v/>
      </c>
      <c r="Z150" s="14" t="str">
        <f aca="false">IFERROR(VLOOKUP(TRIM('📥 Respostas'!AC150),'⚙️ Config'!$A$4:$B$13,2,0),"")</f>
        <v/>
      </c>
      <c r="AA150" s="14" t="str">
        <f aca="false">IFERROR(VLOOKUP(TRIM('📥 Respostas'!AD150),'⚙️ Config'!$A$4:$B$13,2,0),"")</f>
        <v/>
      </c>
      <c r="AB150" s="14" t="str">
        <f aca="false">IFERROR(VLOOKUP(TRIM('📥 Respostas'!AE150),'⚙️ Config'!$A$4:$B$13,2,0),"")</f>
        <v/>
      </c>
      <c r="AC150" s="14" t="str">
        <f aca="false">IFERROR(VLOOKUP(TRIM('📥 Respostas'!AF150),'⚙️ Config'!$A$4:$B$13,2,0),"")</f>
        <v/>
      </c>
      <c r="AD150" s="14" t="str">
        <f aca="false">IFERROR(VLOOKUP(TRIM('📥 Respostas'!AG150),'⚙️ Config'!$A$4:$B$13,2,0),"")</f>
        <v/>
      </c>
      <c r="AE150" s="14" t="str">
        <f aca="false">IFERROR(VLOOKUP(TRIM('📥 Respostas'!AH150),'⚙️ Config'!$A$4:$B$13,2,0),"")</f>
        <v/>
      </c>
      <c r="AF150" s="14" t="str">
        <f aca="false">IFERROR(VLOOKUP(TRIM('📥 Respostas'!AI150),'⚙️ Config'!$C$4:$D$11,2,0),"")</f>
        <v/>
      </c>
      <c r="AG150" s="14" t="str">
        <f aca="false">IFERROR(VLOOKUP(TRIM('📥 Respostas'!AJ150),'⚙️ Config'!$A$4:$B$13,2,0),"")</f>
        <v/>
      </c>
      <c r="AH150" s="14" t="str">
        <f aca="false">IFERROR(VLOOKUP(TRIM('📥 Respostas'!AK150),'⚙️ Config'!$A$4:$B$13,2,0),"")</f>
        <v/>
      </c>
      <c r="AI150" s="14" t="str">
        <f aca="false">IFERROR(VLOOKUP(TRIM('📥 Respostas'!AL150),'⚙️ Config'!$A$4:$B$13,2,0),"")</f>
        <v/>
      </c>
      <c r="AJ150" s="14" t="str">
        <f aca="false">IFERROR(VLOOKUP(TRIM('📥 Respostas'!AM150),'⚙️ Config'!$A$4:$B$13,2,0),"")</f>
        <v/>
      </c>
      <c r="AK150" s="14" t="str">
        <f aca="false">IFERROR(VLOOKUP(TRIM('📥 Respostas'!AN150),'⚙️ Config'!$A$4:$B$13,2,0),"")</f>
        <v/>
      </c>
      <c r="AL150" s="14" t="str">
        <f aca="false">IFERROR(VLOOKUP(TRIM('📥 Respostas'!AO150),'⚙️ Config'!$A$4:$B$13,2,0),"")</f>
        <v/>
      </c>
      <c r="AM150" s="14" t="str">
        <f aca="false">IFERROR(VLOOKUP(TRIM('📥 Respostas'!AP150),'⚙️ Config'!$A$4:$B$13,2,0),"")</f>
        <v/>
      </c>
      <c r="AN150" s="14" t="str">
        <f aca="false">IFERROR(VLOOKUP(TRIM('📥 Respostas'!AQ150),'⚙️ Config'!$A$4:$B$13,2,0),"")</f>
        <v/>
      </c>
      <c r="AO150" s="14" t="str">
        <f aca="false">IFERROR(VLOOKUP(TRIM('📥 Respostas'!AR150),'⚙️ Config'!$A$4:$B$13,2,0),"")</f>
        <v/>
      </c>
      <c r="AP150" s="14" t="str">
        <f aca="false">IFERROR(VLOOKUP(TRIM('📥 Respostas'!AS150),'⚙️ Config'!$A$4:$B$13,2,0),"")</f>
        <v/>
      </c>
      <c r="AQ150" s="14" t="str">
        <f aca="false">IFERROR(VLOOKUP(TRIM('📥 Respostas'!AT150),'⚙️ Config'!$A$4:$B$13,2,0),"")</f>
        <v/>
      </c>
      <c r="AR150" s="14" t="str">
        <f aca="false">IFERROR(VLOOKUP(TRIM('📥 Respostas'!AU150),'⚙️ Config'!$A$4:$B$13,2,0),"")</f>
        <v/>
      </c>
    </row>
    <row r="151" customFormat="false" ht="15" hidden="false" customHeight="false" outlineLevel="0" collapsed="false">
      <c r="A151" s="15" t="str">
        <f aca="false">IF(ISBLANK('📥 Respostas'!D151),"",ROW()-3)</f>
        <v/>
      </c>
      <c r="B151" s="15" t="n">
        <f aca="false">'📥 Respostas'!D151</f>
        <v>0</v>
      </c>
      <c r="C151" s="5" t="n">
        <f aca="false">'📥 Respostas'!C151</f>
        <v>0</v>
      </c>
      <c r="D151" s="14" t="str">
        <f aca="false">IFERROR(VLOOKUP(TRIM('📥 Respostas'!G151),'⚙️ Config'!$A$4:$B$13,2,0),"")</f>
        <v/>
      </c>
      <c r="E151" s="14" t="str">
        <f aca="false">IFERROR(VLOOKUP(TRIM('📥 Respostas'!H151),'⚙️ Config'!$A$4:$B$13,2,0),"")</f>
        <v/>
      </c>
      <c r="F151" s="14" t="str">
        <f aca="false">IFERROR(VLOOKUP(TRIM('📥 Respostas'!I151),'⚙️ Config'!$A$4:$B$13,2,0),"")</f>
        <v/>
      </c>
      <c r="G151" s="14" t="str">
        <f aca="false">IFERROR(VLOOKUP(TRIM('📥 Respostas'!J151),'⚙️ Config'!$A$4:$B$13,2,0),"")</f>
        <v/>
      </c>
      <c r="H151" s="14" t="str">
        <f aca="false">IFERROR(VLOOKUP(TRIM('📥 Respostas'!K151),'⚙️ Config'!$A$4:$B$13,2,0),"")</f>
        <v/>
      </c>
      <c r="I151" s="14" t="str">
        <f aca="false">IFERROR(VLOOKUP(TRIM('📥 Respostas'!L151),'⚙️ Config'!$A$4:$B$13,2,0),"")</f>
        <v/>
      </c>
      <c r="J151" s="14" t="str">
        <f aca="false">IFERROR(VLOOKUP(TRIM('📥 Respostas'!M151),'⚙️ Config'!$A$4:$B$13,2,0),"")</f>
        <v/>
      </c>
      <c r="K151" s="14" t="str">
        <f aca="false">IFERROR(VLOOKUP(TRIM('📥 Respostas'!N151),'⚙️ Config'!$A$4:$B$13,2,0),"")</f>
        <v/>
      </c>
      <c r="L151" s="14" t="str">
        <f aca="false">IFERROR(VLOOKUP(TRIM('📥 Respostas'!O151),'⚙️ Config'!$A$4:$B$13,2,0),"")</f>
        <v/>
      </c>
      <c r="M151" s="14" t="str">
        <f aca="false">IFERROR(VLOOKUP(TRIM('📥 Respostas'!P151),'⚙️ Config'!$A$4:$B$13,2,0),"")</f>
        <v/>
      </c>
      <c r="N151" s="14" t="str">
        <f aca="false">IFERROR(VLOOKUP(TRIM('📥 Respostas'!Q151),'⚙️ Config'!$A$4:$B$13,2,0),"")</f>
        <v/>
      </c>
      <c r="O151" s="14" t="str">
        <f aca="false">IFERROR(VLOOKUP(TRIM('📥 Respostas'!R151),'⚙️ Config'!$A$4:$B$13,2,0),"")</f>
        <v/>
      </c>
      <c r="P151" s="14" t="str">
        <f aca="false">IFERROR(VLOOKUP(TRIM('📥 Respostas'!S151),'⚙️ Config'!$A$4:$B$13,2,0),"")</f>
        <v/>
      </c>
      <c r="Q151" s="14" t="str">
        <f aca="false">IFERROR(VLOOKUP(TRIM('📥 Respostas'!T151),'⚙️ Config'!$A$4:$B$13,2,0),"")</f>
        <v/>
      </c>
      <c r="R151" s="14" t="str">
        <f aca="false">IFERROR(VLOOKUP(TRIM('📥 Respostas'!U151),'⚙️ Config'!$A$4:$B$13,2,0),"")</f>
        <v/>
      </c>
      <c r="S151" s="14" t="str">
        <f aca="false">IFERROR(VLOOKUP(TRIM('📥 Respostas'!V151),'⚙️ Config'!$A$4:$B$13,2,0),"")</f>
        <v/>
      </c>
      <c r="T151" s="14" t="str">
        <f aca="false">IFERROR(VLOOKUP(TRIM('📥 Respostas'!W151),'⚙️ Config'!$A$4:$B$13,2,0),"")</f>
        <v/>
      </c>
      <c r="U151" s="14" t="str">
        <f aca="false">IFERROR(VLOOKUP(TRIM('📥 Respostas'!X151),'⚙️ Config'!$A$4:$B$13,2,0),"")</f>
        <v/>
      </c>
      <c r="V151" s="14" t="str">
        <f aca="false">IFERROR(VLOOKUP(TRIM('📥 Respostas'!Y151),'⚙️ Config'!$A$4:$B$13,2,0),"")</f>
        <v/>
      </c>
      <c r="W151" s="14" t="str">
        <f aca="false">IFERROR(VLOOKUP(TRIM('📥 Respostas'!Z151),'⚙️ Config'!$A$4:$B$13,2,0),"")</f>
        <v/>
      </c>
      <c r="X151" s="14" t="str">
        <f aca="false">IFERROR(VLOOKUP(TRIM('📥 Respostas'!AA151),'⚙️ Config'!$A$4:$B$13,2,0),"")</f>
        <v/>
      </c>
      <c r="Y151" s="14" t="str">
        <f aca="false">IFERROR(VLOOKUP(TRIM('📥 Respostas'!AB151),'⚙️ Config'!$A$4:$B$13,2,0),"")</f>
        <v/>
      </c>
      <c r="Z151" s="14" t="str">
        <f aca="false">IFERROR(VLOOKUP(TRIM('📥 Respostas'!AC151),'⚙️ Config'!$A$4:$B$13,2,0),"")</f>
        <v/>
      </c>
      <c r="AA151" s="14" t="str">
        <f aca="false">IFERROR(VLOOKUP(TRIM('📥 Respostas'!AD151),'⚙️ Config'!$A$4:$B$13,2,0),"")</f>
        <v/>
      </c>
      <c r="AB151" s="14" t="str">
        <f aca="false">IFERROR(VLOOKUP(TRIM('📥 Respostas'!AE151),'⚙️ Config'!$A$4:$B$13,2,0),"")</f>
        <v/>
      </c>
      <c r="AC151" s="14" t="str">
        <f aca="false">IFERROR(VLOOKUP(TRIM('📥 Respostas'!AF151),'⚙️ Config'!$A$4:$B$13,2,0),"")</f>
        <v/>
      </c>
      <c r="AD151" s="14" t="str">
        <f aca="false">IFERROR(VLOOKUP(TRIM('📥 Respostas'!AG151),'⚙️ Config'!$A$4:$B$13,2,0),"")</f>
        <v/>
      </c>
      <c r="AE151" s="14" t="str">
        <f aca="false">IFERROR(VLOOKUP(TRIM('📥 Respostas'!AH151),'⚙️ Config'!$A$4:$B$13,2,0),"")</f>
        <v/>
      </c>
      <c r="AF151" s="14" t="str">
        <f aca="false">IFERROR(VLOOKUP(TRIM('📥 Respostas'!AI151),'⚙️ Config'!$C$4:$D$11,2,0),"")</f>
        <v/>
      </c>
      <c r="AG151" s="14" t="str">
        <f aca="false">IFERROR(VLOOKUP(TRIM('📥 Respostas'!AJ151),'⚙️ Config'!$A$4:$B$13,2,0),"")</f>
        <v/>
      </c>
      <c r="AH151" s="14" t="str">
        <f aca="false">IFERROR(VLOOKUP(TRIM('📥 Respostas'!AK151),'⚙️ Config'!$A$4:$B$13,2,0),"")</f>
        <v/>
      </c>
      <c r="AI151" s="14" t="str">
        <f aca="false">IFERROR(VLOOKUP(TRIM('📥 Respostas'!AL151),'⚙️ Config'!$A$4:$B$13,2,0),"")</f>
        <v/>
      </c>
      <c r="AJ151" s="14" t="str">
        <f aca="false">IFERROR(VLOOKUP(TRIM('📥 Respostas'!AM151),'⚙️ Config'!$A$4:$B$13,2,0),"")</f>
        <v/>
      </c>
      <c r="AK151" s="14" t="str">
        <f aca="false">IFERROR(VLOOKUP(TRIM('📥 Respostas'!AN151),'⚙️ Config'!$A$4:$B$13,2,0),"")</f>
        <v/>
      </c>
      <c r="AL151" s="14" t="str">
        <f aca="false">IFERROR(VLOOKUP(TRIM('📥 Respostas'!AO151),'⚙️ Config'!$A$4:$B$13,2,0),"")</f>
        <v/>
      </c>
      <c r="AM151" s="14" t="str">
        <f aca="false">IFERROR(VLOOKUP(TRIM('📥 Respostas'!AP151),'⚙️ Config'!$A$4:$B$13,2,0),"")</f>
        <v/>
      </c>
      <c r="AN151" s="14" t="str">
        <f aca="false">IFERROR(VLOOKUP(TRIM('📥 Respostas'!AQ151),'⚙️ Config'!$A$4:$B$13,2,0),"")</f>
        <v/>
      </c>
      <c r="AO151" s="14" t="str">
        <f aca="false">IFERROR(VLOOKUP(TRIM('📥 Respostas'!AR151),'⚙️ Config'!$A$4:$B$13,2,0),"")</f>
        <v/>
      </c>
      <c r="AP151" s="14" t="str">
        <f aca="false">IFERROR(VLOOKUP(TRIM('📥 Respostas'!AS151),'⚙️ Config'!$A$4:$B$13,2,0),"")</f>
        <v/>
      </c>
      <c r="AQ151" s="14" t="str">
        <f aca="false">IFERROR(VLOOKUP(TRIM('📥 Respostas'!AT151),'⚙️ Config'!$A$4:$B$13,2,0),"")</f>
        <v/>
      </c>
      <c r="AR151" s="14" t="str">
        <f aca="false">IFERROR(VLOOKUP(TRIM('📥 Respostas'!AU151),'⚙️ Config'!$A$4:$B$13,2,0),"")</f>
        <v/>
      </c>
    </row>
    <row r="152" customFormat="false" ht="15" hidden="false" customHeight="false" outlineLevel="0" collapsed="false">
      <c r="A152" s="12" t="str">
        <f aca="false">IF(ISBLANK('📥 Respostas'!D152),"",ROW()-3)</f>
        <v/>
      </c>
      <c r="B152" s="12" t="n">
        <f aca="false">'📥 Respostas'!D152</f>
        <v>0</v>
      </c>
      <c r="C152" s="13" t="n">
        <f aca="false">'📥 Respostas'!C152</f>
        <v>0</v>
      </c>
      <c r="D152" s="14" t="str">
        <f aca="false">IFERROR(VLOOKUP(TRIM('📥 Respostas'!G152),'⚙️ Config'!$A$4:$B$13,2,0),"")</f>
        <v/>
      </c>
      <c r="E152" s="14" t="str">
        <f aca="false">IFERROR(VLOOKUP(TRIM('📥 Respostas'!H152),'⚙️ Config'!$A$4:$B$13,2,0),"")</f>
        <v/>
      </c>
      <c r="F152" s="14" t="str">
        <f aca="false">IFERROR(VLOOKUP(TRIM('📥 Respostas'!I152),'⚙️ Config'!$A$4:$B$13,2,0),"")</f>
        <v/>
      </c>
      <c r="G152" s="14" t="str">
        <f aca="false">IFERROR(VLOOKUP(TRIM('📥 Respostas'!J152),'⚙️ Config'!$A$4:$B$13,2,0),"")</f>
        <v/>
      </c>
      <c r="H152" s="14" t="str">
        <f aca="false">IFERROR(VLOOKUP(TRIM('📥 Respostas'!K152),'⚙️ Config'!$A$4:$B$13,2,0),"")</f>
        <v/>
      </c>
      <c r="I152" s="14" t="str">
        <f aca="false">IFERROR(VLOOKUP(TRIM('📥 Respostas'!L152),'⚙️ Config'!$A$4:$B$13,2,0),"")</f>
        <v/>
      </c>
      <c r="J152" s="14" t="str">
        <f aca="false">IFERROR(VLOOKUP(TRIM('📥 Respostas'!M152),'⚙️ Config'!$A$4:$B$13,2,0),"")</f>
        <v/>
      </c>
      <c r="K152" s="14" t="str">
        <f aca="false">IFERROR(VLOOKUP(TRIM('📥 Respostas'!N152),'⚙️ Config'!$A$4:$B$13,2,0),"")</f>
        <v/>
      </c>
      <c r="L152" s="14" t="str">
        <f aca="false">IFERROR(VLOOKUP(TRIM('📥 Respostas'!O152),'⚙️ Config'!$A$4:$B$13,2,0),"")</f>
        <v/>
      </c>
      <c r="M152" s="14" t="str">
        <f aca="false">IFERROR(VLOOKUP(TRIM('📥 Respostas'!P152),'⚙️ Config'!$A$4:$B$13,2,0),"")</f>
        <v/>
      </c>
      <c r="N152" s="14" t="str">
        <f aca="false">IFERROR(VLOOKUP(TRIM('📥 Respostas'!Q152),'⚙️ Config'!$A$4:$B$13,2,0),"")</f>
        <v/>
      </c>
      <c r="O152" s="14" t="str">
        <f aca="false">IFERROR(VLOOKUP(TRIM('📥 Respostas'!R152),'⚙️ Config'!$A$4:$B$13,2,0),"")</f>
        <v/>
      </c>
      <c r="P152" s="14" t="str">
        <f aca="false">IFERROR(VLOOKUP(TRIM('📥 Respostas'!S152),'⚙️ Config'!$A$4:$B$13,2,0),"")</f>
        <v/>
      </c>
      <c r="Q152" s="14" t="str">
        <f aca="false">IFERROR(VLOOKUP(TRIM('📥 Respostas'!T152),'⚙️ Config'!$A$4:$B$13,2,0),"")</f>
        <v/>
      </c>
      <c r="R152" s="14" t="str">
        <f aca="false">IFERROR(VLOOKUP(TRIM('📥 Respostas'!U152),'⚙️ Config'!$A$4:$B$13,2,0),"")</f>
        <v/>
      </c>
      <c r="S152" s="14" t="str">
        <f aca="false">IFERROR(VLOOKUP(TRIM('📥 Respostas'!V152),'⚙️ Config'!$A$4:$B$13,2,0),"")</f>
        <v/>
      </c>
      <c r="T152" s="14" t="str">
        <f aca="false">IFERROR(VLOOKUP(TRIM('📥 Respostas'!W152),'⚙️ Config'!$A$4:$B$13,2,0),"")</f>
        <v/>
      </c>
      <c r="U152" s="14" t="str">
        <f aca="false">IFERROR(VLOOKUP(TRIM('📥 Respostas'!X152),'⚙️ Config'!$A$4:$B$13,2,0),"")</f>
        <v/>
      </c>
      <c r="V152" s="14" t="str">
        <f aca="false">IFERROR(VLOOKUP(TRIM('📥 Respostas'!Y152),'⚙️ Config'!$A$4:$B$13,2,0),"")</f>
        <v/>
      </c>
      <c r="W152" s="14" t="str">
        <f aca="false">IFERROR(VLOOKUP(TRIM('📥 Respostas'!Z152),'⚙️ Config'!$A$4:$B$13,2,0),"")</f>
        <v/>
      </c>
      <c r="X152" s="14" t="str">
        <f aca="false">IFERROR(VLOOKUP(TRIM('📥 Respostas'!AA152),'⚙️ Config'!$A$4:$B$13,2,0),"")</f>
        <v/>
      </c>
      <c r="Y152" s="14" t="str">
        <f aca="false">IFERROR(VLOOKUP(TRIM('📥 Respostas'!AB152),'⚙️ Config'!$A$4:$B$13,2,0),"")</f>
        <v/>
      </c>
      <c r="Z152" s="14" t="str">
        <f aca="false">IFERROR(VLOOKUP(TRIM('📥 Respostas'!AC152),'⚙️ Config'!$A$4:$B$13,2,0),"")</f>
        <v/>
      </c>
      <c r="AA152" s="14" t="str">
        <f aca="false">IFERROR(VLOOKUP(TRIM('📥 Respostas'!AD152),'⚙️ Config'!$A$4:$B$13,2,0),"")</f>
        <v/>
      </c>
      <c r="AB152" s="14" t="str">
        <f aca="false">IFERROR(VLOOKUP(TRIM('📥 Respostas'!AE152),'⚙️ Config'!$A$4:$B$13,2,0),"")</f>
        <v/>
      </c>
      <c r="AC152" s="14" t="str">
        <f aca="false">IFERROR(VLOOKUP(TRIM('📥 Respostas'!AF152),'⚙️ Config'!$A$4:$B$13,2,0),"")</f>
        <v/>
      </c>
      <c r="AD152" s="14" t="str">
        <f aca="false">IFERROR(VLOOKUP(TRIM('📥 Respostas'!AG152),'⚙️ Config'!$A$4:$B$13,2,0),"")</f>
        <v/>
      </c>
      <c r="AE152" s="14" t="str">
        <f aca="false">IFERROR(VLOOKUP(TRIM('📥 Respostas'!AH152),'⚙️ Config'!$A$4:$B$13,2,0),"")</f>
        <v/>
      </c>
      <c r="AF152" s="14" t="str">
        <f aca="false">IFERROR(VLOOKUP(TRIM('📥 Respostas'!AI152),'⚙️ Config'!$C$4:$D$11,2,0),"")</f>
        <v/>
      </c>
      <c r="AG152" s="14" t="str">
        <f aca="false">IFERROR(VLOOKUP(TRIM('📥 Respostas'!AJ152),'⚙️ Config'!$A$4:$B$13,2,0),"")</f>
        <v/>
      </c>
      <c r="AH152" s="14" t="str">
        <f aca="false">IFERROR(VLOOKUP(TRIM('📥 Respostas'!AK152),'⚙️ Config'!$A$4:$B$13,2,0),"")</f>
        <v/>
      </c>
      <c r="AI152" s="14" t="str">
        <f aca="false">IFERROR(VLOOKUP(TRIM('📥 Respostas'!AL152),'⚙️ Config'!$A$4:$B$13,2,0),"")</f>
        <v/>
      </c>
      <c r="AJ152" s="14" t="str">
        <f aca="false">IFERROR(VLOOKUP(TRIM('📥 Respostas'!AM152),'⚙️ Config'!$A$4:$B$13,2,0),"")</f>
        <v/>
      </c>
      <c r="AK152" s="14" t="str">
        <f aca="false">IFERROR(VLOOKUP(TRIM('📥 Respostas'!AN152),'⚙️ Config'!$A$4:$B$13,2,0),"")</f>
        <v/>
      </c>
      <c r="AL152" s="14" t="str">
        <f aca="false">IFERROR(VLOOKUP(TRIM('📥 Respostas'!AO152),'⚙️ Config'!$A$4:$B$13,2,0),"")</f>
        <v/>
      </c>
      <c r="AM152" s="14" t="str">
        <f aca="false">IFERROR(VLOOKUP(TRIM('📥 Respostas'!AP152),'⚙️ Config'!$A$4:$B$13,2,0),"")</f>
        <v/>
      </c>
      <c r="AN152" s="14" t="str">
        <f aca="false">IFERROR(VLOOKUP(TRIM('📥 Respostas'!AQ152),'⚙️ Config'!$A$4:$B$13,2,0),"")</f>
        <v/>
      </c>
      <c r="AO152" s="14" t="str">
        <f aca="false">IFERROR(VLOOKUP(TRIM('📥 Respostas'!AR152),'⚙️ Config'!$A$4:$B$13,2,0),"")</f>
        <v/>
      </c>
      <c r="AP152" s="14" t="str">
        <f aca="false">IFERROR(VLOOKUP(TRIM('📥 Respostas'!AS152),'⚙️ Config'!$A$4:$B$13,2,0),"")</f>
        <v/>
      </c>
      <c r="AQ152" s="14" t="str">
        <f aca="false">IFERROR(VLOOKUP(TRIM('📥 Respostas'!AT152),'⚙️ Config'!$A$4:$B$13,2,0),"")</f>
        <v/>
      </c>
      <c r="AR152" s="14" t="str">
        <f aca="false">IFERROR(VLOOKUP(TRIM('📥 Respostas'!AU152),'⚙️ Config'!$A$4:$B$13,2,0),"")</f>
        <v/>
      </c>
    </row>
    <row r="153" customFormat="false" ht="15" hidden="false" customHeight="false" outlineLevel="0" collapsed="false">
      <c r="A153" s="15" t="str">
        <f aca="false">IF(ISBLANK('📥 Respostas'!D153),"",ROW()-3)</f>
        <v/>
      </c>
      <c r="B153" s="15" t="n">
        <f aca="false">'📥 Respostas'!D153</f>
        <v>0</v>
      </c>
      <c r="C153" s="5" t="n">
        <f aca="false">'📥 Respostas'!C153</f>
        <v>0</v>
      </c>
      <c r="D153" s="14" t="str">
        <f aca="false">IFERROR(VLOOKUP(TRIM('📥 Respostas'!G153),'⚙️ Config'!$A$4:$B$13,2,0),"")</f>
        <v/>
      </c>
      <c r="E153" s="14" t="str">
        <f aca="false">IFERROR(VLOOKUP(TRIM('📥 Respostas'!H153),'⚙️ Config'!$A$4:$B$13,2,0),"")</f>
        <v/>
      </c>
      <c r="F153" s="14" t="str">
        <f aca="false">IFERROR(VLOOKUP(TRIM('📥 Respostas'!I153),'⚙️ Config'!$A$4:$B$13,2,0),"")</f>
        <v/>
      </c>
      <c r="G153" s="14" t="str">
        <f aca="false">IFERROR(VLOOKUP(TRIM('📥 Respostas'!J153),'⚙️ Config'!$A$4:$B$13,2,0),"")</f>
        <v/>
      </c>
      <c r="H153" s="14" t="str">
        <f aca="false">IFERROR(VLOOKUP(TRIM('📥 Respostas'!K153),'⚙️ Config'!$A$4:$B$13,2,0),"")</f>
        <v/>
      </c>
      <c r="I153" s="14" t="str">
        <f aca="false">IFERROR(VLOOKUP(TRIM('📥 Respostas'!L153),'⚙️ Config'!$A$4:$B$13,2,0),"")</f>
        <v/>
      </c>
      <c r="J153" s="14" t="str">
        <f aca="false">IFERROR(VLOOKUP(TRIM('📥 Respostas'!M153),'⚙️ Config'!$A$4:$B$13,2,0),"")</f>
        <v/>
      </c>
      <c r="K153" s="14" t="str">
        <f aca="false">IFERROR(VLOOKUP(TRIM('📥 Respostas'!N153),'⚙️ Config'!$A$4:$B$13,2,0),"")</f>
        <v/>
      </c>
      <c r="L153" s="14" t="str">
        <f aca="false">IFERROR(VLOOKUP(TRIM('📥 Respostas'!O153),'⚙️ Config'!$A$4:$B$13,2,0),"")</f>
        <v/>
      </c>
      <c r="M153" s="14" t="str">
        <f aca="false">IFERROR(VLOOKUP(TRIM('📥 Respostas'!P153),'⚙️ Config'!$A$4:$B$13,2,0),"")</f>
        <v/>
      </c>
      <c r="N153" s="14" t="str">
        <f aca="false">IFERROR(VLOOKUP(TRIM('📥 Respostas'!Q153),'⚙️ Config'!$A$4:$B$13,2,0),"")</f>
        <v/>
      </c>
      <c r="O153" s="14" t="str">
        <f aca="false">IFERROR(VLOOKUP(TRIM('📥 Respostas'!R153),'⚙️ Config'!$A$4:$B$13,2,0),"")</f>
        <v/>
      </c>
      <c r="P153" s="14" t="str">
        <f aca="false">IFERROR(VLOOKUP(TRIM('📥 Respostas'!S153),'⚙️ Config'!$A$4:$B$13,2,0),"")</f>
        <v/>
      </c>
      <c r="Q153" s="14" t="str">
        <f aca="false">IFERROR(VLOOKUP(TRIM('📥 Respostas'!T153),'⚙️ Config'!$A$4:$B$13,2,0),"")</f>
        <v/>
      </c>
      <c r="R153" s="14" t="str">
        <f aca="false">IFERROR(VLOOKUP(TRIM('📥 Respostas'!U153),'⚙️ Config'!$A$4:$B$13,2,0),"")</f>
        <v/>
      </c>
      <c r="S153" s="14" t="str">
        <f aca="false">IFERROR(VLOOKUP(TRIM('📥 Respostas'!V153),'⚙️ Config'!$A$4:$B$13,2,0),"")</f>
        <v/>
      </c>
      <c r="T153" s="14" t="str">
        <f aca="false">IFERROR(VLOOKUP(TRIM('📥 Respostas'!W153),'⚙️ Config'!$A$4:$B$13,2,0),"")</f>
        <v/>
      </c>
      <c r="U153" s="14" t="str">
        <f aca="false">IFERROR(VLOOKUP(TRIM('📥 Respostas'!X153),'⚙️ Config'!$A$4:$B$13,2,0),"")</f>
        <v/>
      </c>
      <c r="V153" s="14" t="str">
        <f aca="false">IFERROR(VLOOKUP(TRIM('📥 Respostas'!Y153),'⚙️ Config'!$A$4:$B$13,2,0),"")</f>
        <v/>
      </c>
      <c r="W153" s="14" t="str">
        <f aca="false">IFERROR(VLOOKUP(TRIM('📥 Respostas'!Z153),'⚙️ Config'!$A$4:$B$13,2,0),"")</f>
        <v/>
      </c>
      <c r="X153" s="14" t="str">
        <f aca="false">IFERROR(VLOOKUP(TRIM('📥 Respostas'!AA153),'⚙️ Config'!$A$4:$B$13,2,0),"")</f>
        <v/>
      </c>
      <c r="Y153" s="14" t="str">
        <f aca="false">IFERROR(VLOOKUP(TRIM('📥 Respostas'!AB153),'⚙️ Config'!$A$4:$B$13,2,0),"")</f>
        <v/>
      </c>
      <c r="Z153" s="14" t="str">
        <f aca="false">IFERROR(VLOOKUP(TRIM('📥 Respostas'!AC153),'⚙️ Config'!$A$4:$B$13,2,0),"")</f>
        <v/>
      </c>
      <c r="AA153" s="14" t="str">
        <f aca="false">IFERROR(VLOOKUP(TRIM('📥 Respostas'!AD153),'⚙️ Config'!$A$4:$B$13,2,0),"")</f>
        <v/>
      </c>
      <c r="AB153" s="14" t="str">
        <f aca="false">IFERROR(VLOOKUP(TRIM('📥 Respostas'!AE153),'⚙️ Config'!$A$4:$B$13,2,0),"")</f>
        <v/>
      </c>
      <c r="AC153" s="14" t="str">
        <f aca="false">IFERROR(VLOOKUP(TRIM('📥 Respostas'!AF153),'⚙️ Config'!$A$4:$B$13,2,0),"")</f>
        <v/>
      </c>
      <c r="AD153" s="14" t="str">
        <f aca="false">IFERROR(VLOOKUP(TRIM('📥 Respostas'!AG153),'⚙️ Config'!$A$4:$B$13,2,0),"")</f>
        <v/>
      </c>
      <c r="AE153" s="14" t="str">
        <f aca="false">IFERROR(VLOOKUP(TRIM('📥 Respostas'!AH153),'⚙️ Config'!$A$4:$B$13,2,0),"")</f>
        <v/>
      </c>
      <c r="AF153" s="14" t="str">
        <f aca="false">IFERROR(VLOOKUP(TRIM('📥 Respostas'!AI153),'⚙️ Config'!$C$4:$D$11,2,0),"")</f>
        <v/>
      </c>
      <c r="AG153" s="14" t="str">
        <f aca="false">IFERROR(VLOOKUP(TRIM('📥 Respostas'!AJ153),'⚙️ Config'!$A$4:$B$13,2,0),"")</f>
        <v/>
      </c>
      <c r="AH153" s="14" t="str">
        <f aca="false">IFERROR(VLOOKUP(TRIM('📥 Respostas'!AK153),'⚙️ Config'!$A$4:$B$13,2,0),"")</f>
        <v/>
      </c>
      <c r="AI153" s="14" t="str">
        <f aca="false">IFERROR(VLOOKUP(TRIM('📥 Respostas'!AL153),'⚙️ Config'!$A$4:$B$13,2,0),"")</f>
        <v/>
      </c>
      <c r="AJ153" s="14" t="str">
        <f aca="false">IFERROR(VLOOKUP(TRIM('📥 Respostas'!AM153),'⚙️ Config'!$A$4:$B$13,2,0),"")</f>
        <v/>
      </c>
      <c r="AK153" s="14" t="str">
        <f aca="false">IFERROR(VLOOKUP(TRIM('📥 Respostas'!AN153),'⚙️ Config'!$A$4:$B$13,2,0),"")</f>
        <v/>
      </c>
      <c r="AL153" s="14" t="str">
        <f aca="false">IFERROR(VLOOKUP(TRIM('📥 Respostas'!AO153),'⚙️ Config'!$A$4:$B$13,2,0),"")</f>
        <v/>
      </c>
      <c r="AM153" s="14" t="str">
        <f aca="false">IFERROR(VLOOKUP(TRIM('📥 Respostas'!AP153),'⚙️ Config'!$A$4:$B$13,2,0),"")</f>
        <v/>
      </c>
      <c r="AN153" s="14" t="str">
        <f aca="false">IFERROR(VLOOKUP(TRIM('📥 Respostas'!AQ153),'⚙️ Config'!$A$4:$B$13,2,0),"")</f>
        <v/>
      </c>
      <c r="AO153" s="14" t="str">
        <f aca="false">IFERROR(VLOOKUP(TRIM('📥 Respostas'!AR153),'⚙️ Config'!$A$4:$B$13,2,0),"")</f>
        <v/>
      </c>
      <c r="AP153" s="14" t="str">
        <f aca="false">IFERROR(VLOOKUP(TRIM('📥 Respostas'!AS153),'⚙️ Config'!$A$4:$B$13,2,0),"")</f>
        <v/>
      </c>
      <c r="AQ153" s="14" t="str">
        <f aca="false">IFERROR(VLOOKUP(TRIM('📥 Respostas'!AT153),'⚙️ Config'!$A$4:$B$13,2,0),"")</f>
        <v/>
      </c>
      <c r="AR153" s="14" t="str">
        <f aca="false">IFERROR(VLOOKUP(TRIM('📥 Respostas'!AU153),'⚙️ Config'!$A$4:$B$13,2,0),"")</f>
        <v/>
      </c>
    </row>
    <row r="154" customFormat="false" ht="15" hidden="false" customHeight="false" outlineLevel="0" collapsed="false">
      <c r="A154" s="12" t="str">
        <f aca="false">IF(ISBLANK('📥 Respostas'!D154),"",ROW()-3)</f>
        <v/>
      </c>
      <c r="B154" s="12" t="n">
        <f aca="false">'📥 Respostas'!D154</f>
        <v>0</v>
      </c>
      <c r="C154" s="13" t="n">
        <f aca="false">'📥 Respostas'!C154</f>
        <v>0</v>
      </c>
      <c r="D154" s="14" t="str">
        <f aca="false">IFERROR(VLOOKUP(TRIM('📥 Respostas'!G154),'⚙️ Config'!$A$4:$B$13,2,0),"")</f>
        <v/>
      </c>
      <c r="E154" s="14" t="str">
        <f aca="false">IFERROR(VLOOKUP(TRIM('📥 Respostas'!H154),'⚙️ Config'!$A$4:$B$13,2,0),"")</f>
        <v/>
      </c>
      <c r="F154" s="14" t="str">
        <f aca="false">IFERROR(VLOOKUP(TRIM('📥 Respostas'!I154),'⚙️ Config'!$A$4:$B$13,2,0),"")</f>
        <v/>
      </c>
      <c r="G154" s="14" t="str">
        <f aca="false">IFERROR(VLOOKUP(TRIM('📥 Respostas'!J154),'⚙️ Config'!$A$4:$B$13,2,0),"")</f>
        <v/>
      </c>
      <c r="H154" s="14" t="str">
        <f aca="false">IFERROR(VLOOKUP(TRIM('📥 Respostas'!K154),'⚙️ Config'!$A$4:$B$13,2,0),"")</f>
        <v/>
      </c>
      <c r="I154" s="14" t="str">
        <f aca="false">IFERROR(VLOOKUP(TRIM('📥 Respostas'!L154),'⚙️ Config'!$A$4:$B$13,2,0),"")</f>
        <v/>
      </c>
      <c r="J154" s="14" t="str">
        <f aca="false">IFERROR(VLOOKUP(TRIM('📥 Respostas'!M154),'⚙️ Config'!$A$4:$B$13,2,0),"")</f>
        <v/>
      </c>
      <c r="K154" s="14" t="str">
        <f aca="false">IFERROR(VLOOKUP(TRIM('📥 Respostas'!N154),'⚙️ Config'!$A$4:$B$13,2,0),"")</f>
        <v/>
      </c>
      <c r="L154" s="14" t="str">
        <f aca="false">IFERROR(VLOOKUP(TRIM('📥 Respostas'!O154),'⚙️ Config'!$A$4:$B$13,2,0),"")</f>
        <v/>
      </c>
      <c r="M154" s="14" t="str">
        <f aca="false">IFERROR(VLOOKUP(TRIM('📥 Respostas'!P154),'⚙️ Config'!$A$4:$B$13,2,0),"")</f>
        <v/>
      </c>
      <c r="N154" s="14" t="str">
        <f aca="false">IFERROR(VLOOKUP(TRIM('📥 Respostas'!Q154),'⚙️ Config'!$A$4:$B$13,2,0),"")</f>
        <v/>
      </c>
      <c r="O154" s="14" t="str">
        <f aca="false">IFERROR(VLOOKUP(TRIM('📥 Respostas'!R154),'⚙️ Config'!$A$4:$B$13,2,0),"")</f>
        <v/>
      </c>
      <c r="P154" s="14" t="str">
        <f aca="false">IFERROR(VLOOKUP(TRIM('📥 Respostas'!S154),'⚙️ Config'!$A$4:$B$13,2,0),"")</f>
        <v/>
      </c>
      <c r="Q154" s="14" t="str">
        <f aca="false">IFERROR(VLOOKUP(TRIM('📥 Respostas'!T154),'⚙️ Config'!$A$4:$B$13,2,0),"")</f>
        <v/>
      </c>
      <c r="R154" s="14" t="str">
        <f aca="false">IFERROR(VLOOKUP(TRIM('📥 Respostas'!U154),'⚙️ Config'!$A$4:$B$13,2,0),"")</f>
        <v/>
      </c>
      <c r="S154" s="14" t="str">
        <f aca="false">IFERROR(VLOOKUP(TRIM('📥 Respostas'!V154),'⚙️ Config'!$A$4:$B$13,2,0),"")</f>
        <v/>
      </c>
      <c r="T154" s="14" t="str">
        <f aca="false">IFERROR(VLOOKUP(TRIM('📥 Respostas'!W154),'⚙️ Config'!$A$4:$B$13,2,0),"")</f>
        <v/>
      </c>
      <c r="U154" s="14" t="str">
        <f aca="false">IFERROR(VLOOKUP(TRIM('📥 Respostas'!X154),'⚙️ Config'!$A$4:$B$13,2,0),"")</f>
        <v/>
      </c>
      <c r="V154" s="14" t="str">
        <f aca="false">IFERROR(VLOOKUP(TRIM('📥 Respostas'!Y154),'⚙️ Config'!$A$4:$B$13,2,0),"")</f>
        <v/>
      </c>
      <c r="W154" s="14" t="str">
        <f aca="false">IFERROR(VLOOKUP(TRIM('📥 Respostas'!Z154),'⚙️ Config'!$A$4:$B$13,2,0),"")</f>
        <v/>
      </c>
      <c r="X154" s="14" t="str">
        <f aca="false">IFERROR(VLOOKUP(TRIM('📥 Respostas'!AA154),'⚙️ Config'!$A$4:$B$13,2,0),"")</f>
        <v/>
      </c>
      <c r="Y154" s="14" t="str">
        <f aca="false">IFERROR(VLOOKUP(TRIM('📥 Respostas'!AB154),'⚙️ Config'!$A$4:$B$13,2,0),"")</f>
        <v/>
      </c>
      <c r="Z154" s="14" t="str">
        <f aca="false">IFERROR(VLOOKUP(TRIM('📥 Respostas'!AC154),'⚙️ Config'!$A$4:$B$13,2,0),"")</f>
        <v/>
      </c>
      <c r="AA154" s="14" t="str">
        <f aca="false">IFERROR(VLOOKUP(TRIM('📥 Respostas'!AD154),'⚙️ Config'!$A$4:$B$13,2,0),"")</f>
        <v/>
      </c>
      <c r="AB154" s="14" t="str">
        <f aca="false">IFERROR(VLOOKUP(TRIM('📥 Respostas'!AE154),'⚙️ Config'!$A$4:$B$13,2,0),"")</f>
        <v/>
      </c>
      <c r="AC154" s="14" t="str">
        <f aca="false">IFERROR(VLOOKUP(TRIM('📥 Respostas'!AF154),'⚙️ Config'!$A$4:$B$13,2,0),"")</f>
        <v/>
      </c>
      <c r="AD154" s="14" t="str">
        <f aca="false">IFERROR(VLOOKUP(TRIM('📥 Respostas'!AG154),'⚙️ Config'!$A$4:$B$13,2,0),"")</f>
        <v/>
      </c>
      <c r="AE154" s="14" t="str">
        <f aca="false">IFERROR(VLOOKUP(TRIM('📥 Respostas'!AH154),'⚙️ Config'!$A$4:$B$13,2,0),"")</f>
        <v/>
      </c>
      <c r="AF154" s="14" t="str">
        <f aca="false">IFERROR(VLOOKUP(TRIM('📥 Respostas'!AI154),'⚙️ Config'!$C$4:$D$11,2,0),"")</f>
        <v/>
      </c>
      <c r="AG154" s="14" t="str">
        <f aca="false">IFERROR(VLOOKUP(TRIM('📥 Respostas'!AJ154),'⚙️ Config'!$A$4:$B$13,2,0),"")</f>
        <v/>
      </c>
      <c r="AH154" s="14" t="str">
        <f aca="false">IFERROR(VLOOKUP(TRIM('📥 Respostas'!AK154),'⚙️ Config'!$A$4:$B$13,2,0),"")</f>
        <v/>
      </c>
      <c r="AI154" s="14" t="str">
        <f aca="false">IFERROR(VLOOKUP(TRIM('📥 Respostas'!AL154),'⚙️ Config'!$A$4:$B$13,2,0),"")</f>
        <v/>
      </c>
      <c r="AJ154" s="14" t="str">
        <f aca="false">IFERROR(VLOOKUP(TRIM('📥 Respostas'!AM154),'⚙️ Config'!$A$4:$B$13,2,0),"")</f>
        <v/>
      </c>
      <c r="AK154" s="14" t="str">
        <f aca="false">IFERROR(VLOOKUP(TRIM('📥 Respostas'!AN154),'⚙️ Config'!$A$4:$B$13,2,0),"")</f>
        <v/>
      </c>
      <c r="AL154" s="14" t="str">
        <f aca="false">IFERROR(VLOOKUP(TRIM('📥 Respostas'!AO154),'⚙️ Config'!$A$4:$B$13,2,0),"")</f>
        <v/>
      </c>
      <c r="AM154" s="14" t="str">
        <f aca="false">IFERROR(VLOOKUP(TRIM('📥 Respostas'!AP154),'⚙️ Config'!$A$4:$B$13,2,0),"")</f>
        <v/>
      </c>
      <c r="AN154" s="14" t="str">
        <f aca="false">IFERROR(VLOOKUP(TRIM('📥 Respostas'!AQ154),'⚙️ Config'!$A$4:$B$13,2,0),"")</f>
        <v/>
      </c>
      <c r="AO154" s="14" t="str">
        <f aca="false">IFERROR(VLOOKUP(TRIM('📥 Respostas'!AR154),'⚙️ Config'!$A$4:$B$13,2,0),"")</f>
        <v/>
      </c>
      <c r="AP154" s="14" t="str">
        <f aca="false">IFERROR(VLOOKUP(TRIM('📥 Respostas'!AS154),'⚙️ Config'!$A$4:$B$13,2,0),"")</f>
        <v/>
      </c>
      <c r="AQ154" s="14" t="str">
        <f aca="false">IFERROR(VLOOKUP(TRIM('📥 Respostas'!AT154),'⚙️ Config'!$A$4:$B$13,2,0),"")</f>
        <v/>
      </c>
      <c r="AR154" s="14" t="str">
        <f aca="false">IFERROR(VLOOKUP(TRIM('📥 Respostas'!AU154),'⚙️ Config'!$A$4:$B$13,2,0),"")</f>
        <v/>
      </c>
    </row>
    <row r="155" customFormat="false" ht="15" hidden="false" customHeight="false" outlineLevel="0" collapsed="false">
      <c r="A155" s="15" t="str">
        <f aca="false">IF(ISBLANK('📥 Respostas'!D155),"",ROW()-3)</f>
        <v/>
      </c>
      <c r="B155" s="15" t="n">
        <f aca="false">'📥 Respostas'!D155</f>
        <v>0</v>
      </c>
      <c r="C155" s="5" t="n">
        <f aca="false">'📥 Respostas'!C155</f>
        <v>0</v>
      </c>
      <c r="D155" s="14" t="str">
        <f aca="false">IFERROR(VLOOKUP(TRIM('📥 Respostas'!G155),'⚙️ Config'!$A$4:$B$13,2,0),"")</f>
        <v/>
      </c>
      <c r="E155" s="14" t="str">
        <f aca="false">IFERROR(VLOOKUP(TRIM('📥 Respostas'!H155),'⚙️ Config'!$A$4:$B$13,2,0),"")</f>
        <v/>
      </c>
      <c r="F155" s="14" t="str">
        <f aca="false">IFERROR(VLOOKUP(TRIM('📥 Respostas'!I155),'⚙️ Config'!$A$4:$B$13,2,0),"")</f>
        <v/>
      </c>
      <c r="G155" s="14" t="str">
        <f aca="false">IFERROR(VLOOKUP(TRIM('📥 Respostas'!J155),'⚙️ Config'!$A$4:$B$13,2,0),"")</f>
        <v/>
      </c>
      <c r="H155" s="14" t="str">
        <f aca="false">IFERROR(VLOOKUP(TRIM('📥 Respostas'!K155),'⚙️ Config'!$A$4:$B$13,2,0),"")</f>
        <v/>
      </c>
      <c r="I155" s="14" t="str">
        <f aca="false">IFERROR(VLOOKUP(TRIM('📥 Respostas'!L155),'⚙️ Config'!$A$4:$B$13,2,0),"")</f>
        <v/>
      </c>
      <c r="J155" s="14" t="str">
        <f aca="false">IFERROR(VLOOKUP(TRIM('📥 Respostas'!M155),'⚙️ Config'!$A$4:$B$13,2,0),"")</f>
        <v/>
      </c>
      <c r="K155" s="14" t="str">
        <f aca="false">IFERROR(VLOOKUP(TRIM('📥 Respostas'!N155),'⚙️ Config'!$A$4:$B$13,2,0),"")</f>
        <v/>
      </c>
      <c r="L155" s="14" t="str">
        <f aca="false">IFERROR(VLOOKUP(TRIM('📥 Respostas'!O155),'⚙️ Config'!$A$4:$B$13,2,0),"")</f>
        <v/>
      </c>
      <c r="M155" s="14" t="str">
        <f aca="false">IFERROR(VLOOKUP(TRIM('📥 Respostas'!P155),'⚙️ Config'!$A$4:$B$13,2,0),"")</f>
        <v/>
      </c>
      <c r="N155" s="14" t="str">
        <f aca="false">IFERROR(VLOOKUP(TRIM('📥 Respostas'!Q155),'⚙️ Config'!$A$4:$B$13,2,0),"")</f>
        <v/>
      </c>
      <c r="O155" s="14" t="str">
        <f aca="false">IFERROR(VLOOKUP(TRIM('📥 Respostas'!R155),'⚙️ Config'!$A$4:$B$13,2,0),"")</f>
        <v/>
      </c>
      <c r="P155" s="14" t="str">
        <f aca="false">IFERROR(VLOOKUP(TRIM('📥 Respostas'!S155),'⚙️ Config'!$A$4:$B$13,2,0),"")</f>
        <v/>
      </c>
      <c r="Q155" s="14" t="str">
        <f aca="false">IFERROR(VLOOKUP(TRIM('📥 Respostas'!T155),'⚙️ Config'!$A$4:$B$13,2,0),"")</f>
        <v/>
      </c>
      <c r="R155" s="14" t="str">
        <f aca="false">IFERROR(VLOOKUP(TRIM('📥 Respostas'!U155),'⚙️ Config'!$A$4:$B$13,2,0),"")</f>
        <v/>
      </c>
      <c r="S155" s="14" t="str">
        <f aca="false">IFERROR(VLOOKUP(TRIM('📥 Respostas'!V155),'⚙️ Config'!$A$4:$B$13,2,0),"")</f>
        <v/>
      </c>
      <c r="T155" s="14" t="str">
        <f aca="false">IFERROR(VLOOKUP(TRIM('📥 Respostas'!W155),'⚙️ Config'!$A$4:$B$13,2,0),"")</f>
        <v/>
      </c>
      <c r="U155" s="14" t="str">
        <f aca="false">IFERROR(VLOOKUP(TRIM('📥 Respostas'!X155),'⚙️ Config'!$A$4:$B$13,2,0),"")</f>
        <v/>
      </c>
      <c r="V155" s="14" t="str">
        <f aca="false">IFERROR(VLOOKUP(TRIM('📥 Respostas'!Y155),'⚙️ Config'!$A$4:$B$13,2,0),"")</f>
        <v/>
      </c>
      <c r="W155" s="14" t="str">
        <f aca="false">IFERROR(VLOOKUP(TRIM('📥 Respostas'!Z155),'⚙️ Config'!$A$4:$B$13,2,0),"")</f>
        <v/>
      </c>
      <c r="X155" s="14" t="str">
        <f aca="false">IFERROR(VLOOKUP(TRIM('📥 Respostas'!AA155),'⚙️ Config'!$A$4:$B$13,2,0),"")</f>
        <v/>
      </c>
      <c r="Y155" s="14" t="str">
        <f aca="false">IFERROR(VLOOKUP(TRIM('📥 Respostas'!AB155),'⚙️ Config'!$A$4:$B$13,2,0),"")</f>
        <v/>
      </c>
      <c r="Z155" s="14" t="str">
        <f aca="false">IFERROR(VLOOKUP(TRIM('📥 Respostas'!AC155),'⚙️ Config'!$A$4:$B$13,2,0),"")</f>
        <v/>
      </c>
      <c r="AA155" s="14" t="str">
        <f aca="false">IFERROR(VLOOKUP(TRIM('📥 Respostas'!AD155),'⚙️ Config'!$A$4:$B$13,2,0),"")</f>
        <v/>
      </c>
      <c r="AB155" s="14" t="str">
        <f aca="false">IFERROR(VLOOKUP(TRIM('📥 Respostas'!AE155),'⚙️ Config'!$A$4:$B$13,2,0),"")</f>
        <v/>
      </c>
      <c r="AC155" s="14" t="str">
        <f aca="false">IFERROR(VLOOKUP(TRIM('📥 Respostas'!AF155),'⚙️ Config'!$A$4:$B$13,2,0),"")</f>
        <v/>
      </c>
      <c r="AD155" s="14" t="str">
        <f aca="false">IFERROR(VLOOKUP(TRIM('📥 Respostas'!AG155),'⚙️ Config'!$A$4:$B$13,2,0),"")</f>
        <v/>
      </c>
      <c r="AE155" s="14" t="str">
        <f aca="false">IFERROR(VLOOKUP(TRIM('📥 Respostas'!AH155),'⚙️ Config'!$A$4:$B$13,2,0),"")</f>
        <v/>
      </c>
      <c r="AF155" s="14" t="str">
        <f aca="false">IFERROR(VLOOKUP(TRIM('📥 Respostas'!AI155),'⚙️ Config'!$C$4:$D$11,2,0),"")</f>
        <v/>
      </c>
      <c r="AG155" s="14" t="str">
        <f aca="false">IFERROR(VLOOKUP(TRIM('📥 Respostas'!AJ155),'⚙️ Config'!$A$4:$B$13,2,0),"")</f>
        <v/>
      </c>
      <c r="AH155" s="14" t="str">
        <f aca="false">IFERROR(VLOOKUP(TRIM('📥 Respostas'!AK155),'⚙️ Config'!$A$4:$B$13,2,0),"")</f>
        <v/>
      </c>
      <c r="AI155" s="14" t="str">
        <f aca="false">IFERROR(VLOOKUP(TRIM('📥 Respostas'!AL155),'⚙️ Config'!$A$4:$B$13,2,0),"")</f>
        <v/>
      </c>
      <c r="AJ155" s="14" t="str">
        <f aca="false">IFERROR(VLOOKUP(TRIM('📥 Respostas'!AM155),'⚙️ Config'!$A$4:$B$13,2,0),"")</f>
        <v/>
      </c>
      <c r="AK155" s="14" t="str">
        <f aca="false">IFERROR(VLOOKUP(TRIM('📥 Respostas'!AN155),'⚙️ Config'!$A$4:$B$13,2,0),"")</f>
        <v/>
      </c>
      <c r="AL155" s="14" t="str">
        <f aca="false">IFERROR(VLOOKUP(TRIM('📥 Respostas'!AO155),'⚙️ Config'!$A$4:$B$13,2,0),"")</f>
        <v/>
      </c>
      <c r="AM155" s="14" t="str">
        <f aca="false">IFERROR(VLOOKUP(TRIM('📥 Respostas'!AP155),'⚙️ Config'!$A$4:$B$13,2,0),"")</f>
        <v/>
      </c>
      <c r="AN155" s="14" t="str">
        <f aca="false">IFERROR(VLOOKUP(TRIM('📥 Respostas'!AQ155),'⚙️ Config'!$A$4:$B$13,2,0),"")</f>
        <v/>
      </c>
      <c r="AO155" s="14" t="str">
        <f aca="false">IFERROR(VLOOKUP(TRIM('📥 Respostas'!AR155),'⚙️ Config'!$A$4:$B$13,2,0),"")</f>
        <v/>
      </c>
      <c r="AP155" s="14" t="str">
        <f aca="false">IFERROR(VLOOKUP(TRIM('📥 Respostas'!AS155),'⚙️ Config'!$A$4:$B$13,2,0),"")</f>
        <v/>
      </c>
      <c r="AQ155" s="14" t="str">
        <f aca="false">IFERROR(VLOOKUP(TRIM('📥 Respostas'!AT155),'⚙️ Config'!$A$4:$B$13,2,0),"")</f>
        <v/>
      </c>
      <c r="AR155" s="14" t="str">
        <f aca="false">IFERROR(VLOOKUP(TRIM('📥 Respostas'!AU155),'⚙️ Config'!$A$4:$B$13,2,0),"")</f>
        <v/>
      </c>
    </row>
    <row r="156" customFormat="false" ht="15" hidden="false" customHeight="false" outlineLevel="0" collapsed="false">
      <c r="A156" s="12" t="str">
        <f aca="false">IF(ISBLANK('📥 Respostas'!D156),"",ROW()-3)</f>
        <v/>
      </c>
      <c r="B156" s="12" t="n">
        <f aca="false">'📥 Respostas'!D156</f>
        <v>0</v>
      </c>
      <c r="C156" s="13" t="n">
        <f aca="false">'📥 Respostas'!C156</f>
        <v>0</v>
      </c>
      <c r="D156" s="14" t="str">
        <f aca="false">IFERROR(VLOOKUP(TRIM('📥 Respostas'!G156),'⚙️ Config'!$A$4:$B$13,2,0),"")</f>
        <v/>
      </c>
      <c r="E156" s="14" t="str">
        <f aca="false">IFERROR(VLOOKUP(TRIM('📥 Respostas'!H156),'⚙️ Config'!$A$4:$B$13,2,0),"")</f>
        <v/>
      </c>
      <c r="F156" s="14" t="str">
        <f aca="false">IFERROR(VLOOKUP(TRIM('📥 Respostas'!I156),'⚙️ Config'!$A$4:$B$13,2,0),"")</f>
        <v/>
      </c>
      <c r="G156" s="14" t="str">
        <f aca="false">IFERROR(VLOOKUP(TRIM('📥 Respostas'!J156),'⚙️ Config'!$A$4:$B$13,2,0),"")</f>
        <v/>
      </c>
      <c r="H156" s="14" t="str">
        <f aca="false">IFERROR(VLOOKUP(TRIM('📥 Respostas'!K156),'⚙️ Config'!$A$4:$B$13,2,0),"")</f>
        <v/>
      </c>
      <c r="I156" s="14" t="str">
        <f aca="false">IFERROR(VLOOKUP(TRIM('📥 Respostas'!L156),'⚙️ Config'!$A$4:$B$13,2,0),"")</f>
        <v/>
      </c>
      <c r="J156" s="14" t="str">
        <f aca="false">IFERROR(VLOOKUP(TRIM('📥 Respostas'!M156),'⚙️ Config'!$A$4:$B$13,2,0),"")</f>
        <v/>
      </c>
      <c r="K156" s="14" t="str">
        <f aca="false">IFERROR(VLOOKUP(TRIM('📥 Respostas'!N156),'⚙️ Config'!$A$4:$B$13,2,0),"")</f>
        <v/>
      </c>
      <c r="L156" s="14" t="str">
        <f aca="false">IFERROR(VLOOKUP(TRIM('📥 Respostas'!O156),'⚙️ Config'!$A$4:$B$13,2,0),"")</f>
        <v/>
      </c>
      <c r="M156" s="14" t="str">
        <f aca="false">IFERROR(VLOOKUP(TRIM('📥 Respostas'!P156),'⚙️ Config'!$A$4:$B$13,2,0),"")</f>
        <v/>
      </c>
      <c r="N156" s="14" t="str">
        <f aca="false">IFERROR(VLOOKUP(TRIM('📥 Respostas'!Q156),'⚙️ Config'!$A$4:$B$13,2,0),"")</f>
        <v/>
      </c>
      <c r="O156" s="14" t="str">
        <f aca="false">IFERROR(VLOOKUP(TRIM('📥 Respostas'!R156),'⚙️ Config'!$A$4:$B$13,2,0),"")</f>
        <v/>
      </c>
      <c r="P156" s="14" t="str">
        <f aca="false">IFERROR(VLOOKUP(TRIM('📥 Respostas'!S156),'⚙️ Config'!$A$4:$B$13,2,0),"")</f>
        <v/>
      </c>
      <c r="Q156" s="14" t="str">
        <f aca="false">IFERROR(VLOOKUP(TRIM('📥 Respostas'!T156),'⚙️ Config'!$A$4:$B$13,2,0),"")</f>
        <v/>
      </c>
      <c r="R156" s="14" t="str">
        <f aca="false">IFERROR(VLOOKUP(TRIM('📥 Respostas'!U156),'⚙️ Config'!$A$4:$B$13,2,0),"")</f>
        <v/>
      </c>
      <c r="S156" s="14" t="str">
        <f aca="false">IFERROR(VLOOKUP(TRIM('📥 Respostas'!V156),'⚙️ Config'!$A$4:$B$13,2,0),"")</f>
        <v/>
      </c>
      <c r="T156" s="14" t="str">
        <f aca="false">IFERROR(VLOOKUP(TRIM('📥 Respostas'!W156),'⚙️ Config'!$A$4:$B$13,2,0),"")</f>
        <v/>
      </c>
      <c r="U156" s="14" t="str">
        <f aca="false">IFERROR(VLOOKUP(TRIM('📥 Respostas'!X156),'⚙️ Config'!$A$4:$B$13,2,0),"")</f>
        <v/>
      </c>
      <c r="V156" s="14" t="str">
        <f aca="false">IFERROR(VLOOKUP(TRIM('📥 Respostas'!Y156),'⚙️ Config'!$A$4:$B$13,2,0),"")</f>
        <v/>
      </c>
      <c r="W156" s="14" t="str">
        <f aca="false">IFERROR(VLOOKUP(TRIM('📥 Respostas'!Z156),'⚙️ Config'!$A$4:$B$13,2,0),"")</f>
        <v/>
      </c>
      <c r="X156" s="14" t="str">
        <f aca="false">IFERROR(VLOOKUP(TRIM('📥 Respostas'!AA156),'⚙️ Config'!$A$4:$B$13,2,0),"")</f>
        <v/>
      </c>
      <c r="Y156" s="14" t="str">
        <f aca="false">IFERROR(VLOOKUP(TRIM('📥 Respostas'!AB156),'⚙️ Config'!$A$4:$B$13,2,0),"")</f>
        <v/>
      </c>
      <c r="Z156" s="14" t="str">
        <f aca="false">IFERROR(VLOOKUP(TRIM('📥 Respostas'!AC156),'⚙️ Config'!$A$4:$B$13,2,0),"")</f>
        <v/>
      </c>
      <c r="AA156" s="14" t="str">
        <f aca="false">IFERROR(VLOOKUP(TRIM('📥 Respostas'!AD156),'⚙️ Config'!$A$4:$B$13,2,0),"")</f>
        <v/>
      </c>
      <c r="AB156" s="14" t="str">
        <f aca="false">IFERROR(VLOOKUP(TRIM('📥 Respostas'!AE156),'⚙️ Config'!$A$4:$B$13,2,0),"")</f>
        <v/>
      </c>
      <c r="AC156" s="14" t="str">
        <f aca="false">IFERROR(VLOOKUP(TRIM('📥 Respostas'!AF156),'⚙️ Config'!$A$4:$B$13,2,0),"")</f>
        <v/>
      </c>
      <c r="AD156" s="14" t="str">
        <f aca="false">IFERROR(VLOOKUP(TRIM('📥 Respostas'!AG156),'⚙️ Config'!$A$4:$B$13,2,0),"")</f>
        <v/>
      </c>
      <c r="AE156" s="14" t="str">
        <f aca="false">IFERROR(VLOOKUP(TRIM('📥 Respostas'!AH156),'⚙️ Config'!$A$4:$B$13,2,0),"")</f>
        <v/>
      </c>
      <c r="AF156" s="14" t="str">
        <f aca="false">IFERROR(VLOOKUP(TRIM('📥 Respostas'!AI156),'⚙️ Config'!$C$4:$D$11,2,0),"")</f>
        <v/>
      </c>
      <c r="AG156" s="14" t="str">
        <f aca="false">IFERROR(VLOOKUP(TRIM('📥 Respostas'!AJ156),'⚙️ Config'!$A$4:$B$13,2,0),"")</f>
        <v/>
      </c>
      <c r="AH156" s="14" t="str">
        <f aca="false">IFERROR(VLOOKUP(TRIM('📥 Respostas'!AK156),'⚙️ Config'!$A$4:$B$13,2,0),"")</f>
        <v/>
      </c>
      <c r="AI156" s="14" t="str">
        <f aca="false">IFERROR(VLOOKUP(TRIM('📥 Respostas'!AL156),'⚙️ Config'!$A$4:$B$13,2,0),"")</f>
        <v/>
      </c>
      <c r="AJ156" s="14" t="str">
        <f aca="false">IFERROR(VLOOKUP(TRIM('📥 Respostas'!AM156),'⚙️ Config'!$A$4:$B$13,2,0),"")</f>
        <v/>
      </c>
      <c r="AK156" s="14" t="str">
        <f aca="false">IFERROR(VLOOKUP(TRIM('📥 Respostas'!AN156),'⚙️ Config'!$A$4:$B$13,2,0),"")</f>
        <v/>
      </c>
      <c r="AL156" s="14" t="str">
        <f aca="false">IFERROR(VLOOKUP(TRIM('📥 Respostas'!AO156),'⚙️ Config'!$A$4:$B$13,2,0),"")</f>
        <v/>
      </c>
      <c r="AM156" s="14" t="str">
        <f aca="false">IFERROR(VLOOKUP(TRIM('📥 Respostas'!AP156),'⚙️ Config'!$A$4:$B$13,2,0),"")</f>
        <v/>
      </c>
      <c r="AN156" s="14" t="str">
        <f aca="false">IFERROR(VLOOKUP(TRIM('📥 Respostas'!AQ156),'⚙️ Config'!$A$4:$B$13,2,0),"")</f>
        <v/>
      </c>
      <c r="AO156" s="14" t="str">
        <f aca="false">IFERROR(VLOOKUP(TRIM('📥 Respostas'!AR156),'⚙️ Config'!$A$4:$B$13,2,0),"")</f>
        <v/>
      </c>
      <c r="AP156" s="14" t="str">
        <f aca="false">IFERROR(VLOOKUP(TRIM('📥 Respostas'!AS156),'⚙️ Config'!$A$4:$B$13,2,0),"")</f>
        <v/>
      </c>
      <c r="AQ156" s="14" t="str">
        <f aca="false">IFERROR(VLOOKUP(TRIM('📥 Respostas'!AT156),'⚙️ Config'!$A$4:$B$13,2,0),"")</f>
        <v/>
      </c>
      <c r="AR156" s="14" t="str">
        <f aca="false">IFERROR(VLOOKUP(TRIM('📥 Respostas'!AU156),'⚙️ Config'!$A$4:$B$13,2,0),"")</f>
        <v/>
      </c>
    </row>
    <row r="157" customFormat="false" ht="15" hidden="false" customHeight="false" outlineLevel="0" collapsed="false">
      <c r="A157" s="15" t="str">
        <f aca="false">IF(ISBLANK('📥 Respostas'!D157),"",ROW()-3)</f>
        <v/>
      </c>
      <c r="B157" s="15" t="n">
        <f aca="false">'📥 Respostas'!D157</f>
        <v>0</v>
      </c>
      <c r="C157" s="5" t="n">
        <f aca="false">'📥 Respostas'!C157</f>
        <v>0</v>
      </c>
      <c r="D157" s="14" t="str">
        <f aca="false">IFERROR(VLOOKUP(TRIM('📥 Respostas'!G157),'⚙️ Config'!$A$4:$B$13,2,0),"")</f>
        <v/>
      </c>
      <c r="E157" s="14" t="str">
        <f aca="false">IFERROR(VLOOKUP(TRIM('📥 Respostas'!H157),'⚙️ Config'!$A$4:$B$13,2,0),"")</f>
        <v/>
      </c>
      <c r="F157" s="14" t="str">
        <f aca="false">IFERROR(VLOOKUP(TRIM('📥 Respostas'!I157),'⚙️ Config'!$A$4:$B$13,2,0),"")</f>
        <v/>
      </c>
      <c r="G157" s="14" t="str">
        <f aca="false">IFERROR(VLOOKUP(TRIM('📥 Respostas'!J157),'⚙️ Config'!$A$4:$B$13,2,0),"")</f>
        <v/>
      </c>
      <c r="H157" s="14" t="str">
        <f aca="false">IFERROR(VLOOKUP(TRIM('📥 Respostas'!K157),'⚙️ Config'!$A$4:$B$13,2,0),"")</f>
        <v/>
      </c>
      <c r="I157" s="14" t="str">
        <f aca="false">IFERROR(VLOOKUP(TRIM('📥 Respostas'!L157),'⚙️ Config'!$A$4:$B$13,2,0),"")</f>
        <v/>
      </c>
      <c r="J157" s="14" t="str">
        <f aca="false">IFERROR(VLOOKUP(TRIM('📥 Respostas'!M157),'⚙️ Config'!$A$4:$B$13,2,0),"")</f>
        <v/>
      </c>
      <c r="K157" s="14" t="str">
        <f aca="false">IFERROR(VLOOKUP(TRIM('📥 Respostas'!N157),'⚙️ Config'!$A$4:$B$13,2,0),"")</f>
        <v/>
      </c>
      <c r="L157" s="14" t="str">
        <f aca="false">IFERROR(VLOOKUP(TRIM('📥 Respostas'!O157),'⚙️ Config'!$A$4:$B$13,2,0),"")</f>
        <v/>
      </c>
      <c r="M157" s="14" t="str">
        <f aca="false">IFERROR(VLOOKUP(TRIM('📥 Respostas'!P157),'⚙️ Config'!$A$4:$B$13,2,0),"")</f>
        <v/>
      </c>
      <c r="N157" s="14" t="str">
        <f aca="false">IFERROR(VLOOKUP(TRIM('📥 Respostas'!Q157),'⚙️ Config'!$A$4:$B$13,2,0),"")</f>
        <v/>
      </c>
      <c r="O157" s="14" t="str">
        <f aca="false">IFERROR(VLOOKUP(TRIM('📥 Respostas'!R157),'⚙️ Config'!$A$4:$B$13,2,0),"")</f>
        <v/>
      </c>
      <c r="P157" s="14" t="str">
        <f aca="false">IFERROR(VLOOKUP(TRIM('📥 Respostas'!S157),'⚙️ Config'!$A$4:$B$13,2,0),"")</f>
        <v/>
      </c>
      <c r="Q157" s="14" t="str">
        <f aca="false">IFERROR(VLOOKUP(TRIM('📥 Respostas'!T157),'⚙️ Config'!$A$4:$B$13,2,0),"")</f>
        <v/>
      </c>
      <c r="R157" s="14" t="str">
        <f aca="false">IFERROR(VLOOKUP(TRIM('📥 Respostas'!U157),'⚙️ Config'!$A$4:$B$13,2,0),"")</f>
        <v/>
      </c>
      <c r="S157" s="14" t="str">
        <f aca="false">IFERROR(VLOOKUP(TRIM('📥 Respostas'!V157),'⚙️ Config'!$A$4:$B$13,2,0),"")</f>
        <v/>
      </c>
      <c r="T157" s="14" t="str">
        <f aca="false">IFERROR(VLOOKUP(TRIM('📥 Respostas'!W157),'⚙️ Config'!$A$4:$B$13,2,0),"")</f>
        <v/>
      </c>
      <c r="U157" s="14" t="str">
        <f aca="false">IFERROR(VLOOKUP(TRIM('📥 Respostas'!X157),'⚙️ Config'!$A$4:$B$13,2,0),"")</f>
        <v/>
      </c>
      <c r="V157" s="14" t="str">
        <f aca="false">IFERROR(VLOOKUP(TRIM('📥 Respostas'!Y157),'⚙️ Config'!$A$4:$B$13,2,0),"")</f>
        <v/>
      </c>
      <c r="W157" s="14" t="str">
        <f aca="false">IFERROR(VLOOKUP(TRIM('📥 Respostas'!Z157),'⚙️ Config'!$A$4:$B$13,2,0),"")</f>
        <v/>
      </c>
      <c r="X157" s="14" t="str">
        <f aca="false">IFERROR(VLOOKUP(TRIM('📥 Respostas'!AA157),'⚙️ Config'!$A$4:$B$13,2,0),"")</f>
        <v/>
      </c>
      <c r="Y157" s="14" t="str">
        <f aca="false">IFERROR(VLOOKUP(TRIM('📥 Respostas'!AB157),'⚙️ Config'!$A$4:$B$13,2,0),"")</f>
        <v/>
      </c>
      <c r="Z157" s="14" t="str">
        <f aca="false">IFERROR(VLOOKUP(TRIM('📥 Respostas'!AC157),'⚙️ Config'!$A$4:$B$13,2,0),"")</f>
        <v/>
      </c>
      <c r="AA157" s="14" t="str">
        <f aca="false">IFERROR(VLOOKUP(TRIM('📥 Respostas'!AD157),'⚙️ Config'!$A$4:$B$13,2,0),"")</f>
        <v/>
      </c>
      <c r="AB157" s="14" t="str">
        <f aca="false">IFERROR(VLOOKUP(TRIM('📥 Respostas'!AE157),'⚙️ Config'!$A$4:$B$13,2,0),"")</f>
        <v/>
      </c>
      <c r="AC157" s="14" t="str">
        <f aca="false">IFERROR(VLOOKUP(TRIM('📥 Respostas'!AF157),'⚙️ Config'!$A$4:$B$13,2,0),"")</f>
        <v/>
      </c>
      <c r="AD157" s="14" t="str">
        <f aca="false">IFERROR(VLOOKUP(TRIM('📥 Respostas'!AG157),'⚙️ Config'!$A$4:$B$13,2,0),"")</f>
        <v/>
      </c>
      <c r="AE157" s="14" t="str">
        <f aca="false">IFERROR(VLOOKUP(TRIM('📥 Respostas'!AH157),'⚙️ Config'!$A$4:$B$13,2,0),"")</f>
        <v/>
      </c>
      <c r="AF157" s="14" t="str">
        <f aca="false">IFERROR(VLOOKUP(TRIM('📥 Respostas'!AI157),'⚙️ Config'!$C$4:$D$11,2,0),"")</f>
        <v/>
      </c>
      <c r="AG157" s="14" t="str">
        <f aca="false">IFERROR(VLOOKUP(TRIM('📥 Respostas'!AJ157),'⚙️ Config'!$A$4:$B$13,2,0),"")</f>
        <v/>
      </c>
      <c r="AH157" s="14" t="str">
        <f aca="false">IFERROR(VLOOKUP(TRIM('📥 Respostas'!AK157),'⚙️ Config'!$A$4:$B$13,2,0),"")</f>
        <v/>
      </c>
      <c r="AI157" s="14" t="str">
        <f aca="false">IFERROR(VLOOKUP(TRIM('📥 Respostas'!AL157),'⚙️ Config'!$A$4:$B$13,2,0),"")</f>
        <v/>
      </c>
      <c r="AJ157" s="14" t="str">
        <f aca="false">IFERROR(VLOOKUP(TRIM('📥 Respostas'!AM157),'⚙️ Config'!$A$4:$B$13,2,0),"")</f>
        <v/>
      </c>
      <c r="AK157" s="14" t="str">
        <f aca="false">IFERROR(VLOOKUP(TRIM('📥 Respostas'!AN157),'⚙️ Config'!$A$4:$B$13,2,0),"")</f>
        <v/>
      </c>
      <c r="AL157" s="14" t="str">
        <f aca="false">IFERROR(VLOOKUP(TRIM('📥 Respostas'!AO157),'⚙️ Config'!$A$4:$B$13,2,0),"")</f>
        <v/>
      </c>
      <c r="AM157" s="14" t="str">
        <f aca="false">IFERROR(VLOOKUP(TRIM('📥 Respostas'!AP157),'⚙️ Config'!$A$4:$B$13,2,0),"")</f>
        <v/>
      </c>
      <c r="AN157" s="14" t="str">
        <f aca="false">IFERROR(VLOOKUP(TRIM('📥 Respostas'!AQ157),'⚙️ Config'!$A$4:$B$13,2,0),"")</f>
        <v/>
      </c>
      <c r="AO157" s="14" t="str">
        <f aca="false">IFERROR(VLOOKUP(TRIM('📥 Respostas'!AR157),'⚙️ Config'!$A$4:$B$13,2,0),"")</f>
        <v/>
      </c>
      <c r="AP157" s="14" t="str">
        <f aca="false">IFERROR(VLOOKUP(TRIM('📥 Respostas'!AS157),'⚙️ Config'!$A$4:$B$13,2,0),"")</f>
        <v/>
      </c>
      <c r="AQ157" s="14" t="str">
        <f aca="false">IFERROR(VLOOKUP(TRIM('📥 Respostas'!AT157),'⚙️ Config'!$A$4:$B$13,2,0),"")</f>
        <v/>
      </c>
      <c r="AR157" s="14" t="str">
        <f aca="false">IFERROR(VLOOKUP(TRIM('📥 Respostas'!AU157),'⚙️ Config'!$A$4:$B$13,2,0),"")</f>
        <v/>
      </c>
    </row>
    <row r="158" customFormat="false" ht="15" hidden="false" customHeight="false" outlineLevel="0" collapsed="false">
      <c r="A158" s="12" t="str">
        <f aca="false">IF(ISBLANK('📥 Respostas'!D158),"",ROW()-3)</f>
        <v/>
      </c>
      <c r="B158" s="12" t="n">
        <f aca="false">'📥 Respostas'!D158</f>
        <v>0</v>
      </c>
      <c r="C158" s="13" t="n">
        <f aca="false">'📥 Respostas'!C158</f>
        <v>0</v>
      </c>
      <c r="D158" s="14" t="str">
        <f aca="false">IFERROR(VLOOKUP(TRIM('📥 Respostas'!G158),'⚙️ Config'!$A$4:$B$13,2,0),"")</f>
        <v/>
      </c>
      <c r="E158" s="14" t="str">
        <f aca="false">IFERROR(VLOOKUP(TRIM('📥 Respostas'!H158),'⚙️ Config'!$A$4:$B$13,2,0),"")</f>
        <v/>
      </c>
      <c r="F158" s="14" t="str">
        <f aca="false">IFERROR(VLOOKUP(TRIM('📥 Respostas'!I158),'⚙️ Config'!$A$4:$B$13,2,0),"")</f>
        <v/>
      </c>
      <c r="G158" s="14" t="str">
        <f aca="false">IFERROR(VLOOKUP(TRIM('📥 Respostas'!J158),'⚙️ Config'!$A$4:$B$13,2,0),"")</f>
        <v/>
      </c>
      <c r="H158" s="14" t="str">
        <f aca="false">IFERROR(VLOOKUP(TRIM('📥 Respostas'!K158),'⚙️ Config'!$A$4:$B$13,2,0),"")</f>
        <v/>
      </c>
      <c r="I158" s="14" t="str">
        <f aca="false">IFERROR(VLOOKUP(TRIM('📥 Respostas'!L158),'⚙️ Config'!$A$4:$B$13,2,0),"")</f>
        <v/>
      </c>
      <c r="J158" s="14" t="str">
        <f aca="false">IFERROR(VLOOKUP(TRIM('📥 Respostas'!M158),'⚙️ Config'!$A$4:$B$13,2,0),"")</f>
        <v/>
      </c>
      <c r="K158" s="14" t="str">
        <f aca="false">IFERROR(VLOOKUP(TRIM('📥 Respostas'!N158),'⚙️ Config'!$A$4:$B$13,2,0),"")</f>
        <v/>
      </c>
      <c r="L158" s="14" t="str">
        <f aca="false">IFERROR(VLOOKUP(TRIM('📥 Respostas'!O158),'⚙️ Config'!$A$4:$B$13,2,0),"")</f>
        <v/>
      </c>
      <c r="M158" s="14" t="str">
        <f aca="false">IFERROR(VLOOKUP(TRIM('📥 Respostas'!P158),'⚙️ Config'!$A$4:$B$13,2,0),"")</f>
        <v/>
      </c>
      <c r="N158" s="14" t="str">
        <f aca="false">IFERROR(VLOOKUP(TRIM('📥 Respostas'!Q158),'⚙️ Config'!$A$4:$B$13,2,0),"")</f>
        <v/>
      </c>
      <c r="O158" s="14" t="str">
        <f aca="false">IFERROR(VLOOKUP(TRIM('📥 Respostas'!R158),'⚙️ Config'!$A$4:$B$13,2,0),"")</f>
        <v/>
      </c>
      <c r="P158" s="14" t="str">
        <f aca="false">IFERROR(VLOOKUP(TRIM('📥 Respostas'!S158),'⚙️ Config'!$A$4:$B$13,2,0),"")</f>
        <v/>
      </c>
      <c r="Q158" s="14" t="str">
        <f aca="false">IFERROR(VLOOKUP(TRIM('📥 Respostas'!T158),'⚙️ Config'!$A$4:$B$13,2,0),"")</f>
        <v/>
      </c>
      <c r="R158" s="14" t="str">
        <f aca="false">IFERROR(VLOOKUP(TRIM('📥 Respostas'!U158),'⚙️ Config'!$A$4:$B$13,2,0),"")</f>
        <v/>
      </c>
      <c r="S158" s="14" t="str">
        <f aca="false">IFERROR(VLOOKUP(TRIM('📥 Respostas'!V158),'⚙️ Config'!$A$4:$B$13,2,0),"")</f>
        <v/>
      </c>
      <c r="T158" s="14" t="str">
        <f aca="false">IFERROR(VLOOKUP(TRIM('📥 Respostas'!W158),'⚙️ Config'!$A$4:$B$13,2,0),"")</f>
        <v/>
      </c>
      <c r="U158" s="14" t="str">
        <f aca="false">IFERROR(VLOOKUP(TRIM('📥 Respostas'!X158),'⚙️ Config'!$A$4:$B$13,2,0),"")</f>
        <v/>
      </c>
      <c r="V158" s="14" t="str">
        <f aca="false">IFERROR(VLOOKUP(TRIM('📥 Respostas'!Y158),'⚙️ Config'!$A$4:$B$13,2,0),"")</f>
        <v/>
      </c>
      <c r="W158" s="14" t="str">
        <f aca="false">IFERROR(VLOOKUP(TRIM('📥 Respostas'!Z158),'⚙️ Config'!$A$4:$B$13,2,0),"")</f>
        <v/>
      </c>
      <c r="X158" s="14" t="str">
        <f aca="false">IFERROR(VLOOKUP(TRIM('📥 Respostas'!AA158),'⚙️ Config'!$A$4:$B$13,2,0),"")</f>
        <v/>
      </c>
      <c r="Y158" s="14" t="str">
        <f aca="false">IFERROR(VLOOKUP(TRIM('📥 Respostas'!AB158),'⚙️ Config'!$A$4:$B$13,2,0),"")</f>
        <v/>
      </c>
      <c r="Z158" s="14" t="str">
        <f aca="false">IFERROR(VLOOKUP(TRIM('📥 Respostas'!AC158),'⚙️ Config'!$A$4:$B$13,2,0),"")</f>
        <v/>
      </c>
      <c r="AA158" s="14" t="str">
        <f aca="false">IFERROR(VLOOKUP(TRIM('📥 Respostas'!AD158),'⚙️ Config'!$A$4:$B$13,2,0),"")</f>
        <v/>
      </c>
      <c r="AB158" s="14" t="str">
        <f aca="false">IFERROR(VLOOKUP(TRIM('📥 Respostas'!AE158),'⚙️ Config'!$A$4:$B$13,2,0),"")</f>
        <v/>
      </c>
      <c r="AC158" s="14" t="str">
        <f aca="false">IFERROR(VLOOKUP(TRIM('📥 Respostas'!AF158),'⚙️ Config'!$A$4:$B$13,2,0),"")</f>
        <v/>
      </c>
      <c r="AD158" s="14" t="str">
        <f aca="false">IFERROR(VLOOKUP(TRIM('📥 Respostas'!AG158),'⚙️ Config'!$A$4:$B$13,2,0),"")</f>
        <v/>
      </c>
      <c r="AE158" s="14" t="str">
        <f aca="false">IFERROR(VLOOKUP(TRIM('📥 Respostas'!AH158),'⚙️ Config'!$A$4:$B$13,2,0),"")</f>
        <v/>
      </c>
      <c r="AF158" s="14" t="str">
        <f aca="false">IFERROR(VLOOKUP(TRIM('📥 Respostas'!AI158),'⚙️ Config'!$C$4:$D$11,2,0),"")</f>
        <v/>
      </c>
      <c r="AG158" s="14" t="str">
        <f aca="false">IFERROR(VLOOKUP(TRIM('📥 Respostas'!AJ158),'⚙️ Config'!$A$4:$B$13,2,0),"")</f>
        <v/>
      </c>
      <c r="AH158" s="14" t="str">
        <f aca="false">IFERROR(VLOOKUP(TRIM('📥 Respostas'!AK158),'⚙️ Config'!$A$4:$B$13,2,0),"")</f>
        <v/>
      </c>
      <c r="AI158" s="14" t="str">
        <f aca="false">IFERROR(VLOOKUP(TRIM('📥 Respostas'!AL158),'⚙️ Config'!$A$4:$B$13,2,0),"")</f>
        <v/>
      </c>
      <c r="AJ158" s="14" t="str">
        <f aca="false">IFERROR(VLOOKUP(TRIM('📥 Respostas'!AM158),'⚙️ Config'!$A$4:$B$13,2,0),"")</f>
        <v/>
      </c>
      <c r="AK158" s="14" t="str">
        <f aca="false">IFERROR(VLOOKUP(TRIM('📥 Respostas'!AN158),'⚙️ Config'!$A$4:$B$13,2,0),"")</f>
        <v/>
      </c>
      <c r="AL158" s="14" t="str">
        <f aca="false">IFERROR(VLOOKUP(TRIM('📥 Respostas'!AO158),'⚙️ Config'!$A$4:$B$13,2,0),"")</f>
        <v/>
      </c>
      <c r="AM158" s="14" t="str">
        <f aca="false">IFERROR(VLOOKUP(TRIM('📥 Respostas'!AP158),'⚙️ Config'!$A$4:$B$13,2,0),"")</f>
        <v/>
      </c>
      <c r="AN158" s="14" t="str">
        <f aca="false">IFERROR(VLOOKUP(TRIM('📥 Respostas'!AQ158),'⚙️ Config'!$A$4:$B$13,2,0),"")</f>
        <v/>
      </c>
      <c r="AO158" s="14" t="str">
        <f aca="false">IFERROR(VLOOKUP(TRIM('📥 Respostas'!AR158),'⚙️ Config'!$A$4:$B$13,2,0),"")</f>
        <v/>
      </c>
      <c r="AP158" s="14" t="str">
        <f aca="false">IFERROR(VLOOKUP(TRIM('📥 Respostas'!AS158),'⚙️ Config'!$A$4:$B$13,2,0),"")</f>
        <v/>
      </c>
      <c r="AQ158" s="14" t="str">
        <f aca="false">IFERROR(VLOOKUP(TRIM('📥 Respostas'!AT158),'⚙️ Config'!$A$4:$B$13,2,0),"")</f>
        <v/>
      </c>
      <c r="AR158" s="14" t="str">
        <f aca="false">IFERROR(VLOOKUP(TRIM('📥 Respostas'!AU158),'⚙️ Config'!$A$4:$B$13,2,0),"")</f>
        <v/>
      </c>
    </row>
    <row r="159" customFormat="false" ht="15" hidden="false" customHeight="false" outlineLevel="0" collapsed="false">
      <c r="A159" s="15" t="str">
        <f aca="false">IF(ISBLANK('📥 Respostas'!D159),"",ROW()-3)</f>
        <v/>
      </c>
      <c r="B159" s="15" t="n">
        <f aca="false">'📥 Respostas'!D159</f>
        <v>0</v>
      </c>
      <c r="C159" s="5" t="n">
        <f aca="false">'📥 Respostas'!C159</f>
        <v>0</v>
      </c>
      <c r="D159" s="14" t="str">
        <f aca="false">IFERROR(VLOOKUP(TRIM('📥 Respostas'!G159),'⚙️ Config'!$A$4:$B$13,2,0),"")</f>
        <v/>
      </c>
      <c r="E159" s="14" t="str">
        <f aca="false">IFERROR(VLOOKUP(TRIM('📥 Respostas'!H159),'⚙️ Config'!$A$4:$B$13,2,0),"")</f>
        <v/>
      </c>
      <c r="F159" s="14" t="str">
        <f aca="false">IFERROR(VLOOKUP(TRIM('📥 Respostas'!I159),'⚙️ Config'!$A$4:$B$13,2,0),"")</f>
        <v/>
      </c>
      <c r="G159" s="14" t="str">
        <f aca="false">IFERROR(VLOOKUP(TRIM('📥 Respostas'!J159),'⚙️ Config'!$A$4:$B$13,2,0),"")</f>
        <v/>
      </c>
      <c r="H159" s="14" t="str">
        <f aca="false">IFERROR(VLOOKUP(TRIM('📥 Respostas'!K159),'⚙️ Config'!$A$4:$B$13,2,0),"")</f>
        <v/>
      </c>
      <c r="I159" s="14" t="str">
        <f aca="false">IFERROR(VLOOKUP(TRIM('📥 Respostas'!L159),'⚙️ Config'!$A$4:$B$13,2,0),"")</f>
        <v/>
      </c>
      <c r="J159" s="14" t="str">
        <f aca="false">IFERROR(VLOOKUP(TRIM('📥 Respostas'!M159),'⚙️ Config'!$A$4:$B$13,2,0),"")</f>
        <v/>
      </c>
      <c r="K159" s="14" t="str">
        <f aca="false">IFERROR(VLOOKUP(TRIM('📥 Respostas'!N159),'⚙️ Config'!$A$4:$B$13,2,0),"")</f>
        <v/>
      </c>
      <c r="L159" s="14" t="str">
        <f aca="false">IFERROR(VLOOKUP(TRIM('📥 Respostas'!O159),'⚙️ Config'!$A$4:$B$13,2,0),"")</f>
        <v/>
      </c>
      <c r="M159" s="14" t="str">
        <f aca="false">IFERROR(VLOOKUP(TRIM('📥 Respostas'!P159),'⚙️ Config'!$A$4:$B$13,2,0),"")</f>
        <v/>
      </c>
      <c r="N159" s="14" t="str">
        <f aca="false">IFERROR(VLOOKUP(TRIM('📥 Respostas'!Q159),'⚙️ Config'!$A$4:$B$13,2,0),"")</f>
        <v/>
      </c>
      <c r="O159" s="14" t="str">
        <f aca="false">IFERROR(VLOOKUP(TRIM('📥 Respostas'!R159),'⚙️ Config'!$A$4:$B$13,2,0),"")</f>
        <v/>
      </c>
      <c r="P159" s="14" t="str">
        <f aca="false">IFERROR(VLOOKUP(TRIM('📥 Respostas'!S159),'⚙️ Config'!$A$4:$B$13,2,0),"")</f>
        <v/>
      </c>
      <c r="Q159" s="14" t="str">
        <f aca="false">IFERROR(VLOOKUP(TRIM('📥 Respostas'!T159),'⚙️ Config'!$A$4:$B$13,2,0),"")</f>
        <v/>
      </c>
      <c r="R159" s="14" t="str">
        <f aca="false">IFERROR(VLOOKUP(TRIM('📥 Respostas'!U159),'⚙️ Config'!$A$4:$B$13,2,0),"")</f>
        <v/>
      </c>
      <c r="S159" s="14" t="str">
        <f aca="false">IFERROR(VLOOKUP(TRIM('📥 Respostas'!V159),'⚙️ Config'!$A$4:$B$13,2,0),"")</f>
        <v/>
      </c>
      <c r="T159" s="14" t="str">
        <f aca="false">IFERROR(VLOOKUP(TRIM('📥 Respostas'!W159),'⚙️ Config'!$A$4:$B$13,2,0),"")</f>
        <v/>
      </c>
      <c r="U159" s="14" t="str">
        <f aca="false">IFERROR(VLOOKUP(TRIM('📥 Respostas'!X159),'⚙️ Config'!$A$4:$B$13,2,0),"")</f>
        <v/>
      </c>
      <c r="V159" s="14" t="str">
        <f aca="false">IFERROR(VLOOKUP(TRIM('📥 Respostas'!Y159),'⚙️ Config'!$A$4:$B$13,2,0),"")</f>
        <v/>
      </c>
      <c r="W159" s="14" t="str">
        <f aca="false">IFERROR(VLOOKUP(TRIM('📥 Respostas'!Z159),'⚙️ Config'!$A$4:$B$13,2,0),"")</f>
        <v/>
      </c>
      <c r="X159" s="14" t="str">
        <f aca="false">IFERROR(VLOOKUP(TRIM('📥 Respostas'!AA159),'⚙️ Config'!$A$4:$B$13,2,0),"")</f>
        <v/>
      </c>
      <c r="Y159" s="14" t="str">
        <f aca="false">IFERROR(VLOOKUP(TRIM('📥 Respostas'!AB159),'⚙️ Config'!$A$4:$B$13,2,0),"")</f>
        <v/>
      </c>
      <c r="Z159" s="14" t="str">
        <f aca="false">IFERROR(VLOOKUP(TRIM('📥 Respostas'!AC159),'⚙️ Config'!$A$4:$B$13,2,0),"")</f>
        <v/>
      </c>
      <c r="AA159" s="14" t="str">
        <f aca="false">IFERROR(VLOOKUP(TRIM('📥 Respostas'!AD159),'⚙️ Config'!$A$4:$B$13,2,0),"")</f>
        <v/>
      </c>
      <c r="AB159" s="14" t="str">
        <f aca="false">IFERROR(VLOOKUP(TRIM('📥 Respostas'!AE159),'⚙️ Config'!$A$4:$B$13,2,0),"")</f>
        <v/>
      </c>
      <c r="AC159" s="14" t="str">
        <f aca="false">IFERROR(VLOOKUP(TRIM('📥 Respostas'!AF159),'⚙️ Config'!$A$4:$B$13,2,0),"")</f>
        <v/>
      </c>
      <c r="AD159" s="14" t="str">
        <f aca="false">IFERROR(VLOOKUP(TRIM('📥 Respostas'!AG159),'⚙️ Config'!$A$4:$B$13,2,0),"")</f>
        <v/>
      </c>
      <c r="AE159" s="14" t="str">
        <f aca="false">IFERROR(VLOOKUP(TRIM('📥 Respostas'!AH159),'⚙️ Config'!$A$4:$B$13,2,0),"")</f>
        <v/>
      </c>
      <c r="AF159" s="14" t="str">
        <f aca="false">IFERROR(VLOOKUP(TRIM('📥 Respostas'!AI159),'⚙️ Config'!$C$4:$D$11,2,0),"")</f>
        <v/>
      </c>
      <c r="AG159" s="14" t="str">
        <f aca="false">IFERROR(VLOOKUP(TRIM('📥 Respostas'!AJ159),'⚙️ Config'!$A$4:$B$13,2,0),"")</f>
        <v/>
      </c>
      <c r="AH159" s="14" t="str">
        <f aca="false">IFERROR(VLOOKUP(TRIM('📥 Respostas'!AK159),'⚙️ Config'!$A$4:$B$13,2,0),"")</f>
        <v/>
      </c>
      <c r="AI159" s="14" t="str">
        <f aca="false">IFERROR(VLOOKUP(TRIM('📥 Respostas'!AL159),'⚙️ Config'!$A$4:$B$13,2,0),"")</f>
        <v/>
      </c>
      <c r="AJ159" s="14" t="str">
        <f aca="false">IFERROR(VLOOKUP(TRIM('📥 Respostas'!AM159),'⚙️ Config'!$A$4:$B$13,2,0),"")</f>
        <v/>
      </c>
      <c r="AK159" s="14" t="str">
        <f aca="false">IFERROR(VLOOKUP(TRIM('📥 Respostas'!AN159),'⚙️ Config'!$A$4:$B$13,2,0),"")</f>
        <v/>
      </c>
      <c r="AL159" s="14" t="str">
        <f aca="false">IFERROR(VLOOKUP(TRIM('📥 Respostas'!AO159),'⚙️ Config'!$A$4:$B$13,2,0),"")</f>
        <v/>
      </c>
      <c r="AM159" s="14" t="str">
        <f aca="false">IFERROR(VLOOKUP(TRIM('📥 Respostas'!AP159),'⚙️ Config'!$A$4:$B$13,2,0),"")</f>
        <v/>
      </c>
      <c r="AN159" s="14" t="str">
        <f aca="false">IFERROR(VLOOKUP(TRIM('📥 Respostas'!AQ159),'⚙️ Config'!$A$4:$B$13,2,0),"")</f>
        <v/>
      </c>
      <c r="AO159" s="14" t="str">
        <f aca="false">IFERROR(VLOOKUP(TRIM('📥 Respostas'!AR159),'⚙️ Config'!$A$4:$B$13,2,0),"")</f>
        <v/>
      </c>
      <c r="AP159" s="14" t="str">
        <f aca="false">IFERROR(VLOOKUP(TRIM('📥 Respostas'!AS159),'⚙️ Config'!$A$4:$B$13,2,0),"")</f>
        <v/>
      </c>
      <c r="AQ159" s="14" t="str">
        <f aca="false">IFERROR(VLOOKUP(TRIM('📥 Respostas'!AT159),'⚙️ Config'!$A$4:$B$13,2,0),"")</f>
        <v/>
      </c>
      <c r="AR159" s="14" t="str">
        <f aca="false">IFERROR(VLOOKUP(TRIM('📥 Respostas'!AU159),'⚙️ Config'!$A$4:$B$13,2,0),"")</f>
        <v/>
      </c>
    </row>
    <row r="160" customFormat="false" ht="15" hidden="false" customHeight="false" outlineLevel="0" collapsed="false">
      <c r="A160" s="12" t="str">
        <f aca="false">IF(ISBLANK('📥 Respostas'!D160),"",ROW()-3)</f>
        <v/>
      </c>
      <c r="B160" s="12" t="n">
        <f aca="false">'📥 Respostas'!D160</f>
        <v>0</v>
      </c>
      <c r="C160" s="13" t="n">
        <f aca="false">'📥 Respostas'!C160</f>
        <v>0</v>
      </c>
      <c r="D160" s="14" t="str">
        <f aca="false">IFERROR(VLOOKUP(TRIM('📥 Respostas'!G160),'⚙️ Config'!$A$4:$B$13,2,0),"")</f>
        <v/>
      </c>
      <c r="E160" s="14" t="str">
        <f aca="false">IFERROR(VLOOKUP(TRIM('📥 Respostas'!H160),'⚙️ Config'!$A$4:$B$13,2,0),"")</f>
        <v/>
      </c>
      <c r="F160" s="14" t="str">
        <f aca="false">IFERROR(VLOOKUP(TRIM('📥 Respostas'!I160),'⚙️ Config'!$A$4:$B$13,2,0),"")</f>
        <v/>
      </c>
      <c r="G160" s="14" t="str">
        <f aca="false">IFERROR(VLOOKUP(TRIM('📥 Respostas'!J160),'⚙️ Config'!$A$4:$B$13,2,0),"")</f>
        <v/>
      </c>
      <c r="H160" s="14" t="str">
        <f aca="false">IFERROR(VLOOKUP(TRIM('📥 Respostas'!K160),'⚙️ Config'!$A$4:$B$13,2,0),"")</f>
        <v/>
      </c>
      <c r="I160" s="14" t="str">
        <f aca="false">IFERROR(VLOOKUP(TRIM('📥 Respostas'!L160),'⚙️ Config'!$A$4:$B$13,2,0),"")</f>
        <v/>
      </c>
      <c r="J160" s="14" t="str">
        <f aca="false">IFERROR(VLOOKUP(TRIM('📥 Respostas'!M160),'⚙️ Config'!$A$4:$B$13,2,0),"")</f>
        <v/>
      </c>
      <c r="K160" s="14" t="str">
        <f aca="false">IFERROR(VLOOKUP(TRIM('📥 Respostas'!N160),'⚙️ Config'!$A$4:$B$13,2,0),"")</f>
        <v/>
      </c>
      <c r="L160" s="14" t="str">
        <f aca="false">IFERROR(VLOOKUP(TRIM('📥 Respostas'!O160),'⚙️ Config'!$A$4:$B$13,2,0),"")</f>
        <v/>
      </c>
      <c r="M160" s="14" t="str">
        <f aca="false">IFERROR(VLOOKUP(TRIM('📥 Respostas'!P160),'⚙️ Config'!$A$4:$B$13,2,0),"")</f>
        <v/>
      </c>
      <c r="N160" s="14" t="str">
        <f aca="false">IFERROR(VLOOKUP(TRIM('📥 Respostas'!Q160),'⚙️ Config'!$A$4:$B$13,2,0),"")</f>
        <v/>
      </c>
      <c r="O160" s="14" t="str">
        <f aca="false">IFERROR(VLOOKUP(TRIM('📥 Respostas'!R160),'⚙️ Config'!$A$4:$B$13,2,0),"")</f>
        <v/>
      </c>
      <c r="P160" s="14" t="str">
        <f aca="false">IFERROR(VLOOKUP(TRIM('📥 Respostas'!S160),'⚙️ Config'!$A$4:$B$13,2,0),"")</f>
        <v/>
      </c>
      <c r="Q160" s="14" t="str">
        <f aca="false">IFERROR(VLOOKUP(TRIM('📥 Respostas'!T160),'⚙️ Config'!$A$4:$B$13,2,0),"")</f>
        <v/>
      </c>
      <c r="R160" s="14" t="str">
        <f aca="false">IFERROR(VLOOKUP(TRIM('📥 Respostas'!U160),'⚙️ Config'!$A$4:$B$13,2,0),"")</f>
        <v/>
      </c>
      <c r="S160" s="14" t="str">
        <f aca="false">IFERROR(VLOOKUP(TRIM('📥 Respostas'!V160),'⚙️ Config'!$A$4:$B$13,2,0),"")</f>
        <v/>
      </c>
      <c r="T160" s="14" t="str">
        <f aca="false">IFERROR(VLOOKUP(TRIM('📥 Respostas'!W160),'⚙️ Config'!$A$4:$B$13,2,0),"")</f>
        <v/>
      </c>
      <c r="U160" s="14" t="str">
        <f aca="false">IFERROR(VLOOKUP(TRIM('📥 Respostas'!X160),'⚙️ Config'!$A$4:$B$13,2,0),"")</f>
        <v/>
      </c>
      <c r="V160" s="14" t="str">
        <f aca="false">IFERROR(VLOOKUP(TRIM('📥 Respostas'!Y160),'⚙️ Config'!$A$4:$B$13,2,0),"")</f>
        <v/>
      </c>
      <c r="W160" s="14" t="str">
        <f aca="false">IFERROR(VLOOKUP(TRIM('📥 Respostas'!Z160),'⚙️ Config'!$A$4:$B$13,2,0),"")</f>
        <v/>
      </c>
      <c r="X160" s="14" t="str">
        <f aca="false">IFERROR(VLOOKUP(TRIM('📥 Respostas'!AA160),'⚙️ Config'!$A$4:$B$13,2,0),"")</f>
        <v/>
      </c>
      <c r="Y160" s="14" t="str">
        <f aca="false">IFERROR(VLOOKUP(TRIM('📥 Respostas'!AB160),'⚙️ Config'!$A$4:$B$13,2,0),"")</f>
        <v/>
      </c>
      <c r="Z160" s="14" t="str">
        <f aca="false">IFERROR(VLOOKUP(TRIM('📥 Respostas'!AC160),'⚙️ Config'!$A$4:$B$13,2,0),"")</f>
        <v/>
      </c>
      <c r="AA160" s="14" t="str">
        <f aca="false">IFERROR(VLOOKUP(TRIM('📥 Respostas'!AD160),'⚙️ Config'!$A$4:$B$13,2,0),"")</f>
        <v/>
      </c>
      <c r="AB160" s="14" t="str">
        <f aca="false">IFERROR(VLOOKUP(TRIM('📥 Respostas'!AE160),'⚙️ Config'!$A$4:$B$13,2,0),"")</f>
        <v/>
      </c>
      <c r="AC160" s="14" t="str">
        <f aca="false">IFERROR(VLOOKUP(TRIM('📥 Respostas'!AF160),'⚙️ Config'!$A$4:$B$13,2,0),"")</f>
        <v/>
      </c>
      <c r="AD160" s="14" t="str">
        <f aca="false">IFERROR(VLOOKUP(TRIM('📥 Respostas'!AG160),'⚙️ Config'!$A$4:$B$13,2,0),"")</f>
        <v/>
      </c>
      <c r="AE160" s="14" t="str">
        <f aca="false">IFERROR(VLOOKUP(TRIM('📥 Respostas'!AH160),'⚙️ Config'!$A$4:$B$13,2,0),"")</f>
        <v/>
      </c>
      <c r="AF160" s="14" t="str">
        <f aca="false">IFERROR(VLOOKUP(TRIM('📥 Respostas'!AI160),'⚙️ Config'!$C$4:$D$11,2,0),"")</f>
        <v/>
      </c>
      <c r="AG160" s="14" t="str">
        <f aca="false">IFERROR(VLOOKUP(TRIM('📥 Respostas'!AJ160),'⚙️ Config'!$A$4:$B$13,2,0),"")</f>
        <v/>
      </c>
      <c r="AH160" s="14" t="str">
        <f aca="false">IFERROR(VLOOKUP(TRIM('📥 Respostas'!AK160),'⚙️ Config'!$A$4:$B$13,2,0),"")</f>
        <v/>
      </c>
      <c r="AI160" s="14" t="str">
        <f aca="false">IFERROR(VLOOKUP(TRIM('📥 Respostas'!AL160),'⚙️ Config'!$A$4:$B$13,2,0),"")</f>
        <v/>
      </c>
      <c r="AJ160" s="14" t="str">
        <f aca="false">IFERROR(VLOOKUP(TRIM('📥 Respostas'!AM160),'⚙️ Config'!$A$4:$B$13,2,0),"")</f>
        <v/>
      </c>
      <c r="AK160" s="14" t="str">
        <f aca="false">IFERROR(VLOOKUP(TRIM('📥 Respostas'!AN160),'⚙️ Config'!$A$4:$B$13,2,0),"")</f>
        <v/>
      </c>
      <c r="AL160" s="14" t="str">
        <f aca="false">IFERROR(VLOOKUP(TRIM('📥 Respostas'!AO160),'⚙️ Config'!$A$4:$B$13,2,0),"")</f>
        <v/>
      </c>
      <c r="AM160" s="14" t="str">
        <f aca="false">IFERROR(VLOOKUP(TRIM('📥 Respostas'!AP160),'⚙️ Config'!$A$4:$B$13,2,0),"")</f>
        <v/>
      </c>
      <c r="AN160" s="14" t="str">
        <f aca="false">IFERROR(VLOOKUP(TRIM('📥 Respostas'!AQ160),'⚙️ Config'!$A$4:$B$13,2,0),"")</f>
        <v/>
      </c>
      <c r="AO160" s="14" t="str">
        <f aca="false">IFERROR(VLOOKUP(TRIM('📥 Respostas'!AR160),'⚙️ Config'!$A$4:$B$13,2,0),"")</f>
        <v/>
      </c>
      <c r="AP160" s="14" t="str">
        <f aca="false">IFERROR(VLOOKUP(TRIM('📥 Respostas'!AS160),'⚙️ Config'!$A$4:$B$13,2,0),"")</f>
        <v/>
      </c>
      <c r="AQ160" s="14" t="str">
        <f aca="false">IFERROR(VLOOKUP(TRIM('📥 Respostas'!AT160),'⚙️ Config'!$A$4:$B$13,2,0),"")</f>
        <v/>
      </c>
      <c r="AR160" s="14" t="str">
        <f aca="false">IFERROR(VLOOKUP(TRIM('📥 Respostas'!AU160),'⚙️ Config'!$A$4:$B$13,2,0),"")</f>
        <v/>
      </c>
    </row>
    <row r="161" customFormat="false" ht="15" hidden="false" customHeight="false" outlineLevel="0" collapsed="false">
      <c r="A161" s="15" t="str">
        <f aca="false">IF(ISBLANK('📥 Respostas'!D161),"",ROW()-3)</f>
        <v/>
      </c>
      <c r="B161" s="15" t="n">
        <f aca="false">'📥 Respostas'!D161</f>
        <v>0</v>
      </c>
      <c r="C161" s="5" t="n">
        <f aca="false">'📥 Respostas'!C161</f>
        <v>0</v>
      </c>
      <c r="D161" s="14" t="str">
        <f aca="false">IFERROR(VLOOKUP(TRIM('📥 Respostas'!G161),'⚙️ Config'!$A$4:$B$13,2,0),"")</f>
        <v/>
      </c>
      <c r="E161" s="14" t="str">
        <f aca="false">IFERROR(VLOOKUP(TRIM('📥 Respostas'!H161),'⚙️ Config'!$A$4:$B$13,2,0),"")</f>
        <v/>
      </c>
      <c r="F161" s="14" t="str">
        <f aca="false">IFERROR(VLOOKUP(TRIM('📥 Respostas'!I161),'⚙️ Config'!$A$4:$B$13,2,0),"")</f>
        <v/>
      </c>
      <c r="G161" s="14" t="str">
        <f aca="false">IFERROR(VLOOKUP(TRIM('📥 Respostas'!J161),'⚙️ Config'!$A$4:$B$13,2,0),"")</f>
        <v/>
      </c>
      <c r="H161" s="14" t="str">
        <f aca="false">IFERROR(VLOOKUP(TRIM('📥 Respostas'!K161),'⚙️ Config'!$A$4:$B$13,2,0),"")</f>
        <v/>
      </c>
      <c r="I161" s="14" t="str">
        <f aca="false">IFERROR(VLOOKUP(TRIM('📥 Respostas'!L161),'⚙️ Config'!$A$4:$B$13,2,0),"")</f>
        <v/>
      </c>
      <c r="J161" s="14" t="str">
        <f aca="false">IFERROR(VLOOKUP(TRIM('📥 Respostas'!M161),'⚙️ Config'!$A$4:$B$13,2,0),"")</f>
        <v/>
      </c>
      <c r="K161" s="14" t="str">
        <f aca="false">IFERROR(VLOOKUP(TRIM('📥 Respostas'!N161),'⚙️ Config'!$A$4:$B$13,2,0),"")</f>
        <v/>
      </c>
      <c r="L161" s="14" t="str">
        <f aca="false">IFERROR(VLOOKUP(TRIM('📥 Respostas'!O161),'⚙️ Config'!$A$4:$B$13,2,0),"")</f>
        <v/>
      </c>
      <c r="M161" s="14" t="str">
        <f aca="false">IFERROR(VLOOKUP(TRIM('📥 Respostas'!P161),'⚙️ Config'!$A$4:$B$13,2,0),"")</f>
        <v/>
      </c>
      <c r="N161" s="14" t="str">
        <f aca="false">IFERROR(VLOOKUP(TRIM('📥 Respostas'!Q161),'⚙️ Config'!$A$4:$B$13,2,0),"")</f>
        <v/>
      </c>
      <c r="O161" s="14" t="str">
        <f aca="false">IFERROR(VLOOKUP(TRIM('📥 Respostas'!R161),'⚙️ Config'!$A$4:$B$13,2,0),"")</f>
        <v/>
      </c>
      <c r="P161" s="14" t="str">
        <f aca="false">IFERROR(VLOOKUP(TRIM('📥 Respostas'!S161),'⚙️ Config'!$A$4:$B$13,2,0),"")</f>
        <v/>
      </c>
      <c r="Q161" s="14" t="str">
        <f aca="false">IFERROR(VLOOKUP(TRIM('📥 Respostas'!T161),'⚙️ Config'!$A$4:$B$13,2,0),"")</f>
        <v/>
      </c>
      <c r="R161" s="14" t="str">
        <f aca="false">IFERROR(VLOOKUP(TRIM('📥 Respostas'!U161),'⚙️ Config'!$A$4:$B$13,2,0),"")</f>
        <v/>
      </c>
      <c r="S161" s="14" t="str">
        <f aca="false">IFERROR(VLOOKUP(TRIM('📥 Respostas'!V161),'⚙️ Config'!$A$4:$B$13,2,0),"")</f>
        <v/>
      </c>
      <c r="T161" s="14" t="str">
        <f aca="false">IFERROR(VLOOKUP(TRIM('📥 Respostas'!W161),'⚙️ Config'!$A$4:$B$13,2,0),"")</f>
        <v/>
      </c>
      <c r="U161" s="14" t="str">
        <f aca="false">IFERROR(VLOOKUP(TRIM('📥 Respostas'!X161),'⚙️ Config'!$A$4:$B$13,2,0),"")</f>
        <v/>
      </c>
      <c r="V161" s="14" t="str">
        <f aca="false">IFERROR(VLOOKUP(TRIM('📥 Respostas'!Y161),'⚙️ Config'!$A$4:$B$13,2,0),"")</f>
        <v/>
      </c>
      <c r="W161" s="14" t="str">
        <f aca="false">IFERROR(VLOOKUP(TRIM('📥 Respostas'!Z161),'⚙️ Config'!$A$4:$B$13,2,0),"")</f>
        <v/>
      </c>
      <c r="X161" s="14" t="str">
        <f aca="false">IFERROR(VLOOKUP(TRIM('📥 Respostas'!AA161),'⚙️ Config'!$A$4:$B$13,2,0),"")</f>
        <v/>
      </c>
      <c r="Y161" s="14" t="str">
        <f aca="false">IFERROR(VLOOKUP(TRIM('📥 Respostas'!AB161),'⚙️ Config'!$A$4:$B$13,2,0),"")</f>
        <v/>
      </c>
      <c r="Z161" s="14" t="str">
        <f aca="false">IFERROR(VLOOKUP(TRIM('📥 Respostas'!AC161),'⚙️ Config'!$A$4:$B$13,2,0),"")</f>
        <v/>
      </c>
      <c r="AA161" s="14" t="str">
        <f aca="false">IFERROR(VLOOKUP(TRIM('📥 Respostas'!AD161),'⚙️ Config'!$A$4:$B$13,2,0),"")</f>
        <v/>
      </c>
      <c r="AB161" s="14" t="str">
        <f aca="false">IFERROR(VLOOKUP(TRIM('📥 Respostas'!AE161),'⚙️ Config'!$A$4:$B$13,2,0),"")</f>
        <v/>
      </c>
      <c r="AC161" s="14" t="str">
        <f aca="false">IFERROR(VLOOKUP(TRIM('📥 Respostas'!AF161),'⚙️ Config'!$A$4:$B$13,2,0),"")</f>
        <v/>
      </c>
      <c r="AD161" s="14" t="str">
        <f aca="false">IFERROR(VLOOKUP(TRIM('📥 Respostas'!AG161),'⚙️ Config'!$A$4:$B$13,2,0),"")</f>
        <v/>
      </c>
      <c r="AE161" s="14" t="str">
        <f aca="false">IFERROR(VLOOKUP(TRIM('📥 Respostas'!AH161),'⚙️ Config'!$A$4:$B$13,2,0),"")</f>
        <v/>
      </c>
      <c r="AF161" s="14" t="str">
        <f aca="false">IFERROR(VLOOKUP(TRIM('📥 Respostas'!AI161),'⚙️ Config'!$C$4:$D$11,2,0),"")</f>
        <v/>
      </c>
      <c r="AG161" s="14" t="str">
        <f aca="false">IFERROR(VLOOKUP(TRIM('📥 Respostas'!AJ161),'⚙️ Config'!$A$4:$B$13,2,0),"")</f>
        <v/>
      </c>
      <c r="AH161" s="14" t="str">
        <f aca="false">IFERROR(VLOOKUP(TRIM('📥 Respostas'!AK161),'⚙️ Config'!$A$4:$B$13,2,0),"")</f>
        <v/>
      </c>
      <c r="AI161" s="14" t="str">
        <f aca="false">IFERROR(VLOOKUP(TRIM('📥 Respostas'!AL161),'⚙️ Config'!$A$4:$B$13,2,0),"")</f>
        <v/>
      </c>
      <c r="AJ161" s="14" t="str">
        <f aca="false">IFERROR(VLOOKUP(TRIM('📥 Respostas'!AM161),'⚙️ Config'!$A$4:$B$13,2,0),"")</f>
        <v/>
      </c>
      <c r="AK161" s="14" t="str">
        <f aca="false">IFERROR(VLOOKUP(TRIM('📥 Respostas'!AN161),'⚙️ Config'!$A$4:$B$13,2,0),"")</f>
        <v/>
      </c>
      <c r="AL161" s="14" t="str">
        <f aca="false">IFERROR(VLOOKUP(TRIM('📥 Respostas'!AO161),'⚙️ Config'!$A$4:$B$13,2,0),"")</f>
        <v/>
      </c>
      <c r="AM161" s="14" t="str">
        <f aca="false">IFERROR(VLOOKUP(TRIM('📥 Respostas'!AP161),'⚙️ Config'!$A$4:$B$13,2,0),"")</f>
        <v/>
      </c>
      <c r="AN161" s="14" t="str">
        <f aca="false">IFERROR(VLOOKUP(TRIM('📥 Respostas'!AQ161),'⚙️ Config'!$A$4:$B$13,2,0),"")</f>
        <v/>
      </c>
      <c r="AO161" s="14" t="str">
        <f aca="false">IFERROR(VLOOKUP(TRIM('📥 Respostas'!AR161),'⚙️ Config'!$A$4:$B$13,2,0),"")</f>
        <v/>
      </c>
      <c r="AP161" s="14" t="str">
        <f aca="false">IFERROR(VLOOKUP(TRIM('📥 Respostas'!AS161),'⚙️ Config'!$A$4:$B$13,2,0),"")</f>
        <v/>
      </c>
      <c r="AQ161" s="14" t="str">
        <f aca="false">IFERROR(VLOOKUP(TRIM('📥 Respostas'!AT161),'⚙️ Config'!$A$4:$B$13,2,0),"")</f>
        <v/>
      </c>
      <c r="AR161" s="14" t="str">
        <f aca="false">IFERROR(VLOOKUP(TRIM('📥 Respostas'!AU161),'⚙️ Config'!$A$4:$B$13,2,0),"")</f>
        <v/>
      </c>
    </row>
    <row r="162" customFormat="false" ht="15" hidden="false" customHeight="false" outlineLevel="0" collapsed="false">
      <c r="A162" s="12" t="str">
        <f aca="false">IF(ISBLANK('📥 Respostas'!D162),"",ROW()-3)</f>
        <v/>
      </c>
      <c r="B162" s="12" t="n">
        <f aca="false">'📥 Respostas'!D162</f>
        <v>0</v>
      </c>
      <c r="C162" s="13" t="n">
        <f aca="false">'📥 Respostas'!C162</f>
        <v>0</v>
      </c>
      <c r="D162" s="14" t="str">
        <f aca="false">IFERROR(VLOOKUP(TRIM('📥 Respostas'!G162),'⚙️ Config'!$A$4:$B$13,2,0),"")</f>
        <v/>
      </c>
      <c r="E162" s="14" t="str">
        <f aca="false">IFERROR(VLOOKUP(TRIM('📥 Respostas'!H162),'⚙️ Config'!$A$4:$B$13,2,0),"")</f>
        <v/>
      </c>
      <c r="F162" s="14" t="str">
        <f aca="false">IFERROR(VLOOKUP(TRIM('📥 Respostas'!I162),'⚙️ Config'!$A$4:$B$13,2,0),"")</f>
        <v/>
      </c>
      <c r="G162" s="14" t="str">
        <f aca="false">IFERROR(VLOOKUP(TRIM('📥 Respostas'!J162),'⚙️ Config'!$A$4:$B$13,2,0),"")</f>
        <v/>
      </c>
      <c r="H162" s="14" t="str">
        <f aca="false">IFERROR(VLOOKUP(TRIM('📥 Respostas'!K162),'⚙️ Config'!$A$4:$B$13,2,0),"")</f>
        <v/>
      </c>
      <c r="I162" s="14" t="str">
        <f aca="false">IFERROR(VLOOKUP(TRIM('📥 Respostas'!L162),'⚙️ Config'!$A$4:$B$13,2,0),"")</f>
        <v/>
      </c>
      <c r="J162" s="14" t="str">
        <f aca="false">IFERROR(VLOOKUP(TRIM('📥 Respostas'!M162),'⚙️ Config'!$A$4:$B$13,2,0),"")</f>
        <v/>
      </c>
      <c r="K162" s="14" t="str">
        <f aca="false">IFERROR(VLOOKUP(TRIM('📥 Respostas'!N162),'⚙️ Config'!$A$4:$B$13,2,0),"")</f>
        <v/>
      </c>
      <c r="L162" s="14" t="str">
        <f aca="false">IFERROR(VLOOKUP(TRIM('📥 Respostas'!O162),'⚙️ Config'!$A$4:$B$13,2,0),"")</f>
        <v/>
      </c>
      <c r="M162" s="14" t="str">
        <f aca="false">IFERROR(VLOOKUP(TRIM('📥 Respostas'!P162),'⚙️ Config'!$A$4:$B$13,2,0),"")</f>
        <v/>
      </c>
      <c r="N162" s="14" t="str">
        <f aca="false">IFERROR(VLOOKUP(TRIM('📥 Respostas'!Q162),'⚙️ Config'!$A$4:$B$13,2,0),"")</f>
        <v/>
      </c>
      <c r="O162" s="14" t="str">
        <f aca="false">IFERROR(VLOOKUP(TRIM('📥 Respostas'!R162),'⚙️ Config'!$A$4:$B$13,2,0),"")</f>
        <v/>
      </c>
      <c r="P162" s="14" t="str">
        <f aca="false">IFERROR(VLOOKUP(TRIM('📥 Respostas'!S162),'⚙️ Config'!$A$4:$B$13,2,0),"")</f>
        <v/>
      </c>
      <c r="Q162" s="14" t="str">
        <f aca="false">IFERROR(VLOOKUP(TRIM('📥 Respostas'!T162),'⚙️ Config'!$A$4:$B$13,2,0),"")</f>
        <v/>
      </c>
      <c r="R162" s="14" t="str">
        <f aca="false">IFERROR(VLOOKUP(TRIM('📥 Respostas'!U162),'⚙️ Config'!$A$4:$B$13,2,0),"")</f>
        <v/>
      </c>
      <c r="S162" s="14" t="str">
        <f aca="false">IFERROR(VLOOKUP(TRIM('📥 Respostas'!V162),'⚙️ Config'!$A$4:$B$13,2,0),"")</f>
        <v/>
      </c>
      <c r="T162" s="14" t="str">
        <f aca="false">IFERROR(VLOOKUP(TRIM('📥 Respostas'!W162),'⚙️ Config'!$A$4:$B$13,2,0),"")</f>
        <v/>
      </c>
      <c r="U162" s="14" t="str">
        <f aca="false">IFERROR(VLOOKUP(TRIM('📥 Respostas'!X162),'⚙️ Config'!$A$4:$B$13,2,0),"")</f>
        <v/>
      </c>
      <c r="V162" s="14" t="str">
        <f aca="false">IFERROR(VLOOKUP(TRIM('📥 Respostas'!Y162),'⚙️ Config'!$A$4:$B$13,2,0),"")</f>
        <v/>
      </c>
      <c r="W162" s="14" t="str">
        <f aca="false">IFERROR(VLOOKUP(TRIM('📥 Respostas'!Z162),'⚙️ Config'!$A$4:$B$13,2,0),"")</f>
        <v/>
      </c>
      <c r="X162" s="14" t="str">
        <f aca="false">IFERROR(VLOOKUP(TRIM('📥 Respostas'!AA162),'⚙️ Config'!$A$4:$B$13,2,0),"")</f>
        <v/>
      </c>
      <c r="Y162" s="14" t="str">
        <f aca="false">IFERROR(VLOOKUP(TRIM('📥 Respostas'!AB162),'⚙️ Config'!$A$4:$B$13,2,0),"")</f>
        <v/>
      </c>
      <c r="Z162" s="14" t="str">
        <f aca="false">IFERROR(VLOOKUP(TRIM('📥 Respostas'!AC162),'⚙️ Config'!$A$4:$B$13,2,0),"")</f>
        <v/>
      </c>
      <c r="AA162" s="14" t="str">
        <f aca="false">IFERROR(VLOOKUP(TRIM('📥 Respostas'!AD162),'⚙️ Config'!$A$4:$B$13,2,0),"")</f>
        <v/>
      </c>
      <c r="AB162" s="14" t="str">
        <f aca="false">IFERROR(VLOOKUP(TRIM('📥 Respostas'!AE162),'⚙️ Config'!$A$4:$B$13,2,0),"")</f>
        <v/>
      </c>
      <c r="AC162" s="14" t="str">
        <f aca="false">IFERROR(VLOOKUP(TRIM('📥 Respostas'!AF162),'⚙️ Config'!$A$4:$B$13,2,0),"")</f>
        <v/>
      </c>
      <c r="AD162" s="14" t="str">
        <f aca="false">IFERROR(VLOOKUP(TRIM('📥 Respostas'!AG162),'⚙️ Config'!$A$4:$B$13,2,0),"")</f>
        <v/>
      </c>
      <c r="AE162" s="14" t="str">
        <f aca="false">IFERROR(VLOOKUP(TRIM('📥 Respostas'!AH162),'⚙️ Config'!$A$4:$B$13,2,0),"")</f>
        <v/>
      </c>
      <c r="AF162" s="14" t="str">
        <f aca="false">IFERROR(VLOOKUP(TRIM('📥 Respostas'!AI162),'⚙️ Config'!$C$4:$D$11,2,0),"")</f>
        <v/>
      </c>
      <c r="AG162" s="14" t="str">
        <f aca="false">IFERROR(VLOOKUP(TRIM('📥 Respostas'!AJ162),'⚙️ Config'!$A$4:$B$13,2,0),"")</f>
        <v/>
      </c>
      <c r="AH162" s="14" t="str">
        <f aca="false">IFERROR(VLOOKUP(TRIM('📥 Respostas'!AK162),'⚙️ Config'!$A$4:$B$13,2,0),"")</f>
        <v/>
      </c>
      <c r="AI162" s="14" t="str">
        <f aca="false">IFERROR(VLOOKUP(TRIM('📥 Respostas'!AL162),'⚙️ Config'!$A$4:$B$13,2,0),"")</f>
        <v/>
      </c>
      <c r="AJ162" s="14" t="str">
        <f aca="false">IFERROR(VLOOKUP(TRIM('📥 Respostas'!AM162),'⚙️ Config'!$A$4:$B$13,2,0),"")</f>
        <v/>
      </c>
      <c r="AK162" s="14" t="str">
        <f aca="false">IFERROR(VLOOKUP(TRIM('📥 Respostas'!AN162),'⚙️ Config'!$A$4:$B$13,2,0),"")</f>
        <v/>
      </c>
      <c r="AL162" s="14" t="str">
        <f aca="false">IFERROR(VLOOKUP(TRIM('📥 Respostas'!AO162),'⚙️ Config'!$A$4:$B$13,2,0),"")</f>
        <v/>
      </c>
      <c r="AM162" s="14" t="str">
        <f aca="false">IFERROR(VLOOKUP(TRIM('📥 Respostas'!AP162),'⚙️ Config'!$A$4:$B$13,2,0),"")</f>
        <v/>
      </c>
      <c r="AN162" s="14" t="str">
        <f aca="false">IFERROR(VLOOKUP(TRIM('📥 Respostas'!AQ162),'⚙️ Config'!$A$4:$B$13,2,0),"")</f>
        <v/>
      </c>
      <c r="AO162" s="14" t="str">
        <f aca="false">IFERROR(VLOOKUP(TRIM('📥 Respostas'!AR162),'⚙️ Config'!$A$4:$B$13,2,0),"")</f>
        <v/>
      </c>
      <c r="AP162" s="14" t="str">
        <f aca="false">IFERROR(VLOOKUP(TRIM('📥 Respostas'!AS162),'⚙️ Config'!$A$4:$B$13,2,0),"")</f>
        <v/>
      </c>
      <c r="AQ162" s="14" t="str">
        <f aca="false">IFERROR(VLOOKUP(TRIM('📥 Respostas'!AT162),'⚙️ Config'!$A$4:$B$13,2,0),"")</f>
        <v/>
      </c>
      <c r="AR162" s="14" t="str">
        <f aca="false">IFERROR(VLOOKUP(TRIM('📥 Respostas'!AU162),'⚙️ Config'!$A$4:$B$13,2,0),"")</f>
        <v/>
      </c>
    </row>
    <row r="163" customFormat="false" ht="15" hidden="false" customHeight="false" outlineLevel="0" collapsed="false">
      <c r="A163" s="15" t="str">
        <f aca="false">IF(ISBLANK('📥 Respostas'!D163),"",ROW()-3)</f>
        <v/>
      </c>
      <c r="B163" s="15" t="n">
        <f aca="false">'📥 Respostas'!D163</f>
        <v>0</v>
      </c>
      <c r="C163" s="5" t="n">
        <f aca="false">'📥 Respostas'!C163</f>
        <v>0</v>
      </c>
      <c r="D163" s="14" t="str">
        <f aca="false">IFERROR(VLOOKUP(TRIM('📥 Respostas'!G163),'⚙️ Config'!$A$4:$B$13,2,0),"")</f>
        <v/>
      </c>
      <c r="E163" s="14" t="str">
        <f aca="false">IFERROR(VLOOKUP(TRIM('📥 Respostas'!H163),'⚙️ Config'!$A$4:$B$13,2,0),"")</f>
        <v/>
      </c>
      <c r="F163" s="14" t="str">
        <f aca="false">IFERROR(VLOOKUP(TRIM('📥 Respostas'!I163),'⚙️ Config'!$A$4:$B$13,2,0),"")</f>
        <v/>
      </c>
      <c r="G163" s="14" t="str">
        <f aca="false">IFERROR(VLOOKUP(TRIM('📥 Respostas'!J163),'⚙️ Config'!$A$4:$B$13,2,0),"")</f>
        <v/>
      </c>
      <c r="H163" s="14" t="str">
        <f aca="false">IFERROR(VLOOKUP(TRIM('📥 Respostas'!K163),'⚙️ Config'!$A$4:$B$13,2,0),"")</f>
        <v/>
      </c>
      <c r="I163" s="14" t="str">
        <f aca="false">IFERROR(VLOOKUP(TRIM('📥 Respostas'!L163),'⚙️ Config'!$A$4:$B$13,2,0),"")</f>
        <v/>
      </c>
      <c r="J163" s="14" t="str">
        <f aca="false">IFERROR(VLOOKUP(TRIM('📥 Respostas'!M163),'⚙️ Config'!$A$4:$B$13,2,0),"")</f>
        <v/>
      </c>
      <c r="K163" s="14" t="str">
        <f aca="false">IFERROR(VLOOKUP(TRIM('📥 Respostas'!N163),'⚙️ Config'!$A$4:$B$13,2,0),"")</f>
        <v/>
      </c>
      <c r="L163" s="14" t="str">
        <f aca="false">IFERROR(VLOOKUP(TRIM('📥 Respostas'!O163),'⚙️ Config'!$A$4:$B$13,2,0),"")</f>
        <v/>
      </c>
      <c r="M163" s="14" t="str">
        <f aca="false">IFERROR(VLOOKUP(TRIM('📥 Respostas'!P163),'⚙️ Config'!$A$4:$B$13,2,0),"")</f>
        <v/>
      </c>
      <c r="N163" s="14" t="str">
        <f aca="false">IFERROR(VLOOKUP(TRIM('📥 Respostas'!Q163),'⚙️ Config'!$A$4:$B$13,2,0),"")</f>
        <v/>
      </c>
      <c r="O163" s="14" t="str">
        <f aca="false">IFERROR(VLOOKUP(TRIM('📥 Respostas'!R163),'⚙️ Config'!$A$4:$B$13,2,0),"")</f>
        <v/>
      </c>
      <c r="P163" s="14" t="str">
        <f aca="false">IFERROR(VLOOKUP(TRIM('📥 Respostas'!S163),'⚙️ Config'!$A$4:$B$13,2,0),"")</f>
        <v/>
      </c>
      <c r="Q163" s="14" t="str">
        <f aca="false">IFERROR(VLOOKUP(TRIM('📥 Respostas'!T163),'⚙️ Config'!$A$4:$B$13,2,0),"")</f>
        <v/>
      </c>
      <c r="R163" s="14" t="str">
        <f aca="false">IFERROR(VLOOKUP(TRIM('📥 Respostas'!U163),'⚙️ Config'!$A$4:$B$13,2,0),"")</f>
        <v/>
      </c>
      <c r="S163" s="14" t="str">
        <f aca="false">IFERROR(VLOOKUP(TRIM('📥 Respostas'!V163),'⚙️ Config'!$A$4:$B$13,2,0),"")</f>
        <v/>
      </c>
      <c r="T163" s="14" t="str">
        <f aca="false">IFERROR(VLOOKUP(TRIM('📥 Respostas'!W163),'⚙️ Config'!$A$4:$B$13,2,0),"")</f>
        <v/>
      </c>
      <c r="U163" s="14" t="str">
        <f aca="false">IFERROR(VLOOKUP(TRIM('📥 Respostas'!X163),'⚙️ Config'!$A$4:$B$13,2,0),"")</f>
        <v/>
      </c>
      <c r="V163" s="14" t="str">
        <f aca="false">IFERROR(VLOOKUP(TRIM('📥 Respostas'!Y163),'⚙️ Config'!$A$4:$B$13,2,0),"")</f>
        <v/>
      </c>
      <c r="W163" s="14" t="str">
        <f aca="false">IFERROR(VLOOKUP(TRIM('📥 Respostas'!Z163),'⚙️ Config'!$A$4:$B$13,2,0),"")</f>
        <v/>
      </c>
      <c r="X163" s="14" t="str">
        <f aca="false">IFERROR(VLOOKUP(TRIM('📥 Respostas'!AA163),'⚙️ Config'!$A$4:$B$13,2,0),"")</f>
        <v/>
      </c>
      <c r="Y163" s="14" t="str">
        <f aca="false">IFERROR(VLOOKUP(TRIM('📥 Respostas'!AB163),'⚙️ Config'!$A$4:$B$13,2,0),"")</f>
        <v/>
      </c>
      <c r="Z163" s="14" t="str">
        <f aca="false">IFERROR(VLOOKUP(TRIM('📥 Respostas'!AC163),'⚙️ Config'!$A$4:$B$13,2,0),"")</f>
        <v/>
      </c>
      <c r="AA163" s="14" t="str">
        <f aca="false">IFERROR(VLOOKUP(TRIM('📥 Respostas'!AD163),'⚙️ Config'!$A$4:$B$13,2,0),"")</f>
        <v/>
      </c>
      <c r="AB163" s="14" t="str">
        <f aca="false">IFERROR(VLOOKUP(TRIM('📥 Respostas'!AE163),'⚙️ Config'!$A$4:$B$13,2,0),"")</f>
        <v/>
      </c>
      <c r="AC163" s="14" t="str">
        <f aca="false">IFERROR(VLOOKUP(TRIM('📥 Respostas'!AF163),'⚙️ Config'!$A$4:$B$13,2,0),"")</f>
        <v/>
      </c>
      <c r="AD163" s="14" t="str">
        <f aca="false">IFERROR(VLOOKUP(TRIM('📥 Respostas'!AG163),'⚙️ Config'!$A$4:$B$13,2,0),"")</f>
        <v/>
      </c>
      <c r="AE163" s="14" t="str">
        <f aca="false">IFERROR(VLOOKUP(TRIM('📥 Respostas'!AH163),'⚙️ Config'!$A$4:$B$13,2,0),"")</f>
        <v/>
      </c>
      <c r="AF163" s="14" t="str">
        <f aca="false">IFERROR(VLOOKUP(TRIM('📥 Respostas'!AI163),'⚙️ Config'!$C$4:$D$11,2,0),"")</f>
        <v/>
      </c>
      <c r="AG163" s="14" t="str">
        <f aca="false">IFERROR(VLOOKUP(TRIM('📥 Respostas'!AJ163),'⚙️ Config'!$A$4:$B$13,2,0),"")</f>
        <v/>
      </c>
      <c r="AH163" s="14" t="str">
        <f aca="false">IFERROR(VLOOKUP(TRIM('📥 Respostas'!AK163),'⚙️ Config'!$A$4:$B$13,2,0),"")</f>
        <v/>
      </c>
      <c r="AI163" s="14" t="str">
        <f aca="false">IFERROR(VLOOKUP(TRIM('📥 Respostas'!AL163),'⚙️ Config'!$A$4:$B$13,2,0),"")</f>
        <v/>
      </c>
      <c r="AJ163" s="14" t="str">
        <f aca="false">IFERROR(VLOOKUP(TRIM('📥 Respostas'!AM163),'⚙️ Config'!$A$4:$B$13,2,0),"")</f>
        <v/>
      </c>
      <c r="AK163" s="14" t="str">
        <f aca="false">IFERROR(VLOOKUP(TRIM('📥 Respostas'!AN163),'⚙️ Config'!$A$4:$B$13,2,0),"")</f>
        <v/>
      </c>
      <c r="AL163" s="14" t="str">
        <f aca="false">IFERROR(VLOOKUP(TRIM('📥 Respostas'!AO163),'⚙️ Config'!$A$4:$B$13,2,0),"")</f>
        <v/>
      </c>
      <c r="AM163" s="14" t="str">
        <f aca="false">IFERROR(VLOOKUP(TRIM('📥 Respostas'!AP163),'⚙️ Config'!$A$4:$B$13,2,0),"")</f>
        <v/>
      </c>
      <c r="AN163" s="14" t="str">
        <f aca="false">IFERROR(VLOOKUP(TRIM('📥 Respostas'!AQ163),'⚙️ Config'!$A$4:$B$13,2,0),"")</f>
        <v/>
      </c>
      <c r="AO163" s="14" t="str">
        <f aca="false">IFERROR(VLOOKUP(TRIM('📥 Respostas'!AR163),'⚙️ Config'!$A$4:$B$13,2,0),"")</f>
        <v/>
      </c>
      <c r="AP163" s="14" t="str">
        <f aca="false">IFERROR(VLOOKUP(TRIM('📥 Respostas'!AS163),'⚙️ Config'!$A$4:$B$13,2,0),"")</f>
        <v/>
      </c>
      <c r="AQ163" s="14" t="str">
        <f aca="false">IFERROR(VLOOKUP(TRIM('📥 Respostas'!AT163),'⚙️ Config'!$A$4:$B$13,2,0),"")</f>
        <v/>
      </c>
      <c r="AR163" s="14" t="str">
        <f aca="false">IFERROR(VLOOKUP(TRIM('📥 Respostas'!AU163),'⚙️ Config'!$A$4:$B$13,2,0),"")</f>
        <v/>
      </c>
    </row>
    <row r="164" customFormat="false" ht="15" hidden="false" customHeight="false" outlineLevel="0" collapsed="false">
      <c r="A164" s="12" t="str">
        <f aca="false">IF(ISBLANK('📥 Respostas'!D164),"",ROW()-3)</f>
        <v/>
      </c>
      <c r="B164" s="12" t="n">
        <f aca="false">'📥 Respostas'!D164</f>
        <v>0</v>
      </c>
      <c r="C164" s="13" t="n">
        <f aca="false">'📥 Respostas'!C164</f>
        <v>0</v>
      </c>
      <c r="D164" s="14" t="str">
        <f aca="false">IFERROR(VLOOKUP(TRIM('📥 Respostas'!G164),'⚙️ Config'!$A$4:$B$13,2,0),"")</f>
        <v/>
      </c>
      <c r="E164" s="14" t="str">
        <f aca="false">IFERROR(VLOOKUP(TRIM('📥 Respostas'!H164),'⚙️ Config'!$A$4:$B$13,2,0),"")</f>
        <v/>
      </c>
      <c r="F164" s="14" t="str">
        <f aca="false">IFERROR(VLOOKUP(TRIM('📥 Respostas'!I164),'⚙️ Config'!$A$4:$B$13,2,0),"")</f>
        <v/>
      </c>
      <c r="G164" s="14" t="str">
        <f aca="false">IFERROR(VLOOKUP(TRIM('📥 Respostas'!J164),'⚙️ Config'!$A$4:$B$13,2,0),"")</f>
        <v/>
      </c>
      <c r="H164" s="14" t="str">
        <f aca="false">IFERROR(VLOOKUP(TRIM('📥 Respostas'!K164),'⚙️ Config'!$A$4:$B$13,2,0),"")</f>
        <v/>
      </c>
      <c r="I164" s="14" t="str">
        <f aca="false">IFERROR(VLOOKUP(TRIM('📥 Respostas'!L164),'⚙️ Config'!$A$4:$B$13,2,0),"")</f>
        <v/>
      </c>
      <c r="J164" s="14" t="str">
        <f aca="false">IFERROR(VLOOKUP(TRIM('📥 Respostas'!M164),'⚙️ Config'!$A$4:$B$13,2,0),"")</f>
        <v/>
      </c>
      <c r="K164" s="14" t="str">
        <f aca="false">IFERROR(VLOOKUP(TRIM('📥 Respostas'!N164),'⚙️ Config'!$A$4:$B$13,2,0),"")</f>
        <v/>
      </c>
      <c r="L164" s="14" t="str">
        <f aca="false">IFERROR(VLOOKUP(TRIM('📥 Respostas'!O164),'⚙️ Config'!$A$4:$B$13,2,0),"")</f>
        <v/>
      </c>
      <c r="M164" s="14" t="str">
        <f aca="false">IFERROR(VLOOKUP(TRIM('📥 Respostas'!P164),'⚙️ Config'!$A$4:$B$13,2,0),"")</f>
        <v/>
      </c>
      <c r="N164" s="14" t="str">
        <f aca="false">IFERROR(VLOOKUP(TRIM('📥 Respostas'!Q164),'⚙️ Config'!$A$4:$B$13,2,0),"")</f>
        <v/>
      </c>
      <c r="O164" s="14" t="str">
        <f aca="false">IFERROR(VLOOKUP(TRIM('📥 Respostas'!R164),'⚙️ Config'!$A$4:$B$13,2,0),"")</f>
        <v/>
      </c>
      <c r="P164" s="14" t="str">
        <f aca="false">IFERROR(VLOOKUP(TRIM('📥 Respostas'!S164),'⚙️ Config'!$A$4:$B$13,2,0),"")</f>
        <v/>
      </c>
      <c r="Q164" s="14" t="str">
        <f aca="false">IFERROR(VLOOKUP(TRIM('📥 Respostas'!T164),'⚙️ Config'!$A$4:$B$13,2,0),"")</f>
        <v/>
      </c>
      <c r="R164" s="14" t="str">
        <f aca="false">IFERROR(VLOOKUP(TRIM('📥 Respostas'!U164),'⚙️ Config'!$A$4:$B$13,2,0),"")</f>
        <v/>
      </c>
      <c r="S164" s="14" t="str">
        <f aca="false">IFERROR(VLOOKUP(TRIM('📥 Respostas'!V164),'⚙️ Config'!$A$4:$B$13,2,0),"")</f>
        <v/>
      </c>
      <c r="T164" s="14" t="str">
        <f aca="false">IFERROR(VLOOKUP(TRIM('📥 Respostas'!W164),'⚙️ Config'!$A$4:$B$13,2,0),"")</f>
        <v/>
      </c>
      <c r="U164" s="14" t="str">
        <f aca="false">IFERROR(VLOOKUP(TRIM('📥 Respostas'!X164),'⚙️ Config'!$A$4:$B$13,2,0),"")</f>
        <v/>
      </c>
      <c r="V164" s="14" t="str">
        <f aca="false">IFERROR(VLOOKUP(TRIM('📥 Respostas'!Y164),'⚙️ Config'!$A$4:$B$13,2,0),"")</f>
        <v/>
      </c>
      <c r="W164" s="14" t="str">
        <f aca="false">IFERROR(VLOOKUP(TRIM('📥 Respostas'!Z164),'⚙️ Config'!$A$4:$B$13,2,0),"")</f>
        <v/>
      </c>
      <c r="X164" s="14" t="str">
        <f aca="false">IFERROR(VLOOKUP(TRIM('📥 Respostas'!AA164),'⚙️ Config'!$A$4:$B$13,2,0),"")</f>
        <v/>
      </c>
      <c r="Y164" s="14" t="str">
        <f aca="false">IFERROR(VLOOKUP(TRIM('📥 Respostas'!AB164),'⚙️ Config'!$A$4:$B$13,2,0),"")</f>
        <v/>
      </c>
      <c r="Z164" s="14" t="str">
        <f aca="false">IFERROR(VLOOKUP(TRIM('📥 Respostas'!AC164),'⚙️ Config'!$A$4:$B$13,2,0),"")</f>
        <v/>
      </c>
      <c r="AA164" s="14" t="str">
        <f aca="false">IFERROR(VLOOKUP(TRIM('📥 Respostas'!AD164),'⚙️ Config'!$A$4:$B$13,2,0),"")</f>
        <v/>
      </c>
      <c r="AB164" s="14" t="str">
        <f aca="false">IFERROR(VLOOKUP(TRIM('📥 Respostas'!AE164),'⚙️ Config'!$A$4:$B$13,2,0),"")</f>
        <v/>
      </c>
      <c r="AC164" s="14" t="str">
        <f aca="false">IFERROR(VLOOKUP(TRIM('📥 Respostas'!AF164),'⚙️ Config'!$A$4:$B$13,2,0),"")</f>
        <v/>
      </c>
      <c r="AD164" s="14" t="str">
        <f aca="false">IFERROR(VLOOKUP(TRIM('📥 Respostas'!AG164),'⚙️ Config'!$A$4:$B$13,2,0),"")</f>
        <v/>
      </c>
      <c r="AE164" s="14" t="str">
        <f aca="false">IFERROR(VLOOKUP(TRIM('📥 Respostas'!AH164),'⚙️ Config'!$A$4:$B$13,2,0),"")</f>
        <v/>
      </c>
      <c r="AF164" s="14" t="str">
        <f aca="false">IFERROR(VLOOKUP(TRIM('📥 Respostas'!AI164),'⚙️ Config'!$C$4:$D$11,2,0),"")</f>
        <v/>
      </c>
      <c r="AG164" s="14" t="str">
        <f aca="false">IFERROR(VLOOKUP(TRIM('📥 Respostas'!AJ164),'⚙️ Config'!$A$4:$B$13,2,0),"")</f>
        <v/>
      </c>
      <c r="AH164" s="14" t="str">
        <f aca="false">IFERROR(VLOOKUP(TRIM('📥 Respostas'!AK164),'⚙️ Config'!$A$4:$B$13,2,0),"")</f>
        <v/>
      </c>
      <c r="AI164" s="14" t="str">
        <f aca="false">IFERROR(VLOOKUP(TRIM('📥 Respostas'!AL164),'⚙️ Config'!$A$4:$B$13,2,0),"")</f>
        <v/>
      </c>
      <c r="AJ164" s="14" t="str">
        <f aca="false">IFERROR(VLOOKUP(TRIM('📥 Respostas'!AM164),'⚙️ Config'!$A$4:$B$13,2,0),"")</f>
        <v/>
      </c>
      <c r="AK164" s="14" t="str">
        <f aca="false">IFERROR(VLOOKUP(TRIM('📥 Respostas'!AN164),'⚙️ Config'!$A$4:$B$13,2,0),"")</f>
        <v/>
      </c>
      <c r="AL164" s="14" t="str">
        <f aca="false">IFERROR(VLOOKUP(TRIM('📥 Respostas'!AO164),'⚙️ Config'!$A$4:$B$13,2,0),"")</f>
        <v/>
      </c>
      <c r="AM164" s="14" t="str">
        <f aca="false">IFERROR(VLOOKUP(TRIM('📥 Respostas'!AP164),'⚙️ Config'!$A$4:$B$13,2,0),"")</f>
        <v/>
      </c>
      <c r="AN164" s="14" t="str">
        <f aca="false">IFERROR(VLOOKUP(TRIM('📥 Respostas'!AQ164),'⚙️ Config'!$A$4:$B$13,2,0),"")</f>
        <v/>
      </c>
      <c r="AO164" s="14" t="str">
        <f aca="false">IFERROR(VLOOKUP(TRIM('📥 Respostas'!AR164),'⚙️ Config'!$A$4:$B$13,2,0),"")</f>
        <v/>
      </c>
      <c r="AP164" s="14" t="str">
        <f aca="false">IFERROR(VLOOKUP(TRIM('📥 Respostas'!AS164),'⚙️ Config'!$A$4:$B$13,2,0),"")</f>
        <v/>
      </c>
      <c r="AQ164" s="14" t="str">
        <f aca="false">IFERROR(VLOOKUP(TRIM('📥 Respostas'!AT164),'⚙️ Config'!$A$4:$B$13,2,0),"")</f>
        <v/>
      </c>
      <c r="AR164" s="14" t="str">
        <f aca="false">IFERROR(VLOOKUP(TRIM('📥 Respostas'!AU164),'⚙️ Config'!$A$4:$B$13,2,0),"")</f>
        <v/>
      </c>
    </row>
    <row r="165" customFormat="false" ht="15" hidden="false" customHeight="false" outlineLevel="0" collapsed="false">
      <c r="A165" s="15" t="str">
        <f aca="false">IF(ISBLANK('📥 Respostas'!D165),"",ROW()-3)</f>
        <v/>
      </c>
      <c r="B165" s="15" t="n">
        <f aca="false">'📥 Respostas'!D165</f>
        <v>0</v>
      </c>
      <c r="C165" s="5" t="n">
        <f aca="false">'📥 Respostas'!C165</f>
        <v>0</v>
      </c>
      <c r="D165" s="14" t="str">
        <f aca="false">IFERROR(VLOOKUP(TRIM('📥 Respostas'!G165),'⚙️ Config'!$A$4:$B$13,2,0),"")</f>
        <v/>
      </c>
      <c r="E165" s="14" t="str">
        <f aca="false">IFERROR(VLOOKUP(TRIM('📥 Respostas'!H165),'⚙️ Config'!$A$4:$B$13,2,0),"")</f>
        <v/>
      </c>
      <c r="F165" s="14" t="str">
        <f aca="false">IFERROR(VLOOKUP(TRIM('📥 Respostas'!I165),'⚙️ Config'!$A$4:$B$13,2,0),"")</f>
        <v/>
      </c>
      <c r="G165" s="14" t="str">
        <f aca="false">IFERROR(VLOOKUP(TRIM('📥 Respostas'!J165),'⚙️ Config'!$A$4:$B$13,2,0),"")</f>
        <v/>
      </c>
      <c r="H165" s="14" t="str">
        <f aca="false">IFERROR(VLOOKUP(TRIM('📥 Respostas'!K165),'⚙️ Config'!$A$4:$B$13,2,0),"")</f>
        <v/>
      </c>
      <c r="I165" s="14" t="str">
        <f aca="false">IFERROR(VLOOKUP(TRIM('📥 Respostas'!L165),'⚙️ Config'!$A$4:$B$13,2,0),"")</f>
        <v/>
      </c>
      <c r="J165" s="14" t="str">
        <f aca="false">IFERROR(VLOOKUP(TRIM('📥 Respostas'!M165),'⚙️ Config'!$A$4:$B$13,2,0),"")</f>
        <v/>
      </c>
      <c r="K165" s="14" t="str">
        <f aca="false">IFERROR(VLOOKUP(TRIM('📥 Respostas'!N165),'⚙️ Config'!$A$4:$B$13,2,0),"")</f>
        <v/>
      </c>
      <c r="L165" s="14" t="str">
        <f aca="false">IFERROR(VLOOKUP(TRIM('📥 Respostas'!O165),'⚙️ Config'!$A$4:$B$13,2,0),"")</f>
        <v/>
      </c>
      <c r="M165" s="14" t="str">
        <f aca="false">IFERROR(VLOOKUP(TRIM('📥 Respostas'!P165),'⚙️ Config'!$A$4:$B$13,2,0),"")</f>
        <v/>
      </c>
      <c r="N165" s="14" t="str">
        <f aca="false">IFERROR(VLOOKUP(TRIM('📥 Respostas'!Q165),'⚙️ Config'!$A$4:$B$13,2,0),"")</f>
        <v/>
      </c>
      <c r="O165" s="14" t="str">
        <f aca="false">IFERROR(VLOOKUP(TRIM('📥 Respostas'!R165),'⚙️ Config'!$A$4:$B$13,2,0),"")</f>
        <v/>
      </c>
      <c r="P165" s="14" t="str">
        <f aca="false">IFERROR(VLOOKUP(TRIM('📥 Respostas'!S165),'⚙️ Config'!$A$4:$B$13,2,0),"")</f>
        <v/>
      </c>
      <c r="Q165" s="14" t="str">
        <f aca="false">IFERROR(VLOOKUP(TRIM('📥 Respostas'!T165),'⚙️ Config'!$A$4:$B$13,2,0),"")</f>
        <v/>
      </c>
      <c r="R165" s="14" t="str">
        <f aca="false">IFERROR(VLOOKUP(TRIM('📥 Respostas'!U165),'⚙️ Config'!$A$4:$B$13,2,0),"")</f>
        <v/>
      </c>
      <c r="S165" s="14" t="str">
        <f aca="false">IFERROR(VLOOKUP(TRIM('📥 Respostas'!V165),'⚙️ Config'!$A$4:$B$13,2,0),"")</f>
        <v/>
      </c>
      <c r="T165" s="14" t="str">
        <f aca="false">IFERROR(VLOOKUP(TRIM('📥 Respostas'!W165),'⚙️ Config'!$A$4:$B$13,2,0),"")</f>
        <v/>
      </c>
      <c r="U165" s="14" t="str">
        <f aca="false">IFERROR(VLOOKUP(TRIM('📥 Respostas'!X165),'⚙️ Config'!$A$4:$B$13,2,0),"")</f>
        <v/>
      </c>
      <c r="V165" s="14" t="str">
        <f aca="false">IFERROR(VLOOKUP(TRIM('📥 Respostas'!Y165),'⚙️ Config'!$A$4:$B$13,2,0),"")</f>
        <v/>
      </c>
      <c r="W165" s="14" t="str">
        <f aca="false">IFERROR(VLOOKUP(TRIM('📥 Respostas'!Z165),'⚙️ Config'!$A$4:$B$13,2,0),"")</f>
        <v/>
      </c>
      <c r="X165" s="14" t="str">
        <f aca="false">IFERROR(VLOOKUP(TRIM('📥 Respostas'!AA165),'⚙️ Config'!$A$4:$B$13,2,0),"")</f>
        <v/>
      </c>
      <c r="Y165" s="14" t="str">
        <f aca="false">IFERROR(VLOOKUP(TRIM('📥 Respostas'!AB165),'⚙️ Config'!$A$4:$B$13,2,0),"")</f>
        <v/>
      </c>
      <c r="Z165" s="14" t="str">
        <f aca="false">IFERROR(VLOOKUP(TRIM('📥 Respostas'!AC165),'⚙️ Config'!$A$4:$B$13,2,0),"")</f>
        <v/>
      </c>
      <c r="AA165" s="14" t="str">
        <f aca="false">IFERROR(VLOOKUP(TRIM('📥 Respostas'!AD165),'⚙️ Config'!$A$4:$B$13,2,0),"")</f>
        <v/>
      </c>
      <c r="AB165" s="14" t="str">
        <f aca="false">IFERROR(VLOOKUP(TRIM('📥 Respostas'!AE165),'⚙️ Config'!$A$4:$B$13,2,0),"")</f>
        <v/>
      </c>
      <c r="AC165" s="14" t="str">
        <f aca="false">IFERROR(VLOOKUP(TRIM('📥 Respostas'!AF165),'⚙️ Config'!$A$4:$B$13,2,0),"")</f>
        <v/>
      </c>
      <c r="AD165" s="14" t="str">
        <f aca="false">IFERROR(VLOOKUP(TRIM('📥 Respostas'!AG165),'⚙️ Config'!$A$4:$B$13,2,0),"")</f>
        <v/>
      </c>
      <c r="AE165" s="14" t="str">
        <f aca="false">IFERROR(VLOOKUP(TRIM('📥 Respostas'!AH165),'⚙️ Config'!$A$4:$B$13,2,0),"")</f>
        <v/>
      </c>
      <c r="AF165" s="14" t="str">
        <f aca="false">IFERROR(VLOOKUP(TRIM('📥 Respostas'!AI165),'⚙️ Config'!$C$4:$D$11,2,0),"")</f>
        <v/>
      </c>
      <c r="AG165" s="14" t="str">
        <f aca="false">IFERROR(VLOOKUP(TRIM('📥 Respostas'!AJ165),'⚙️ Config'!$A$4:$B$13,2,0),"")</f>
        <v/>
      </c>
      <c r="AH165" s="14" t="str">
        <f aca="false">IFERROR(VLOOKUP(TRIM('📥 Respostas'!AK165),'⚙️ Config'!$A$4:$B$13,2,0),"")</f>
        <v/>
      </c>
      <c r="AI165" s="14" t="str">
        <f aca="false">IFERROR(VLOOKUP(TRIM('📥 Respostas'!AL165),'⚙️ Config'!$A$4:$B$13,2,0),"")</f>
        <v/>
      </c>
      <c r="AJ165" s="14" t="str">
        <f aca="false">IFERROR(VLOOKUP(TRIM('📥 Respostas'!AM165),'⚙️ Config'!$A$4:$B$13,2,0),"")</f>
        <v/>
      </c>
      <c r="AK165" s="14" t="str">
        <f aca="false">IFERROR(VLOOKUP(TRIM('📥 Respostas'!AN165),'⚙️ Config'!$A$4:$B$13,2,0),"")</f>
        <v/>
      </c>
      <c r="AL165" s="14" t="str">
        <f aca="false">IFERROR(VLOOKUP(TRIM('📥 Respostas'!AO165),'⚙️ Config'!$A$4:$B$13,2,0),"")</f>
        <v/>
      </c>
      <c r="AM165" s="14" t="str">
        <f aca="false">IFERROR(VLOOKUP(TRIM('📥 Respostas'!AP165),'⚙️ Config'!$A$4:$B$13,2,0),"")</f>
        <v/>
      </c>
      <c r="AN165" s="14" t="str">
        <f aca="false">IFERROR(VLOOKUP(TRIM('📥 Respostas'!AQ165),'⚙️ Config'!$A$4:$B$13,2,0),"")</f>
        <v/>
      </c>
      <c r="AO165" s="14" t="str">
        <f aca="false">IFERROR(VLOOKUP(TRIM('📥 Respostas'!AR165),'⚙️ Config'!$A$4:$B$13,2,0),"")</f>
        <v/>
      </c>
      <c r="AP165" s="14" t="str">
        <f aca="false">IFERROR(VLOOKUP(TRIM('📥 Respostas'!AS165),'⚙️ Config'!$A$4:$B$13,2,0),"")</f>
        <v/>
      </c>
      <c r="AQ165" s="14" t="str">
        <f aca="false">IFERROR(VLOOKUP(TRIM('📥 Respostas'!AT165),'⚙️ Config'!$A$4:$B$13,2,0),"")</f>
        <v/>
      </c>
      <c r="AR165" s="14" t="str">
        <f aca="false">IFERROR(VLOOKUP(TRIM('📥 Respostas'!AU165),'⚙️ Config'!$A$4:$B$13,2,0),"")</f>
        <v/>
      </c>
    </row>
    <row r="166" customFormat="false" ht="15" hidden="false" customHeight="false" outlineLevel="0" collapsed="false">
      <c r="A166" s="12" t="str">
        <f aca="false">IF(ISBLANK('📥 Respostas'!D166),"",ROW()-3)</f>
        <v/>
      </c>
      <c r="B166" s="12" t="n">
        <f aca="false">'📥 Respostas'!D166</f>
        <v>0</v>
      </c>
      <c r="C166" s="13" t="n">
        <f aca="false">'📥 Respostas'!C166</f>
        <v>0</v>
      </c>
      <c r="D166" s="14" t="str">
        <f aca="false">IFERROR(VLOOKUP(TRIM('📥 Respostas'!G166),'⚙️ Config'!$A$4:$B$13,2,0),"")</f>
        <v/>
      </c>
      <c r="E166" s="14" t="str">
        <f aca="false">IFERROR(VLOOKUP(TRIM('📥 Respostas'!H166),'⚙️ Config'!$A$4:$B$13,2,0),"")</f>
        <v/>
      </c>
      <c r="F166" s="14" t="str">
        <f aca="false">IFERROR(VLOOKUP(TRIM('📥 Respostas'!I166),'⚙️ Config'!$A$4:$B$13,2,0),"")</f>
        <v/>
      </c>
      <c r="G166" s="14" t="str">
        <f aca="false">IFERROR(VLOOKUP(TRIM('📥 Respostas'!J166),'⚙️ Config'!$A$4:$B$13,2,0),"")</f>
        <v/>
      </c>
      <c r="H166" s="14" t="str">
        <f aca="false">IFERROR(VLOOKUP(TRIM('📥 Respostas'!K166),'⚙️ Config'!$A$4:$B$13,2,0),"")</f>
        <v/>
      </c>
      <c r="I166" s="14" t="str">
        <f aca="false">IFERROR(VLOOKUP(TRIM('📥 Respostas'!L166),'⚙️ Config'!$A$4:$B$13,2,0),"")</f>
        <v/>
      </c>
      <c r="J166" s="14" t="str">
        <f aca="false">IFERROR(VLOOKUP(TRIM('📥 Respostas'!M166),'⚙️ Config'!$A$4:$B$13,2,0),"")</f>
        <v/>
      </c>
      <c r="K166" s="14" t="str">
        <f aca="false">IFERROR(VLOOKUP(TRIM('📥 Respostas'!N166),'⚙️ Config'!$A$4:$B$13,2,0),"")</f>
        <v/>
      </c>
      <c r="L166" s="14" t="str">
        <f aca="false">IFERROR(VLOOKUP(TRIM('📥 Respostas'!O166),'⚙️ Config'!$A$4:$B$13,2,0),"")</f>
        <v/>
      </c>
      <c r="M166" s="14" t="str">
        <f aca="false">IFERROR(VLOOKUP(TRIM('📥 Respostas'!P166),'⚙️ Config'!$A$4:$B$13,2,0),"")</f>
        <v/>
      </c>
      <c r="N166" s="14" t="str">
        <f aca="false">IFERROR(VLOOKUP(TRIM('📥 Respostas'!Q166),'⚙️ Config'!$A$4:$B$13,2,0),"")</f>
        <v/>
      </c>
      <c r="O166" s="14" t="str">
        <f aca="false">IFERROR(VLOOKUP(TRIM('📥 Respostas'!R166),'⚙️ Config'!$A$4:$B$13,2,0),"")</f>
        <v/>
      </c>
      <c r="P166" s="14" t="str">
        <f aca="false">IFERROR(VLOOKUP(TRIM('📥 Respostas'!S166),'⚙️ Config'!$A$4:$B$13,2,0),"")</f>
        <v/>
      </c>
      <c r="Q166" s="14" t="str">
        <f aca="false">IFERROR(VLOOKUP(TRIM('📥 Respostas'!T166),'⚙️ Config'!$A$4:$B$13,2,0),"")</f>
        <v/>
      </c>
      <c r="R166" s="14" t="str">
        <f aca="false">IFERROR(VLOOKUP(TRIM('📥 Respostas'!U166),'⚙️ Config'!$A$4:$B$13,2,0),"")</f>
        <v/>
      </c>
      <c r="S166" s="14" t="str">
        <f aca="false">IFERROR(VLOOKUP(TRIM('📥 Respostas'!V166),'⚙️ Config'!$A$4:$B$13,2,0),"")</f>
        <v/>
      </c>
      <c r="T166" s="14" t="str">
        <f aca="false">IFERROR(VLOOKUP(TRIM('📥 Respostas'!W166),'⚙️ Config'!$A$4:$B$13,2,0),"")</f>
        <v/>
      </c>
      <c r="U166" s="14" t="str">
        <f aca="false">IFERROR(VLOOKUP(TRIM('📥 Respostas'!X166),'⚙️ Config'!$A$4:$B$13,2,0),"")</f>
        <v/>
      </c>
      <c r="V166" s="14" t="str">
        <f aca="false">IFERROR(VLOOKUP(TRIM('📥 Respostas'!Y166),'⚙️ Config'!$A$4:$B$13,2,0),"")</f>
        <v/>
      </c>
      <c r="W166" s="14" t="str">
        <f aca="false">IFERROR(VLOOKUP(TRIM('📥 Respostas'!Z166),'⚙️ Config'!$A$4:$B$13,2,0),"")</f>
        <v/>
      </c>
      <c r="X166" s="14" t="str">
        <f aca="false">IFERROR(VLOOKUP(TRIM('📥 Respostas'!AA166),'⚙️ Config'!$A$4:$B$13,2,0),"")</f>
        <v/>
      </c>
      <c r="Y166" s="14" t="str">
        <f aca="false">IFERROR(VLOOKUP(TRIM('📥 Respostas'!AB166),'⚙️ Config'!$A$4:$B$13,2,0),"")</f>
        <v/>
      </c>
      <c r="Z166" s="14" t="str">
        <f aca="false">IFERROR(VLOOKUP(TRIM('📥 Respostas'!AC166),'⚙️ Config'!$A$4:$B$13,2,0),"")</f>
        <v/>
      </c>
      <c r="AA166" s="14" t="str">
        <f aca="false">IFERROR(VLOOKUP(TRIM('📥 Respostas'!AD166),'⚙️ Config'!$A$4:$B$13,2,0),"")</f>
        <v/>
      </c>
      <c r="AB166" s="14" t="str">
        <f aca="false">IFERROR(VLOOKUP(TRIM('📥 Respostas'!AE166),'⚙️ Config'!$A$4:$B$13,2,0),"")</f>
        <v/>
      </c>
      <c r="AC166" s="14" t="str">
        <f aca="false">IFERROR(VLOOKUP(TRIM('📥 Respostas'!AF166),'⚙️ Config'!$A$4:$B$13,2,0),"")</f>
        <v/>
      </c>
      <c r="AD166" s="14" t="str">
        <f aca="false">IFERROR(VLOOKUP(TRIM('📥 Respostas'!AG166),'⚙️ Config'!$A$4:$B$13,2,0),"")</f>
        <v/>
      </c>
      <c r="AE166" s="14" t="str">
        <f aca="false">IFERROR(VLOOKUP(TRIM('📥 Respostas'!AH166),'⚙️ Config'!$A$4:$B$13,2,0),"")</f>
        <v/>
      </c>
      <c r="AF166" s="14" t="str">
        <f aca="false">IFERROR(VLOOKUP(TRIM('📥 Respostas'!AI166),'⚙️ Config'!$C$4:$D$11,2,0),"")</f>
        <v/>
      </c>
      <c r="AG166" s="14" t="str">
        <f aca="false">IFERROR(VLOOKUP(TRIM('📥 Respostas'!AJ166),'⚙️ Config'!$A$4:$B$13,2,0),"")</f>
        <v/>
      </c>
      <c r="AH166" s="14" t="str">
        <f aca="false">IFERROR(VLOOKUP(TRIM('📥 Respostas'!AK166),'⚙️ Config'!$A$4:$B$13,2,0),"")</f>
        <v/>
      </c>
      <c r="AI166" s="14" t="str">
        <f aca="false">IFERROR(VLOOKUP(TRIM('📥 Respostas'!AL166),'⚙️ Config'!$A$4:$B$13,2,0),"")</f>
        <v/>
      </c>
      <c r="AJ166" s="14" t="str">
        <f aca="false">IFERROR(VLOOKUP(TRIM('📥 Respostas'!AM166),'⚙️ Config'!$A$4:$B$13,2,0),"")</f>
        <v/>
      </c>
      <c r="AK166" s="14" t="str">
        <f aca="false">IFERROR(VLOOKUP(TRIM('📥 Respostas'!AN166),'⚙️ Config'!$A$4:$B$13,2,0),"")</f>
        <v/>
      </c>
      <c r="AL166" s="14" t="str">
        <f aca="false">IFERROR(VLOOKUP(TRIM('📥 Respostas'!AO166),'⚙️ Config'!$A$4:$B$13,2,0),"")</f>
        <v/>
      </c>
      <c r="AM166" s="14" t="str">
        <f aca="false">IFERROR(VLOOKUP(TRIM('📥 Respostas'!AP166),'⚙️ Config'!$A$4:$B$13,2,0),"")</f>
        <v/>
      </c>
      <c r="AN166" s="14" t="str">
        <f aca="false">IFERROR(VLOOKUP(TRIM('📥 Respostas'!AQ166),'⚙️ Config'!$A$4:$B$13,2,0),"")</f>
        <v/>
      </c>
      <c r="AO166" s="14" t="str">
        <f aca="false">IFERROR(VLOOKUP(TRIM('📥 Respostas'!AR166),'⚙️ Config'!$A$4:$B$13,2,0),"")</f>
        <v/>
      </c>
      <c r="AP166" s="14" t="str">
        <f aca="false">IFERROR(VLOOKUP(TRIM('📥 Respostas'!AS166),'⚙️ Config'!$A$4:$B$13,2,0),"")</f>
        <v/>
      </c>
      <c r="AQ166" s="14" t="str">
        <f aca="false">IFERROR(VLOOKUP(TRIM('📥 Respostas'!AT166),'⚙️ Config'!$A$4:$B$13,2,0),"")</f>
        <v/>
      </c>
      <c r="AR166" s="14" t="str">
        <f aca="false">IFERROR(VLOOKUP(TRIM('📥 Respostas'!AU166),'⚙️ Config'!$A$4:$B$13,2,0),"")</f>
        <v/>
      </c>
    </row>
    <row r="167" customFormat="false" ht="15" hidden="false" customHeight="false" outlineLevel="0" collapsed="false">
      <c r="A167" s="15" t="str">
        <f aca="false">IF(ISBLANK('📥 Respostas'!D167),"",ROW()-3)</f>
        <v/>
      </c>
      <c r="B167" s="15" t="n">
        <f aca="false">'📥 Respostas'!D167</f>
        <v>0</v>
      </c>
      <c r="C167" s="5" t="n">
        <f aca="false">'📥 Respostas'!C167</f>
        <v>0</v>
      </c>
      <c r="D167" s="14" t="str">
        <f aca="false">IFERROR(VLOOKUP(TRIM('📥 Respostas'!G167),'⚙️ Config'!$A$4:$B$13,2,0),"")</f>
        <v/>
      </c>
      <c r="E167" s="14" t="str">
        <f aca="false">IFERROR(VLOOKUP(TRIM('📥 Respostas'!H167),'⚙️ Config'!$A$4:$B$13,2,0),"")</f>
        <v/>
      </c>
      <c r="F167" s="14" t="str">
        <f aca="false">IFERROR(VLOOKUP(TRIM('📥 Respostas'!I167),'⚙️ Config'!$A$4:$B$13,2,0),"")</f>
        <v/>
      </c>
      <c r="G167" s="14" t="str">
        <f aca="false">IFERROR(VLOOKUP(TRIM('📥 Respostas'!J167),'⚙️ Config'!$A$4:$B$13,2,0),"")</f>
        <v/>
      </c>
      <c r="H167" s="14" t="str">
        <f aca="false">IFERROR(VLOOKUP(TRIM('📥 Respostas'!K167),'⚙️ Config'!$A$4:$B$13,2,0),"")</f>
        <v/>
      </c>
      <c r="I167" s="14" t="str">
        <f aca="false">IFERROR(VLOOKUP(TRIM('📥 Respostas'!L167),'⚙️ Config'!$A$4:$B$13,2,0),"")</f>
        <v/>
      </c>
      <c r="J167" s="14" t="str">
        <f aca="false">IFERROR(VLOOKUP(TRIM('📥 Respostas'!M167),'⚙️ Config'!$A$4:$B$13,2,0),"")</f>
        <v/>
      </c>
      <c r="K167" s="14" t="str">
        <f aca="false">IFERROR(VLOOKUP(TRIM('📥 Respostas'!N167),'⚙️ Config'!$A$4:$B$13,2,0),"")</f>
        <v/>
      </c>
      <c r="L167" s="14" t="str">
        <f aca="false">IFERROR(VLOOKUP(TRIM('📥 Respostas'!O167),'⚙️ Config'!$A$4:$B$13,2,0),"")</f>
        <v/>
      </c>
      <c r="M167" s="14" t="str">
        <f aca="false">IFERROR(VLOOKUP(TRIM('📥 Respostas'!P167),'⚙️ Config'!$A$4:$B$13,2,0),"")</f>
        <v/>
      </c>
      <c r="N167" s="14" t="str">
        <f aca="false">IFERROR(VLOOKUP(TRIM('📥 Respostas'!Q167),'⚙️ Config'!$A$4:$B$13,2,0),"")</f>
        <v/>
      </c>
      <c r="O167" s="14" t="str">
        <f aca="false">IFERROR(VLOOKUP(TRIM('📥 Respostas'!R167),'⚙️ Config'!$A$4:$B$13,2,0),"")</f>
        <v/>
      </c>
      <c r="P167" s="14" t="str">
        <f aca="false">IFERROR(VLOOKUP(TRIM('📥 Respostas'!S167),'⚙️ Config'!$A$4:$B$13,2,0),"")</f>
        <v/>
      </c>
      <c r="Q167" s="14" t="str">
        <f aca="false">IFERROR(VLOOKUP(TRIM('📥 Respostas'!T167),'⚙️ Config'!$A$4:$B$13,2,0),"")</f>
        <v/>
      </c>
      <c r="R167" s="14" t="str">
        <f aca="false">IFERROR(VLOOKUP(TRIM('📥 Respostas'!U167),'⚙️ Config'!$A$4:$B$13,2,0),"")</f>
        <v/>
      </c>
      <c r="S167" s="14" t="str">
        <f aca="false">IFERROR(VLOOKUP(TRIM('📥 Respostas'!V167),'⚙️ Config'!$A$4:$B$13,2,0),"")</f>
        <v/>
      </c>
      <c r="T167" s="14" t="str">
        <f aca="false">IFERROR(VLOOKUP(TRIM('📥 Respostas'!W167),'⚙️ Config'!$A$4:$B$13,2,0),"")</f>
        <v/>
      </c>
      <c r="U167" s="14" t="str">
        <f aca="false">IFERROR(VLOOKUP(TRIM('📥 Respostas'!X167),'⚙️ Config'!$A$4:$B$13,2,0),"")</f>
        <v/>
      </c>
      <c r="V167" s="14" t="str">
        <f aca="false">IFERROR(VLOOKUP(TRIM('📥 Respostas'!Y167),'⚙️ Config'!$A$4:$B$13,2,0),"")</f>
        <v/>
      </c>
      <c r="W167" s="14" t="str">
        <f aca="false">IFERROR(VLOOKUP(TRIM('📥 Respostas'!Z167),'⚙️ Config'!$A$4:$B$13,2,0),"")</f>
        <v/>
      </c>
      <c r="X167" s="14" t="str">
        <f aca="false">IFERROR(VLOOKUP(TRIM('📥 Respostas'!AA167),'⚙️ Config'!$A$4:$B$13,2,0),"")</f>
        <v/>
      </c>
      <c r="Y167" s="14" t="str">
        <f aca="false">IFERROR(VLOOKUP(TRIM('📥 Respostas'!AB167),'⚙️ Config'!$A$4:$B$13,2,0),"")</f>
        <v/>
      </c>
      <c r="Z167" s="14" t="str">
        <f aca="false">IFERROR(VLOOKUP(TRIM('📥 Respostas'!AC167),'⚙️ Config'!$A$4:$B$13,2,0),"")</f>
        <v/>
      </c>
      <c r="AA167" s="14" t="str">
        <f aca="false">IFERROR(VLOOKUP(TRIM('📥 Respostas'!AD167),'⚙️ Config'!$A$4:$B$13,2,0),"")</f>
        <v/>
      </c>
      <c r="AB167" s="14" t="str">
        <f aca="false">IFERROR(VLOOKUP(TRIM('📥 Respostas'!AE167),'⚙️ Config'!$A$4:$B$13,2,0),"")</f>
        <v/>
      </c>
      <c r="AC167" s="14" t="str">
        <f aca="false">IFERROR(VLOOKUP(TRIM('📥 Respostas'!AF167),'⚙️ Config'!$A$4:$B$13,2,0),"")</f>
        <v/>
      </c>
      <c r="AD167" s="14" t="str">
        <f aca="false">IFERROR(VLOOKUP(TRIM('📥 Respostas'!AG167),'⚙️ Config'!$A$4:$B$13,2,0),"")</f>
        <v/>
      </c>
      <c r="AE167" s="14" t="str">
        <f aca="false">IFERROR(VLOOKUP(TRIM('📥 Respostas'!AH167),'⚙️ Config'!$A$4:$B$13,2,0),"")</f>
        <v/>
      </c>
      <c r="AF167" s="14" t="str">
        <f aca="false">IFERROR(VLOOKUP(TRIM('📥 Respostas'!AI167),'⚙️ Config'!$C$4:$D$11,2,0),"")</f>
        <v/>
      </c>
      <c r="AG167" s="14" t="str">
        <f aca="false">IFERROR(VLOOKUP(TRIM('📥 Respostas'!AJ167),'⚙️ Config'!$A$4:$B$13,2,0),"")</f>
        <v/>
      </c>
      <c r="AH167" s="14" t="str">
        <f aca="false">IFERROR(VLOOKUP(TRIM('📥 Respostas'!AK167),'⚙️ Config'!$A$4:$B$13,2,0),"")</f>
        <v/>
      </c>
      <c r="AI167" s="14" t="str">
        <f aca="false">IFERROR(VLOOKUP(TRIM('📥 Respostas'!AL167),'⚙️ Config'!$A$4:$B$13,2,0),"")</f>
        <v/>
      </c>
      <c r="AJ167" s="14" t="str">
        <f aca="false">IFERROR(VLOOKUP(TRIM('📥 Respostas'!AM167),'⚙️ Config'!$A$4:$B$13,2,0),"")</f>
        <v/>
      </c>
      <c r="AK167" s="14" t="str">
        <f aca="false">IFERROR(VLOOKUP(TRIM('📥 Respostas'!AN167),'⚙️ Config'!$A$4:$B$13,2,0),"")</f>
        <v/>
      </c>
      <c r="AL167" s="14" t="str">
        <f aca="false">IFERROR(VLOOKUP(TRIM('📥 Respostas'!AO167),'⚙️ Config'!$A$4:$B$13,2,0),"")</f>
        <v/>
      </c>
      <c r="AM167" s="14" t="str">
        <f aca="false">IFERROR(VLOOKUP(TRIM('📥 Respostas'!AP167),'⚙️ Config'!$A$4:$B$13,2,0),"")</f>
        <v/>
      </c>
      <c r="AN167" s="14" t="str">
        <f aca="false">IFERROR(VLOOKUP(TRIM('📥 Respostas'!AQ167),'⚙️ Config'!$A$4:$B$13,2,0),"")</f>
        <v/>
      </c>
      <c r="AO167" s="14" t="str">
        <f aca="false">IFERROR(VLOOKUP(TRIM('📥 Respostas'!AR167),'⚙️ Config'!$A$4:$B$13,2,0),"")</f>
        <v/>
      </c>
      <c r="AP167" s="14" t="str">
        <f aca="false">IFERROR(VLOOKUP(TRIM('📥 Respostas'!AS167),'⚙️ Config'!$A$4:$B$13,2,0),"")</f>
        <v/>
      </c>
      <c r="AQ167" s="14" t="str">
        <f aca="false">IFERROR(VLOOKUP(TRIM('📥 Respostas'!AT167),'⚙️ Config'!$A$4:$B$13,2,0),"")</f>
        <v/>
      </c>
      <c r="AR167" s="14" t="str">
        <f aca="false">IFERROR(VLOOKUP(TRIM('📥 Respostas'!AU167),'⚙️ Config'!$A$4:$B$13,2,0),"")</f>
        <v/>
      </c>
    </row>
    <row r="168" customFormat="false" ht="15" hidden="false" customHeight="false" outlineLevel="0" collapsed="false">
      <c r="A168" s="12" t="str">
        <f aca="false">IF(ISBLANK('📥 Respostas'!D168),"",ROW()-3)</f>
        <v/>
      </c>
      <c r="B168" s="12" t="n">
        <f aca="false">'📥 Respostas'!D168</f>
        <v>0</v>
      </c>
      <c r="C168" s="13" t="n">
        <f aca="false">'📥 Respostas'!C168</f>
        <v>0</v>
      </c>
      <c r="D168" s="14" t="str">
        <f aca="false">IFERROR(VLOOKUP(TRIM('📥 Respostas'!G168),'⚙️ Config'!$A$4:$B$13,2,0),"")</f>
        <v/>
      </c>
      <c r="E168" s="14" t="str">
        <f aca="false">IFERROR(VLOOKUP(TRIM('📥 Respostas'!H168),'⚙️ Config'!$A$4:$B$13,2,0),"")</f>
        <v/>
      </c>
      <c r="F168" s="14" t="str">
        <f aca="false">IFERROR(VLOOKUP(TRIM('📥 Respostas'!I168),'⚙️ Config'!$A$4:$B$13,2,0),"")</f>
        <v/>
      </c>
      <c r="G168" s="14" t="str">
        <f aca="false">IFERROR(VLOOKUP(TRIM('📥 Respostas'!J168),'⚙️ Config'!$A$4:$B$13,2,0),"")</f>
        <v/>
      </c>
      <c r="H168" s="14" t="str">
        <f aca="false">IFERROR(VLOOKUP(TRIM('📥 Respostas'!K168),'⚙️ Config'!$A$4:$B$13,2,0),"")</f>
        <v/>
      </c>
      <c r="I168" s="14" t="str">
        <f aca="false">IFERROR(VLOOKUP(TRIM('📥 Respostas'!L168),'⚙️ Config'!$A$4:$B$13,2,0),"")</f>
        <v/>
      </c>
      <c r="J168" s="14" t="str">
        <f aca="false">IFERROR(VLOOKUP(TRIM('📥 Respostas'!M168),'⚙️ Config'!$A$4:$B$13,2,0),"")</f>
        <v/>
      </c>
      <c r="K168" s="14" t="str">
        <f aca="false">IFERROR(VLOOKUP(TRIM('📥 Respostas'!N168),'⚙️ Config'!$A$4:$B$13,2,0),"")</f>
        <v/>
      </c>
      <c r="L168" s="14" t="str">
        <f aca="false">IFERROR(VLOOKUP(TRIM('📥 Respostas'!O168),'⚙️ Config'!$A$4:$B$13,2,0),"")</f>
        <v/>
      </c>
      <c r="M168" s="14" t="str">
        <f aca="false">IFERROR(VLOOKUP(TRIM('📥 Respostas'!P168),'⚙️ Config'!$A$4:$B$13,2,0),"")</f>
        <v/>
      </c>
      <c r="N168" s="14" t="str">
        <f aca="false">IFERROR(VLOOKUP(TRIM('📥 Respostas'!Q168),'⚙️ Config'!$A$4:$B$13,2,0),"")</f>
        <v/>
      </c>
      <c r="O168" s="14" t="str">
        <f aca="false">IFERROR(VLOOKUP(TRIM('📥 Respostas'!R168),'⚙️ Config'!$A$4:$B$13,2,0),"")</f>
        <v/>
      </c>
      <c r="P168" s="14" t="str">
        <f aca="false">IFERROR(VLOOKUP(TRIM('📥 Respostas'!S168),'⚙️ Config'!$A$4:$B$13,2,0),"")</f>
        <v/>
      </c>
      <c r="Q168" s="14" t="str">
        <f aca="false">IFERROR(VLOOKUP(TRIM('📥 Respostas'!T168),'⚙️ Config'!$A$4:$B$13,2,0),"")</f>
        <v/>
      </c>
      <c r="R168" s="14" t="str">
        <f aca="false">IFERROR(VLOOKUP(TRIM('📥 Respostas'!U168),'⚙️ Config'!$A$4:$B$13,2,0),"")</f>
        <v/>
      </c>
      <c r="S168" s="14" t="str">
        <f aca="false">IFERROR(VLOOKUP(TRIM('📥 Respostas'!V168),'⚙️ Config'!$A$4:$B$13,2,0),"")</f>
        <v/>
      </c>
      <c r="T168" s="14" t="str">
        <f aca="false">IFERROR(VLOOKUP(TRIM('📥 Respostas'!W168),'⚙️ Config'!$A$4:$B$13,2,0),"")</f>
        <v/>
      </c>
      <c r="U168" s="14" t="str">
        <f aca="false">IFERROR(VLOOKUP(TRIM('📥 Respostas'!X168),'⚙️ Config'!$A$4:$B$13,2,0),"")</f>
        <v/>
      </c>
      <c r="V168" s="14" t="str">
        <f aca="false">IFERROR(VLOOKUP(TRIM('📥 Respostas'!Y168),'⚙️ Config'!$A$4:$B$13,2,0),"")</f>
        <v/>
      </c>
      <c r="W168" s="14" t="str">
        <f aca="false">IFERROR(VLOOKUP(TRIM('📥 Respostas'!Z168),'⚙️ Config'!$A$4:$B$13,2,0),"")</f>
        <v/>
      </c>
      <c r="X168" s="14" t="str">
        <f aca="false">IFERROR(VLOOKUP(TRIM('📥 Respostas'!AA168),'⚙️ Config'!$A$4:$B$13,2,0),"")</f>
        <v/>
      </c>
      <c r="Y168" s="14" t="str">
        <f aca="false">IFERROR(VLOOKUP(TRIM('📥 Respostas'!AB168),'⚙️ Config'!$A$4:$B$13,2,0),"")</f>
        <v/>
      </c>
      <c r="Z168" s="14" t="str">
        <f aca="false">IFERROR(VLOOKUP(TRIM('📥 Respostas'!AC168),'⚙️ Config'!$A$4:$B$13,2,0),"")</f>
        <v/>
      </c>
      <c r="AA168" s="14" t="str">
        <f aca="false">IFERROR(VLOOKUP(TRIM('📥 Respostas'!AD168),'⚙️ Config'!$A$4:$B$13,2,0),"")</f>
        <v/>
      </c>
      <c r="AB168" s="14" t="str">
        <f aca="false">IFERROR(VLOOKUP(TRIM('📥 Respostas'!AE168),'⚙️ Config'!$A$4:$B$13,2,0),"")</f>
        <v/>
      </c>
      <c r="AC168" s="14" t="str">
        <f aca="false">IFERROR(VLOOKUP(TRIM('📥 Respostas'!AF168),'⚙️ Config'!$A$4:$B$13,2,0),"")</f>
        <v/>
      </c>
      <c r="AD168" s="14" t="str">
        <f aca="false">IFERROR(VLOOKUP(TRIM('📥 Respostas'!AG168),'⚙️ Config'!$A$4:$B$13,2,0),"")</f>
        <v/>
      </c>
      <c r="AE168" s="14" t="str">
        <f aca="false">IFERROR(VLOOKUP(TRIM('📥 Respostas'!AH168),'⚙️ Config'!$A$4:$B$13,2,0),"")</f>
        <v/>
      </c>
      <c r="AF168" s="14" t="str">
        <f aca="false">IFERROR(VLOOKUP(TRIM('📥 Respostas'!AI168),'⚙️ Config'!$C$4:$D$11,2,0),"")</f>
        <v/>
      </c>
      <c r="AG168" s="14" t="str">
        <f aca="false">IFERROR(VLOOKUP(TRIM('📥 Respostas'!AJ168),'⚙️ Config'!$A$4:$B$13,2,0),"")</f>
        <v/>
      </c>
      <c r="AH168" s="14" t="str">
        <f aca="false">IFERROR(VLOOKUP(TRIM('📥 Respostas'!AK168),'⚙️ Config'!$A$4:$B$13,2,0),"")</f>
        <v/>
      </c>
      <c r="AI168" s="14" t="str">
        <f aca="false">IFERROR(VLOOKUP(TRIM('📥 Respostas'!AL168),'⚙️ Config'!$A$4:$B$13,2,0),"")</f>
        <v/>
      </c>
      <c r="AJ168" s="14" t="str">
        <f aca="false">IFERROR(VLOOKUP(TRIM('📥 Respostas'!AM168),'⚙️ Config'!$A$4:$B$13,2,0),"")</f>
        <v/>
      </c>
      <c r="AK168" s="14" t="str">
        <f aca="false">IFERROR(VLOOKUP(TRIM('📥 Respostas'!AN168),'⚙️ Config'!$A$4:$B$13,2,0),"")</f>
        <v/>
      </c>
      <c r="AL168" s="14" t="str">
        <f aca="false">IFERROR(VLOOKUP(TRIM('📥 Respostas'!AO168),'⚙️ Config'!$A$4:$B$13,2,0),"")</f>
        <v/>
      </c>
      <c r="AM168" s="14" t="str">
        <f aca="false">IFERROR(VLOOKUP(TRIM('📥 Respostas'!AP168),'⚙️ Config'!$A$4:$B$13,2,0),"")</f>
        <v/>
      </c>
      <c r="AN168" s="14" t="str">
        <f aca="false">IFERROR(VLOOKUP(TRIM('📥 Respostas'!AQ168),'⚙️ Config'!$A$4:$B$13,2,0),"")</f>
        <v/>
      </c>
      <c r="AO168" s="14" t="str">
        <f aca="false">IFERROR(VLOOKUP(TRIM('📥 Respostas'!AR168),'⚙️ Config'!$A$4:$B$13,2,0),"")</f>
        <v/>
      </c>
      <c r="AP168" s="14" t="str">
        <f aca="false">IFERROR(VLOOKUP(TRIM('📥 Respostas'!AS168),'⚙️ Config'!$A$4:$B$13,2,0),"")</f>
        <v/>
      </c>
      <c r="AQ168" s="14" t="str">
        <f aca="false">IFERROR(VLOOKUP(TRIM('📥 Respostas'!AT168),'⚙️ Config'!$A$4:$B$13,2,0),"")</f>
        <v/>
      </c>
      <c r="AR168" s="14" t="str">
        <f aca="false">IFERROR(VLOOKUP(TRIM('📥 Respostas'!AU168),'⚙️ Config'!$A$4:$B$13,2,0),"")</f>
        <v/>
      </c>
    </row>
    <row r="169" customFormat="false" ht="15" hidden="false" customHeight="false" outlineLevel="0" collapsed="false">
      <c r="A169" s="15" t="str">
        <f aca="false">IF(ISBLANK('📥 Respostas'!D169),"",ROW()-3)</f>
        <v/>
      </c>
      <c r="B169" s="15" t="n">
        <f aca="false">'📥 Respostas'!D169</f>
        <v>0</v>
      </c>
      <c r="C169" s="5" t="n">
        <f aca="false">'📥 Respostas'!C169</f>
        <v>0</v>
      </c>
      <c r="D169" s="14" t="str">
        <f aca="false">IFERROR(VLOOKUP(TRIM('📥 Respostas'!G169),'⚙️ Config'!$A$4:$B$13,2,0),"")</f>
        <v/>
      </c>
      <c r="E169" s="14" t="str">
        <f aca="false">IFERROR(VLOOKUP(TRIM('📥 Respostas'!H169),'⚙️ Config'!$A$4:$B$13,2,0),"")</f>
        <v/>
      </c>
      <c r="F169" s="14" t="str">
        <f aca="false">IFERROR(VLOOKUP(TRIM('📥 Respostas'!I169),'⚙️ Config'!$A$4:$B$13,2,0),"")</f>
        <v/>
      </c>
      <c r="G169" s="14" t="str">
        <f aca="false">IFERROR(VLOOKUP(TRIM('📥 Respostas'!J169),'⚙️ Config'!$A$4:$B$13,2,0),"")</f>
        <v/>
      </c>
      <c r="H169" s="14" t="str">
        <f aca="false">IFERROR(VLOOKUP(TRIM('📥 Respostas'!K169),'⚙️ Config'!$A$4:$B$13,2,0),"")</f>
        <v/>
      </c>
      <c r="I169" s="14" t="str">
        <f aca="false">IFERROR(VLOOKUP(TRIM('📥 Respostas'!L169),'⚙️ Config'!$A$4:$B$13,2,0),"")</f>
        <v/>
      </c>
      <c r="J169" s="14" t="str">
        <f aca="false">IFERROR(VLOOKUP(TRIM('📥 Respostas'!M169),'⚙️ Config'!$A$4:$B$13,2,0),"")</f>
        <v/>
      </c>
      <c r="K169" s="14" t="str">
        <f aca="false">IFERROR(VLOOKUP(TRIM('📥 Respostas'!N169),'⚙️ Config'!$A$4:$B$13,2,0),"")</f>
        <v/>
      </c>
      <c r="L169" s="14" t="str">
        <f aca="false">IFERROR(VLOOKUP(TRIM('📥 Respostas'!O169),'⚙️ Config'!$A$4:$B$13,2,0),"")</f>
        <v/>
      </c>
      <c r="M169" s="14" t="str">
        <f aca="false">IFERROR(VLOOKUP(TRIM('📥 Respostas'!P169),'⚙️ Config'!$A$4:$B$13,2,0),"")</f>
        <v/>
      </c>
      <c r="N169" s="14" t="str">
        <f aca="false">IFERROR(VLOOKUP(TRIM('📥 Respostas'!Q169),'⚙️ Config'!$A$4:$B$13,2,0),"")</f>
        <v/>
      </c>
      <c r="O169" s="14" t="str">
        <f aca="false">IFERROR(VLOOKUP(TRIM('📥 Respostas'!R169),'⚙️ Config'!$A$4:$B$13,2,0),"")</f>
        <v/>
      </c>
      <c r="P169" s="14" t="str">
        <f aca="false">IFERROR(VLOOKUP(TRIM('📥 Respostas'!S169),'⚙️ Config'!$A$4:$B$13,2,0),"")</f>
        <v/>
      </c>
      <c r="Q169" s="14" t="str">
        <f aca="false">IFERROR(VLOOKUP(TRIM('📥 Respostas'!T169),'⚙️ Config'!$A$4:$B$13,2,0),"")</f>
        <v/>
      </c>
      <c r="R169" s="14" t="str">
        <f aca="false">IFERROR(VLOOKUP(TRIM('📥 Respostas'!U169),'⚙️ Config'!$A$4:$B$13,2,0),"")</f>
        <v/>
      </c>
      <c r="S169" s="14" t="str">
        <f aca="false">IFERROR(VLOOKUP(TRIM('📥 Respostas'!V169),'⚙️ Config'!$A$4:$B$13,2,0),"")</f>
        <v/>
      </c>
      <c r="T169" s="14" t="str">
        <f aca="false">IFERROR(VLOOKUP(TRIM('📥 Respostas'!W169),'⚙️ Config'!$A$4:$B$13,2,0),"")</f>
        <v/>
      </c>
      <c r="U169" s="14" t="str">
        <f aca="false">IFERROR(VLOOKUP(TRIM('📥 Respostas'!X169),'⚙️ Config'!$A$4:$B$13,2,0),"")</f>
        <v/>
      </c>
      <c r="V169" s="14" t="str">
        <f aca="false">IFERROR(VLOOKUP(TRIM('📥 Respostas'!Y169),'⚙️ Config'!$A$4:$B$13,2,0),"")</f>
        <v/>
      </c>
      <c r="W169" s="14" t="str">
        <f aca="false">IFERROR(VLOOKUP(TRIM('📥 Respostas'!Z169),'⚙️ Config'!$A$4:$B$13,2,0),"")</f>
        <v/>
      </c>
      <c r="X169" s="14" t="str">
        <f aca="false">IFERROR(VLOOKUP(TRIM('📥 Respostas'!AA169),'⚙️ Config'!$A$4:$B$13,2,0),"")</f>
        <v/>
      </c>
      <c r="Y169" s="14" t="str">
        <f aca="false">IFERROR(VLOOKUP(TRIM('📥 Respostas'!AB169),'⚙️ Config'!$A$4:$B$13,2,0),"")</f>
        <v/>
      </c>
      <c r="Z169" s="14" t="str">
        <f aca="false">IFERROR(VLOOKUP(TRIM('📥 Respostas'!AC169),'⚙️ Config'!$A$4:$B$13,2,0),"")</f>
        <v/>
      </c>
      <c r="AA169" s="14" t="str">
        <f aca="false">IFERROR(VLOOKUP(TRIM('📥 Respostas'!AD169),'⚙️ Config'!$A$4:$B$13,2,0),"")</f>
        <v/>
      </c>
      <c r="AB169" s="14" t="str">
        <f aca="false">IFERROR(VLOOKUP(TRIM('📥 Respostas'!AE169),'⚙️ Config'!$A$4:$B$13,2,0),"")</f>
        <v/>
      </c>
      <c r="AC169" s="14" t="str">
        <f aca="false">IFERROR(VLOOKUP(TRIM('📥 Respostas'!AF169),'⚙️ Config'!$A$4:$B$13,2,0),"")</f>
        <v/>
      </c>
      <c r="AD169" s="14" t="str">
        <f aca="false">IFERROR(VLOOKUP(TRIM('📥 Respostas'!AG169),'⚙️ Config'!$A$4:$B$13,2,0),"")</f>
        <v/>
      </c>
      <c r="AE169" s="14" t="str">
        <f aca="false">IFERROR(VLOOKUP(TRIM('📥 Respostas'!AH169),'⚙️ Config'!$A$4:$B$13,2,0),"")</f>
        <v/>
      </c>
      <c r="AF169" s="14" t="str">
        <f aca="false">IFERROR(VLOOKUP(TRIM('📥 Respostas'!AI169),'⚙️ Config'!$C$4:$D$11,2,0),"")</f>
        <v/>
      </c>
      <c r="AG169" s="14" t="str">
        <f aca="false">IFERROR(VLOOKUP(TRIM('📥 Respostas'!AJ169),'⚙️ Config'!$A$4:$B$13,2,0),"")</f>
        <v/>
      </c>
      <c r="AH169" s="14" t="str">
        <f aca="false">IFERROR(VLOOKUP(TRIM('📥 Respostas'!AK169),'⚙️ Config'!$A$4:$B$13,2,0),"")</f>
        <v/>
      </c>
      <c r="AI169" s="14" t="str">
        <f aca="false">IFERROR(VLOOKUP(TRIM('📥 Respostas'!AL169),'⚙️ Config'!$A$4:$B$13,2,0),"")</f>
        <v/>
      </c>
      <c r="AJ169" s="14" t="str">
        <f aca="false">IFERROR(VLOOKUP(TRIM('📥 Respostas'!AM169),'⚙️ Config'!$A$4:$B$13,2,0),"")</f>
        <v/>
      </c>
      <c r="AK169" s="14" t="str">
        <f aca="false">IFERROR(VLOOKUP(TRIM('📥 Respostas'!AN169),'⚙️ Config'!$A$4:$B$13,2,0),"")</f>
        <v/>
      </c>
      <c r="AL169" s="14" t="str">
        <f aca="false">IFERROR(VLOOKUP(TRIM('📥 Respostas'!AO169),'⚙️ Config'!$A$4:$B$13,2,0),"")</f>
        <v/>
      </c>
      <c r="AM169" s="14" t="str">
        <f aca="false">IFERROR(VLOOKUP(TRIM('📥 Respostas'!AP169),'⚙️ Config'!$A$4:$B$13,2,0),"")</f>
        <v/>
      </c>
      <c r="AN169" s="14" t="str">
        <f aca="false">IFERROR(VLOOKUP(TRIM('📥 Respostas'!AQ169),'⚙️ Config'!$A$4:$B$13,2,0),"")</f>
        <v/>
      </c>
      <c r="AO169" s="14" t="str">
        <f aca="false">IFERROR(VLOOKUP(TRIM('📥 Respostas'!AR169),'⚙️ Config'!$A$4:$B$13,2,0),"")</f>
        <v/>
      </c>
      <c r="AP169" s="14" t="str">
        <f aca="false">IFERROR(VLOOKUP(TRIM('📥 Respostas'!AS169),'⚙️ Config'!$A$4:$B$13,2,0),"")</f>
        <v/>
      </c>
      <c r="AQ169" s="14" t="str">
        <f aca="false">IFERROR(VLOOKUP(TRIM('📥 Respostas'!AT169),'⚙️ Config'!$A$4:$B$13,2,0),"")</f>
        <v/>
      </c>
      <c r="AR169" s="14" t="str">
        <f aca="false">IFERROR(VLOOKUP(TRIM('📥 Respostas'!AU169),'⚙️ Config'!$A$4:$B$13,2,0),"")</f>
        <v/>
      </c>
    </row>
    <row r="170" customFormat="false" ht="15" hidden="false" customHeight="false" outlineLevel="0" collapsed="false">
      <c r="A170" s="12" t="str">
        <f aca="false">IF(ISBLANK('📥 Respostas'!D170),"",ROW()-3)</f>
        <v/>
      </c>
      <c r="B170" s="12" t="n">
        <f aca="false">'📥 Respostas'!D170</f>
        <v>0</v>
      </c>
      <c r="C170" s="13" t="n">
        <f aca="false">'📥 Respostas'!C170</f>
        <v>0</v>
      </c>
      <c r="D170" s="14" t="str">
        <f aca="false">IFERROR(VLOOKUP(TRIM('📥 Respostas'!G170),'⚙️ Config'!$A$4:$B$13,2,0),"")</f>
        <v/>
      </c>
      <c r="E170" s="14" t="str">
        <f aca="false">IFERROR(VLOOKUP(TRIM('📥 Respostas'!H170),'⚙️ Config'!$A$4:$B$13,2,0),"")</f>
        <v/>
      </c>
      <c r="F170" s="14" t="str">
        <f aca="false">IFERROR(VLOOKUP(TRIM('📥 Respostas'!I170),'⚙️ Config'!$A$4:$B$13,2,0),"")</f>
        <v/>
      </c>
      <c r="G170" s="14" t="str">
        <f aca="false">IFERROR(VLOOKUP(TRIM('📥 Respostas'!J170),'⚙️ Config'!$A$4:$B$13,2,0),"")</f>
        <v/>
      </c>
      <c r="H170" s="14" t="str">
        <f aca="false">IFERROR(VLOOKUP(TRIM('📥 Respostas'!K170),'⚙️ Config'!$A$4:$B$13,2,0),"")</f>
        <v/>
      </c>
      <c r="I170" s="14" t="str">
        <f aca="false">IFERROR(VLOOKUP(TRIM('📥 Respostas'!L170),'⚙️ Config'!$A$4:$B$13,2,0),"")</f>
        <v/>
      </c>
      <c r="J170" s="14" t="str">
        <f aca="false">IFERROR(VLOOKUP(TRIM('📥 Respostas'!M170),'⚙️ Config'!$A$4:$B$13,2,0),"")</f>
        <v/>
      </c>
      <c r="K170" s="14" t="str">
        <f aca="false">IFERROR(VLOOKUP(TRIM('📥 Respostas'!N170),'⚙️ Config'!$A$4:$B$13,2,0),"")</f>
        <v/>
      </c>
      <c r="L170" s="14" t="str">
        <f aca="false">IFERROR(VLOOKUP(TRIM('📥 Respostas'!O170),'⚙️ Config'!$A$4:$B$13,2,0),"")</f>
        <v/>
      </c>
      <c r="M170" s="14" t="str">
        <f aca="false">IFERROR(VLOOKUP(TRIM('📥 Respostas'!P170),'⚙️ Config'!$A$4:$B$13,2,0),"")</f>
        <v/>
      </c>
      <c r="N170" s="14" t="str">
        <f aca="false">IFERROR(VLOOKUP(TRIM('📥 Respostas'!Q170),'⚙️ Config'!$A$4:$B$13,2,0),"")</f>
        <v/>
      </c>
      <c r="O170" s="14" t="str">
        <f aca="false">IFERROR(VLOOKUP(TRIM('📥 Respostas'!R170),'⚙️ Config'!$A$4:$B$13,2,0),"")</f>
        <v/>
      </c>
      <c r="P170" s="14" t="str">
        <f aca="false">IFERROR(VLOOKUP(TRIM('📥 Respostas'!S170),'⚙️ Config'!$A$4:$B$13,2,0),"")</f>
        <v/>
      </c>
      <c r="Q170" s="14" t="str">
        <f aca="false">IFERROR(VLOOKUP(TRIM('📥 Respostas'!T170),'⚙️ Config'!$A$4:$B$13,2,0),"")</f>
        <v/>
      </c>
      <c r="R170" s="14" t="str">
        <f aca="false">IFERROR(VLOOKUP(TRIM('📥 Respostas'!U170),'⚙️ Config'!$A$4:$B$13,2,0),"")</f>
        <v/>
      </c>
      <c r="S170" s="14" t="str">
        <f aca="false">IFERROR(VLOOKUP(TRIM('📥 Respostas'!V170),'⚙️ Config'!$A$4:$B$13,2,0),"")</f>
        <v/>
      </c>
      <c r="T170" s="14" t="str">
        <f aca="false">IFERROR(VLOOKUP(TRIM('📥 Respostas'!W170),'⚙️ Config'!$A$4:$B$13,2,0),"")</f>
        <v/>
      </c>
      <c r="U170" s="14" t="str">
        <f aca="false">IFERROR(VLOOKUP(TRIM('📥 Respostas'!X170),'⚙️ Config'!$A$4:$B$13,2,0),"")</f>
        <v/>
      </c>
      <c r="V170" s="14" t="str">
        <f aca="false">IFERROR(VLOOKUP(TRIM('📥 Respostas'!Y170),'⚙️ Config'!$A$4:$B$13,2,0),"")</f>
        <v/>
      </c>
      <c r="W170" s="14" t="str">
        <f aca="false">IFERROR(VLOOKUP(TRIM('📥 Respostas'!Z170),'⚙️ Config'!$A$4:$B$13,2,0),"")</f>
        <v/>
      </c>
      <c r="X170" s="14" t="str">
        <f aca="false">IFERROR(VLOOKUP(TRIM('📥 Respostas'!AA170),'⚙️ Config'!$A$4:$B$13,2,0),"")</f>
        <v/>
      </c>
      <c r="Y170" s="14" t="str">
        <f aca="false">IFERROR(VLOOKUP(TRIM('📥 Respostas'!AB170),'⚙️ Config'!$A$4:$B$13,2,0),"")</f>
        <v/>
      </c>
      <c r="Z170" s="14" t="str">
        <f aca="false">IFERROR(VLOOKUP(TRIM('📥 Respostas'!AC170),'⚙️ Config'!$A$4:$B$13,2,0),"")</f>
        <v/>
      </c>
      <c r="AA170" s="14" t="str">
        <f aca="false">IFERROR(VLOOKUP(TRIM('📥 Respostas'!AD170),'⚙️ Config'!$A$4:$B$13,2,0),"")</f>
        <v/>
      </c>
      <c r="AB170" s="14" t="str">
        <f aca="false">IFERROR(VLOOKUP(TRIM('📥 Respostas'!AE170),'⚙️ Config'!$A$4:$B$13,2,0),"")</f>
        <v/>
      </c>
      <c r="AC170" s="14" t="str">
        <f aca="false">IFERROR(VLOOKUP(TRIM('📥 Respostas'!AF170),'⚙️ Config'!$A$4:$B$13,2,0),"")</f>
        <v/>
      </c>
      <c r="AD170" s="14" t="str">
        <f aca="false">IFERROR(VLOOKUP(TRIM('📥 Respostas'!AG170),'⚙️ Config'!$A$4:$B$13,2,0),"")</f>
        <v/>
      </c>
      <c r="AE170" s="14" t="str">
        <f aca="false">IFERROR(VLOOKUP(TRIM('📥 Respostas'!AH170),'⚙️ Config'!$A$4:$B$13,2,0),"")</f>
        <v/>
      </c>
      <c r="AF170" s="14" t="str">
        <f aca="false">IFERROR(VLOOKUP(TRIM('📥 Respostas'!AI170),'⚙️ Config'!$C$4:$D$11,2,0),"")</f>
        <v/>
      </c>
      <c r="AG170" s="14" t="str">
        <f aca="false">IFERROR(VLOOKUP(TRIM('📥 Respostas'!AJ170),'⚙️ Config'!$A$4:$B$13,2,0),"")</f>
        <v/>
      </c>
      <c r="AH170" s="14" t="str">
        <f aca="false">IFERROR(VLOOKUP(TRIM('📥 Respostas'!AK170),'⚙️ Config'!$A$4:$B$13,2,0),"")</f>
        <v/>
      </c>
      <c r="AI170" s="14" t="str">
        <f aca="false">IFERROR(VLOOKUP(TRIM('📥 Respostas'!AL170),'⚙️ Config'!$A$4:$B$13,2,0),"")</f>
        <v/>
      </c>
      <c r="AJ170" s="14" t="str">
        <f aca="false">IFERROR(VLOOKUP(TRIM('📥 Respostas'!AM170),'⚙️ Config'!$A$4:$B$13,2,0),"")</f>
        <v/>
      </c>
      <c r="AK170" s="14" t="str">
        <f aca="false">IFERROR(VLOOKUP(TRIM('📥 Respostas'!AN170),'⚙️ Config'!$A$4:$B$13,2,0),"")</f>
        <v/>
      </c>
      <c r="AL170" s="14" t="str">
        <f aca="false">IFERROR(VLOOKUP(TRIM('📥 Respostas'!AO170),'⚙️ Config'!$A$4:$B$13,2,0),"")</f>
        <v/>
      </c>
      <c r="AM170" s="14" t="str">
        <f aca="false">IFERROR(VLOOKUP(TRIM('📥 Respostas'!AP170),'⚙️ Config'!$A$4:$B$13,2,0),"")</f>
        <v/>
      </c>
      <c r="AN170" s="14" t="str">
        <f aca="false">IFERROR(VLOOKUP(TRIM('📥 Respostas'!AQ170),'⚙️ Config'!$A$4:$B$13,2,0),"")</f>
        <v/>
      </c>
      <c r="AO170" s="14" t="str">
        <f aca="false">IFERROR(VLOOKUP(TRIM('📥 Respostas'!AR170),'⚙️ Config'!$A$4:$B$13,2,0),"")</f>
        <v/>
      </c>
      <c r="AP170" s="14" t="str">
        <f aca="false">IFERROR(VLOOKUP(TRIM('📥 Respostas'!AS170),'⚙️ Config'!$A$4:$B$13,2,0),"")</f>
        <v/>
      </c>
      <c r="AQ170" s="14" t="str">
        <f aca="false">IFERROR(VLOOKUP(TRIM('📥 Respostas'!AT170),'⚙️ Config'!$A$4:$B$13,2,0),"")</f>
        <v/>
      </c>
      <c r="AR170" s="14" t="str">
        <f aca="false">IFERROR(VLOOKUP(TRIM('📥 Respostas'!AU170),'⚙️ Config'!$A$4:$B$13,2,0),"")</f>
        <v/>
      </c>
    </row>
    <row r="171" customFormat="false" ht="15" hidden="false" customHeight="false" outlineLevel="0" collapsed="false">
      <c r="A171" s="15" t="str">
        <f aca="false">IF(ISBLANK('📥 Respostas'!D171),"",ROW()-3)</f>
        <v/>
      </c>
      <c r="B171" s="15" t="n">
        <f aca="false">'📥 Respostas'!D171</f>
        <v>0</v>
      </c>
      <c r="C171" s="5" t="n">
        <f aca="false">'📥 Respostas'!C171</f>
        <v>0</v>
      </c>
      <c r="D171" s="14" t="str">
        <f aca="false">IFERROR(VLOOKUP(TRIM('📥 Respostas'!G171),'⚙️ Config'!$A$4:$B$13,2,0),"")</f>
        <v/>
      </c>
      <c r="E171" s="14" t="str">
        <f aca="false">IFERROR(VLOOKUP(TRIM('📥 Respostas'!H171),'⚙️ Config'!$A$4:$B$13,2,0),"")</f>
        <v/>
      </c>
      <c r="F171" s="14" t="str">
        <f aca="false">IFERROR(VLOOKUP(TRIM('📥 Respostas'!I171),'⚙️ Config'!$A$4:$B$13,2,0),"")</f>
        <v/>
      </c>
      <c r="G171" s="14" t="str">
        <f aca="false">IFERROR(VLOOKUP(TRIM('📥 Respostas'!J171),'⚙️ Config'!$A$4:$B$13,2,0),"")</f>
        <v/>
      </c>
      <c r="H171" s="14" t="str">
        <f aca="false">IFERROR(VLOOKUP(TRIM('📥 Respostas'!K171),'⚙️ Config'!$A$4:$B$13,2,0),"")</f>
        <v/>
      </c>
      <c r="I171" s="14" t="str">
        <f aca="false">IFERROR(VLOOKUP(TRIM('📥 Respostas'!L171),'⚙️ Config'!$A$4:$B$13,2,0),"")</f>
        <v/>
      </c>
      <c r="J171" s="14" t="str">
        <f aca="false">IFERROR(VLOOKUP(TRIM('📥 Respostas'!M171),'⚙️ Config'!$A$4:$B$13,2,0),"")</f>
        <v/>
      </c>
      <c r="K171" s="14" t="str">
        <f aca="false">IFERROR(VLOOKUP(TRIM('📥 Respostas'!N171),'⚙️ Config'!$A$4:$B$13,2,0),"")</f>
        <v/>
      </c>
      <c r="L171" s="14" t="str">
        <f aca="false">IFERROR(VLOOKUP(TRIM('📥 Respostas'!O171),'⚙️ Config'!$A$4:$B$13,2,0),"")</f>
        <v/>
      </c>
      <c r="M171" s="14" t="str">
        <f aca="false">IFERROR(VLOOKUP(TRIM('📥 Respostas'!P171),'⚙️ Config'!$A$4:$B$13,2,0),"")</f>
        <v/>
      </c>
      <c r="N171" s="14" t="str">
        <f aca="false">IFERROR(VLOOKUP(TRIM('📥 Respostas'!Q171),'⚙️ Config'!$A$4:$B$13,2,0),"")</f>
        <v/>
      </c>
      <c r="O171" s="14" t="str">
        <f aca="false">IFERROR(VLOOKUP(TRIM('📥 Respostas'!R171),'⚙️ Config'!$A$4:$B$13,2,0),"")</f>
        <v/>
      </c>
      <c r="P171" s="14" t="str">
        <f aca="false">IFERROR(VLOOKUP(TRIM('📥 Respostas'!S171),'⚙️ Config'!$A$4:$B$13,2,0),"")</f>
        <v/>
      </c>
      <c r="Q171" s="14" t="str">
        <f aca="false">IFERROR(VLOOKUP(TRIM('📥 Respostas'!T171),'⚙️ Config'!$A$4:$B$13,2,0),"")</f>
        <v/>
      </c>
      <c r="R171" s="14" t="str">
        <f aca="false">IFERROR(VLOOKUP(TRIM('📥 Respostas'!U171),'⚙️ Config'!$A$4:$B$13,2,0),"")</f>
        <v/>
      </c>
      <c r="S171" s="14" t="str">
        <f aca="false">IFERROR(VLOOKUP(TRIM('📥 Respostas'!V171),'⚙️ Config'!$A$4:$B$13,2,0),"")</f>
        <v/>
      </c>
      <c r="T171" s="14" t="str">
        <f aca="false">IFERROR(VLOOKUP(TRIM('📥 Respostas'!W171),'⚙️ Config'!$A$4:$B$13,2,0),"")</f>
        <v/>
      </c>
      <c r="U171" s="14" t="str">
        <f aca="false">IFERROR(VLOOKUP(TRIM('📥 Respostas'!X171),'⚙️ Config'!$A$4:$B$13,2,0),"")</f>
        <v/>
      </c>
      <c r="V171" s="14" t="str">
        <f aca="false">IFERROR(VLOOKUP(TRIM('📥 Respostas'!Y171),'⚙️ Config'!$A$4:$B$13,2,0),"")</f>
        <v/>
      </c>
      <c r="W171" s="14" t="str">
        <f aca="false">IFERROR(VLOOKUP(TRIM('📥 Respostas'!Z171),'⚙️ Config'!$A$4:$B$13,2,0),"")</f>
        <v/>
      </c>
      <c r="X171" s="14" t="str">
        <f aca="false">IFERROR(VLOOKUP(TRIM('📥 Respostas'!AA171),'⚙️ Config'!$A$4:$B$13,2,0),"")</f>
        <v/>
      </c>
      <c r="Y171" s="14" t="str">
        <f aca="false">IFERROR(VLOOKUP(TRIM('📥 Respostas'!AB171),'⚙️ Config'!$A$4:$B$13,2,0),"")</f>
        <v/>
      </c>
      <c r="Z171" s="14" t="str">
        <f aca="false">IFERROR(VLOOKUP(TRIM('📥 Respostas'!AC171),'⚙️ Config'!$A$4:$B$13,2,0),"")</f>
        <v/>
      </c>
      <c r="AA171" s="14" t="str">
        <f aca="false">IFERROR(VLOOKUP(TRIM('📥 Respostas'!AD171),'⚙️ Config'!$A$4:$B$13,2,0),"")</f>
        <v/>
      </c>
      <c r="AB171" s="14" t="str">
        <f aca="false">IFERROR(VLOOKUP(TRIM('📥 Respostas'!AE171),'⚙️ Config'!$A$4:$B$13,2,0),"")</f>
        <v/>
      </c>
      <c r="AC171" s="14" t="str">
        <f aca="false">IFERROR(VLOOKUP(TRIM('📥 Respostas'!AF171),'⚙️ Config'!$A$4:$B$13,2,0),"")</f>
        <v/>
      </c>
      <c r="AD171" s="14" t="str">
        <f aca="false">IFERROR(VLOOKUP(TRIM('📥 Respostas'!AG171),'⚙️ Config'!$A$4:$B$13,2,0),"")</f>
        <v/>
      </c>
      <c r="AE171" s="14" t="str">
        <f aca="false">IFERROR(VLOOKUP(TRIM('📥 Respostas'!AH171),'⚙️ Config'!$A$4:$B$13,2,0),"")</f>
        <v/>
      </c>
      <c r="AF171" s="14" t="str">
        <f aca="false">IFERROR(VLOOKUP(TRIM('📥 Respostas'!AI171),'⚙️ Config'!$C$4:$D$11,2,0),"")</f>
        <v/>
      </c>
      <c r="AG171" s="14" t="str">
        <f aca="false">IFERROR(VLOOKUP(TRIM('📥 Respostas'!AJ171),'⚙️ Config'!$A$4:$B$13,2,0),"")</f>
        <v/>
      </c>
      <c r="AH171" s="14" t="str">
        <f aca="false">IFERROR(VLOOKUP(TRIM('📥 Respostas'!AK171),'⚙️ Config'!$A$4:$B$13,2,0),"")</f>
        <v/>
      </c>
      <c r="AI171" s="14" t="str">
        <f aca="false">IFERROR(VLOOKUP(TRIM('📥 Respostas'!AL171),'⚙️ Config'!$A$4:$B$13,2,0),"")</f>
        <v/>
      </c>
      <c r="AJ171" s="14" t="str">
        <f aca="false">IFERROR(VLOOKUP(TRIM('📥 Respostas'!AM171),'⚙️ Config'!$A$4:$B$13,2,0),"")</f>
        <v/>
      </c>
      <c r="AK171" s="14" t="str">
        <f aca="false">IFERROR(VLOOKUP(TRIM('📥 Respostas'!AN171),'⚙️ Config'!$A$4:$B$13,2,0),"")</f>
        <v/>
      </c>
      <c r="AL171" s="14" t="str">
        <f aca="false">IFERROR(VLOOKUP(TRIM('📥 Respostas'!AO171),'⚙️ Config'!$A$4:$B$13,2,0),"")</f>
        <v/>
      </c>
      <c r="AM171" s="14" t="str">
        <f aca="false">IFERROR(VLOOKUP(TRIM('📥 Respostas'!AP171),'⚙️ Config'!$A$4:$B$13,2,0),"")</f>
        <v/>
      </c>
      <c r="AN171" s="14" t="str">
        <f aca="false">IFERROR(VLOOKUP(TRIM('📥 Respostas'!AQ171),'⚙️ Config'!$A$4:$B$13,2,0),"")</f>
        <v/>
      </c>
      <c r="AO171" s="14" t="str">
        <f aca="false">IFERROR(VLOOKUP(TRIM('📥 Respostas'!AR171),'⚙️ Config'!$A$4:$B$13,2,0),"")</f>
        <v/>
      </c>
      <c r="AP171" s="14" t="str">
        <f aca="false">IFERROR(VLOOKUP(TRIM('📥 Respostas'!AS171),'⚙️ Config'!$A$4:$B$13,2,0),"")</f>
        <v/>
      </c>
      <c r="AQ171" s="14" t="str">
        <f aca="false">IFERROR(VLOOKUP(TRIM('📥 Respostas'!AT171),'⚙️ Config'!$A$4:$B$13,2,0),"")</f>
        <v/>
      </c>
      <c r="AR171" s="14" t="str">
        <f aca="false">IFERROR(VLOOKUP(TRIM('📥 Respostas'!AU171),'⚙️ Config'!$A$4:$B$13,2,0),"")</f>
        <v/>
      </c>
    </row>
    <row r="172" customFormat="false" ht="15" hidden="false" customHeight="false" outlineLevel="0" collapsed="false">
      <c r="A172" s="12" t="str">
        <f aca="false">IF(ISBLANK('📥 Respostas'!D172),"",ROW()-3)</f>
        <v/>
      </c>
      <c r="B172" s="12" t="n">
        <f aca="false">'📥 Respostas'!D172</f>
        <v>0</v>
      </c>
      <c r="C172" s="13" t="n">
        <f aca="false">'📥 Respostas'!C172</f>
        <v>0</v>
      </c>
      <c r="D172" s="14" t="str">
        <f aca="false">IFERROR(VLOOKUP(TRIM('📥 Respostas'!G172),'⚙️ Config'!$A$4:$B$13,2,0),"")</f>
        <v/>
      </c>
      <c r="E172" s="14" t="str">
        <f aca="false">IFERROR(VLOOKUP(TRIM('📥 Respostas'!H172),'⚙️ Config'!$A$4:$B$13,2,0),"")</f>
        <v/>
      </c>
      <c r="F172" s="14" t="str">
        <f aca="false">IFERROR(VLOOKUP(TRIM('📥 Respostas'!I172),'⚙️ Config'!$A$4:$B$13,2,0),"")</f>
        <v/>
      </c>
      <c r="G172" s="14" t="str">
        <f aca="false">IFERROR(VLOOKUP(TRIM('📥 Respostas'!J172),'⚙️ Config'!$A$4:$B$13,2,0),"")</f>
        <v/>
      </c>
      <c r="H172" s="14" t="str">
        <f aca="false">IFERROR(VLOOKUP(TRIM('📥 Respostas'!K172),'⚙️ Config'!$A$4:$B$13,2,0),"")</f>
        <v/>
      </c>
      <c r="I172" s="14" t="str">
        <f aca="false">IFERROR(VLOOKUP(TRIM('📥 Respostas'!L172),'⚙️ Config'!$A$4:$B$13,2,0),"")</f>
        <v/>
      </c>
      <c r="J172" s="14" t="str">
        <f aca="false">IFERROR(VLOOKUP(TRIM('📥 Respostas'!M172),'⚙️ Config'!$A$4:$B$13,2,0),"")</f>
        <v/>
      </c>
      <c r="K172" s="14" t="str">
        <f aca="false">IFERROR(VLOOKUP(TRIM('📥 Respostas'!N172),'⚙️ Config'!$A$4:$B$13,2,0),"")</f>
        <v/>
      </c>
      <c r="L172" s="14" t="str">
        <f aca="false">IFERROR(VLOOKUP(TRIM('📥 Respostas'!O172),'⚙️ Config'!$A$4:$B$13,2,0),"")</f>
        <v/>
      </c>
      <c r="M172" s="14" t="str">
        <f aca="false">IFERROR(VLOOKUP(TRIM('📥 Respostas'!P172),'⚙️ Config'!$A$4:$B$13,2,0),"")</f>
        <v/>
      </c>
      <c r="N172" s="14" t="str">
        <f aca="false">IFERROR(VLOOKUP(TRIM('📥 Respostas'!Q172),'⚙️ Config'!$A$4:$B$13,2,0),"")</f>
        <v/>
      </c>
      <c r="O172" s="14" t="str">
        <f aca="false">IFERROR(VLOOKUP(TRIM('📥 Respostas'!R172),'⚙️ Config'!$A$4:$B$13,2,0),"")</f>
        <v/>
      </c>
      <c r="P172" s="14" t="str">
        <f aca="false">IFERROR(VLOOKUP(TRIM('📥 Respostas'!S172),'⚙️ Config'!$A$4:$B$13,2,0),"")</f>
        <v/>
      </c>
      <c r="Q172" s="14" t="str">
        <f aca="false">IFERROR(VLOOKUP(TRIM('📥 Respostas'!T172),'⚙️ Config'!$A$4:$B$13,2,0),"")</f>
        <v/>
      </c>
      <c r="R172" s="14" t="str">
        <f aca="false">IFERROR(VLOOKUP(TRIM('📥 Respostas'!U172),'⚙️ Config'!$A$4:$B$13,2,0),"")</f>
        <v/>
      </c>
      <c r="S172" s="14" t="str">
        <f aca="false">IFERROR(VLOOKUP(TRIM('📥 Respostas'!V172),'⚙️ Config'!$A$4:$B$13,2,0),"")</f>
        <v/>
      </c>
      <c r="T172" s="14" t="str">
        <f aca="false">IFERROR(VLOOKUP(TRIM('📥 Respostas'!W172),'⚙️ Config'!$A$4:$B$13,2,0),"")</f>
        <v/>
      </c>
      <c r="U172" s="14" t="str">
        <f aca="false">IFERROR(VLOOKUP(TRIM('📥 Respostas'!X172),'⚙️ Config'!$A$4:$B$13,2,0),"")</f>
        <v/>
      </c>
      <c r="V172" s="14" t="str">
        <f aca="false">IFERROR(VLOOKUP(TRIM('📥 Respostas'!Y172),'⚙️ Config'!$A$4:$B$13,2,0),"")</f>
        <v/>
      </c>
      <c r="W172" s="14" t="str">
        <f aca="false">IFERROR(VLOOKUP(TRIM('📥 Respostas'!Z172),'⚙️ Config'!$A$4:$B$13,2,0),"")</f>
        <v/>
      </c>
      <c r="X172" s="14" t="str">
        <f aca="false">IFERROR(VLOOKUP(TRIM('📥 Respostas'!AA172),'⚙️ Config'!$A$4:$B$13,2,0),"")</f>
        <v/>
      </c>
      <c r="Y172" s="14" t="str">
        <f aca="false">IFERROR(VLOOKUP(TRIM('📥 Respostas'!AB172),'⚙️ Config'!$A$4:$B$13,2,0),"")</f>
        <v/>
      </c>
      <c r="Z172" s="14" t="str">
        <f aca="false">IFERROR(VLOOKUP(TRIM('📥 Respostas'!AC172),'⚙️ Config'!$A$4:$B$13,2,0),"")</f>
        <v/>
      </c>
      <c r="AA172" s="14" t="str">
        <f aca="false">IFERROR(VLOOKUP(TRIM('📥 Respostas'!AD172),'⚙️ Config'!$A$4:$B$13,2,0),"")</f>
        <v/>
      </c>
      <c r="AB172" s="14" t="str">
        <f aca="false">IFERROR(VLOOKUP(TRIM('📥 Respostas'!AE172),'⚙️ Config'!$A$4:$B$13,2,0),"")</f>
        <v/>
      </c>
      <c r="AC172" s="14" t="str">
        <f aca="false">IFERROR(VLOOKUP(TRIM('📥 Respostas'!AF172),'⚙️ Config'!$A$4:$B$13,2,0),"")</f>
        <v/>
      </c>
      <c r="AD172" s="14" t="str">
        <f aca="false">IFERROR(VLOOKUP(TRIM('📥 Respostas'!AG172),'⚙️ Config'!$A$4:$B$13,2,0),"")</f>
        <v/>
      </c>
      <c r="AE172" s="14" t="str">
        <f aca="false">IFERROR(VLOOKUP(TRIM('📥 Respostas'!AH172),'⚙️ Config'!$A$4:$B$13,2,0),"")</f>
        <v/>
      </c>
      <c r="AF172" s="14" t="str">
        <f aca="false">IFERROR(VLOOKUP(TRIM('📥 Respostas'!AI172),'⚙️ Config'!$C$4:$D$11,2,0),"")</f>
        <v/>
      </c>
      <c r="AG172" s="14" t="str">
        <f aca="false">IFERROR(VLOOKUP(TRIM('📥 Respostas'!AJ172),'⚙️ Config'!$A$4:$B$13,2,0),"")</f>
        <v/>
      </c>
      <c r="AH172" s="14" t="str">
        <f aca="false">IFERROR(VLOOKUP(TRIM('📥 Respostas'!AK172),'⚙️ Config'!$A$4:$B$13,2,0),"")</f>
        <v/>
      </c>
      <c r="AI172" s="14" t="str">
        <f aca="false">IFERROR(VLOOKUP(TRIM('📥 Respostas'!AL172),'⚙️ Config'!$A$4:$B$13,2,0),"")</f>
        <v/>
      </c>
      <c r="AJ172" s="14" t="str">
        <f aca="false">IFERROR(VLOOKUP(TRIM('📥 Respostas'!AM172),'⚙️ Config'!$A$4:$B$13,2,0),"")</f>
        <v/>
      </c>
      <c r="AK172" s="14" t="str">
        <f aca="false">IFERROR(VLOOKUP(TRIM('📥 Respostas'!AN172),'⚙️ Config'!$A$4:$B$13,2,0),"")</f>
        <v/>
      </c>
      <c r="AL172" s="14" t="str">
        <f aca="false">IFERROR(VLOOKUP(TRIM('📥 Respostas'!AO172),'⚙️ Config'!$A$4:$B$13,2,0),"")</f>
        <v/>
      </c>
      <c r="AM172" s="14" t="str">
        <f aca="false">IFERROR(VLOOKUP(TRIM('📥 Respostas'!AP172),'⚙️ Config'!$A$4:$B$13,2,0),"")</f>
        <v/>
      </c>
      <c r="AN172" s="14" t="str">
        <f aca="false">IFERROR(VLOOKUP(TRIM('📥 Respostas'!AQ172),'⚙️ Config'!$A$4:$B$13,2,0),"")</f>
        <v/>
      </c>
      <c r="AO172" s="14" t="str">
        <f aca="false">IFERROR(VLOOKUP(TRIM('📥 Respostas'!AR172),'⚙️ Config'!$A$4:$B$13,2,0),"")</f>
        <v/>
      </c>
      <c r="AP172" s="14" t="str">
        <f aca="false">IFERROR(VLOOKUP(TRIM('📥 Respostas'!AS172),'⚙️ Config'!$A$4:$B$13,2,0),"")</f>
        <v/>
      </c>
      <c r="AQ172" s="14" t="str">
        <f aca="false">IFERROR(VLOOKUP(TRIM('📥 Respostas'!AT172),'⚙️ Config'!$A$4:$B$13,2,0),"")</f>
        <v/>
      </c>
      <c r="AR172" s="14" t="str">
        <f aca="false">IFERROR(VLOOKUP(TRIM('📥 Respostas'!AU172),'⚙️ Config'!$A$4:$B$13,2,0),"")</f>
        <v/>
      </c>
    </row>
    <row r="173" customFormat="false" ht="15" hidden="false" customHeight="false" outlineLevel="0" collapsed="false">
      <c r="A173" s="15" t="str">
        <f aca="false">IF(ISBLANK('📥 Respostas'!D173),"",ROW()-3)</f>
        <v/>
      </c>
      <c r="B173" s="15" t="n">
        <f aca="false">'📥 Respostas'!D173</f>
        <v>0</v>
      </c>
      <c r="C173" s="5" t="n">
        <f aca="false">'📥 Respostas'!C173</f>
        <v>0</v>
      </c>
      <c r="D173" s="14" t="str">
        <f aca="false">IFERROR(VLOOKUP(TRIM('📥 Respostas'!G173),'⚙️ Config'!$A$4:$B$13,2,0),"")</f>
        <v/>
      </c>
      <c r="E173" s="14" t="str">
        <f aca="false">IFERROR(VLOOKUP(TRIM('📥 Respostas'!H173),'⚙️ Config'!$A$4:$B$13,2,0),"")</f>
        <v/>
      </c>
      <c r="F173" s="14" t="str">
        <f aca="false">IFERROR(VLOOKUP(TRIM('📥 Respostas'!I173),'⚙️ Config'!$A$4:$B$13,2,0),"")</f>
        <v/>
      </c>
      <c r="G173" s="14" t="str">
        <f aca="false">IFERROR(VLOOKUP(TRIM('📥 Respostas'!J173),'⚙️ Config'!$A$4:$B$13,2,0),"")</f>
        <v/>
      </c>
      <c r="H173" s="14" t="str">
        <f aca="false">IFERROR(VLOOKUP(TRIM('📥 Respostas'!K173),'⚙️ Config'!$A$4:$B$13,2,0),"")</f>
        <v/>
      </c>
      <c r="I173" s="14" t="str">
        <f aca="false">IFERROR(VLOOKUP(TRIM('📥 Respostas'!L173),'⚙️ Config'!$A$4:$B$13,2,0),"")</f>
        <v/>
      </c>
      <c r="J173" s="14" t="str">
        <f aca="false">IFERROR(VLOOKUP(TRIM('📥 Respostas'!M173),'⚙️ Config'!$A$4:$B$13,2,0),"")</f>
        <v/>
      </c>
      <c r="K173" s="14" t="str">
        <f aca="false">IFERROR(VLOOKUP(TRIM('📥 Respostas'!N173),'⚙️ Config'!$A$4:$B$13,2,0),"")</f>
        <v/>
      </c>
      <c r="L173" s="14" t="str">
        <f aca="false">IFERROR(VLOOKUP(TRIM('📥 Respostas'!O173),'⚙️ Config'!$A$4:$B$13,2,0),"")</f>
        <v/>
      </c>
      <c r="M173" s="14" t="str">
        <f aca="false">IFERROR(VLOOKUP(TRIM('📥 Respostas'!P173),'⚙️ Config'!$A$4:$B$13,2,0),"")</f>
        <v/>
      </c>
      <c r="N173" s="14" t="str">
        <f aca="false">IFERROR(VLOOKUP(TRIM('📥 Respostas'!Q173),'⚙️ Config'!$A$4:$B$13,2,0),"")</f>
        <v/>
      </c>
      <c r="O173" s="14" t="str">
        <f aca="false">IFERROR(VLOOKUP(TRIM('📥 Respostas'!R173),'⚙️ Config'!$A$4:$B$13,2,0),"")</f>
        <v/>
      </c>
      <c r="P173" s="14" t="str">
        <f aca="false">IFERROR(VLOOKUP(TRIM('📥 Respostas'!S173),'⚙️ Config'!$A$4:$B$13,2,0),"")</f>
        <v/>
      </c>
      <c r="Q173" s="14" t="str">
        <f aca="false">IFERROR(VLOOKUP(TRIM('📥 Respostas'!T173),'⚙️ Config'!$A$4:$B$13,2,0),"")</f>
        <v/>
      </c>
      <c r="R173" s="14" t="str">
        <f aca="false">IFERROR(VLOOKUP(TRIM('📥 Respostas'!U173),'⚙️ Config'!$A$4:$B$13,2,0),"")</f>
        <v/>
      </c>
      <c r="S173" s="14" t="str">
        <f aca="false">IFERROR(VLOOKUP(TRIM('📥 Respostas'!V173),'⚙️ Config'!$A$4:$B$13,2,0),"")</f>
        <v/>
      </c>
      <c r="T173" s="14" t="str">
        <f aca="false">IFERROR(VLOOKUP(TRIM('📥 Respostas'!W173),'⚙️ Config'!$A$4:$B$13,2,0),"")</f>
        <v/>
      </c>
      <c r="U173" s="14" t="str">
        <f aca="false">IFERROR(VLOOKUP(TRIM('📥 Respostas'!X173),'⚙️ Config'!$A$4:$B$13,2,0),"")</f>
        <v/>
      </c>
      <c r="V173" s="14" t="str">
        <f aca="false">IFERROR(VLOOKUP(TRIM('📥 Respostas'!Y173),'⚙️ Config'!$A$4:$B$13,2,0),"")</f>
        <v/>
      </c>
      <c r="W173" s="14" t="str">
        <f aca="false">IFERROR(VLOOKUP(TRIM('📥 Respostas'!Z173),'⚙️ Config'!$A$4:$B$13,2,0),"")</f>
        <v/>
      </c>
      <c r="X173" s="14" t="str">
        <f aca="false">IFERROR(VLOOKUP(TRIM('📥 Respostas'!AA173),'⚙️ Config'!$A$4:$B$13,2,0),"")</f>
        <v/>
      </c>
      <c r="Y173" s="14" t="str">
        <f aca="false">IFERROR(VLOOKUP(TRIM('📥 Respostas'!AB173),'⚙️ Config'!$A$4:$B$13,2,0),"")</f>
        <v/>
      </c>
      <c r="Z173" s="14" t="str">
        <f aca="false">IFERROR(VLOOKUP(TRIM('📥 Respostas'!AC173),'⚙️ Config'!$A$4:$B$13,2,0),"")</f>
        <v/>
      </c>
      <c r="AA173" s="14" t="str">
        <f aca="false">IFERROR(VLOOKUP(TRIM('📥 Respostas'!AD173),'⚙️ Config'!$A$4:$B$13,2,0),"")</f>
        <v/>
      </c>
      <c r="AB173" s="14" t="str">
        <f aca="false">IFERROR(VLOOKUP(TRIM('📥 Respostas'!AE173),'⚙️ Config'!$A$4:$B$13,2,0),"")</f>
        <v/>
      </c>
      <c r="AC173" s="14" t="str">
        <f aca="false">IFERROR(VLOOKUP(TRIM('📥 Respostas'!AF173),'⚙️ Config'!$A$4:$B$13,2,0),"")</f>
        <v/>
      </c>
      <c r="AD173" s="14" t="str">
        <f aca="false">IFERROR(VLOOKUP(TRIM('📥 Respostas'!AG173),'⚙️ Config'!$A$4:$B$13,2,0),"")</f>
        <v/>
      </c>
      <c r="AE173" s="14" t="str">
        <f aca="false">IFERROR(VLOOKUP(TRIM('📥 Respostas'!AH173),'⚙️ Config'!$A$4:$B$13,2,0),"")</f>
        <v/>
      </c>
      <c r="AF173" s="14" t="str">
        <f aca="false">IFERROR(VLOOKUP(TRIM('📥 Respostas'!AI173),'⚙️ Config'!$C$4:$D$11,2,0),"")</f>
        <v/>
      </c>
      <c r="AG173" s="14" t="str">
        <f aca="false">IFERROR(VLOOKUP(TRIM('📥 Respostas'!AJ173),'⚙️ Config'!$A$4:$B$13,2,0),"")</f>
        <v/>
      </c>
      <c r="AH173" s="14" t="str">
        <f aca="false">IFERROR(VLOOKUP(TRIM('📥 Respostas'!AK173),'⚙️ Config'!$A$4:$B$13,2,0),"")</f>
        <v/>
      </c>
      <c r="AI173" s="14" t="str">
        <f aca="false">IFERROR(VLOOKUP(TRIM('📥 Respostas'!AL173),'⚙️ Config'!$A$4:$B$13,2,0),"")</f>
        <v/>
      </c>
      <c r="AJ173" s="14" t="str">
        <f aca="false">IFERROR(VLOOKUP(TRIM('📥 Respostas'!AM173),'⚙️ Config'!$A$4:$B$13,2,0),"")</f>
        <v/>
      </c>
      <c r="AK173" s="14" t="str">
        <f aca="false">IFERROR(VLOOKUP(TRIM('📥 Respostas'!AN173),'⚙️ Config'!$A$4:$B$13,2,0),"")</f>
        <v/>
      </c>
      <c r="AL173" s="14" t="str">
        <f aca="false">IFERROR(VLOOKUP(TRIM('📥 Respostas'!AO173),'⚙️ Config'!$A$4:$B$13,2,0),"")</f>
        <v/>
      </c>
      <c r="AM173" s="14" t="str">
        <f aca="false">IFERROR(VLOOKUP(TRIM('📥 Respostas'!AP173),'⚙️ Config'!$A$4:$B$13,2,0),"")</f>
        <v/>
      </c>
      <c r="AN173" s="14" t="str">
        <f aca="false">IFERROR(VLOOKUP(TRIM('📥 Respostas'!AQ173),'⚙️ Config'!$A$4:$B$13,2,0),"")</f>
        <v/>
      </c>
      <c r="AO173" s="14" t="str">
        <f aca="false">IFERROR(VLOOKUP(TRIM('📥 Respostas'!AR173),'⚙️ Config'!$A$4:$B$13,2,0),"")</f>
        <v/>
      </c>
      <c r="AP173" s="14" t="str">
        <f aca="false">IFERROR(VLOOKUP(TRIM('📥 Respostas'!AS173),'⚙️ Config'!$A$4:$B$13,2,0),"")</f>
        <v/>
      </c>
      <c r="AQ173" s="14" t="str">
        <f aca="false">IFERROR(VLOOKUP(TRIM('📥 Respostas'!AT173),'⚙️ Config'!$A$4:$B$13,2,0),"")</f>
        <v/>
      </c>
      <c r="AR173" s="14" t="str">
        <f aca="false">IFERROR(VLOOKUP(TRIM('📥 Respostas'!AU173),'⚙️ Config'!$A$4:$B$13,2,0),"")</f>
        <v/>
      </c>
    </row>
    <row r="174" customFormat="false" ht="15" hidden="false" customHeight="false" outlineLevel="0" collapsed="false">
      <c r="A174" s="12" t="str">
        <f aca="false">IF(ISBLANK('📥 Respostas'!D174),"",ROW()-3)</f>
        <v/>
      </c>
      <c r="B174" s="12" t="n">
        <f aca="false">'📥 Respostas'!D174</f>
        <v>0</v>
      </c>
      <c r="C174" s="13" t="n">
        <f aca="false">'📥 Respostas'!C174</f>
        <v>0</v>
      </c>
      <c r="D174" s="14" t="str">
        <f aca="false">IFERROR(VLOOKUP(TRIM('📥 Respostas'!G174),'⚙️ Config'!$A$4:$B$13,2,0),"")</f>
        <v/>
      </c>
      <c r="E174" s="14" t="str">
        <f aca="false">IFERROR(VLOOKUP(TRIM('📥 Respostas'!H174),'⚙️ Config'!$A$4:$B$13,2,0),"")</f>
        <v/>
      </c>
      <c r="F174" s="14" t="str">
        <f aca="false">IFERROR(VLOOKUP(TRIM('📥 Respostas'!I174),'⚙️ Config'!$A$4:$B$13,2,0),"")</f>
        <v/>
      </c>
      <c r="G174" s="14" t="str">
        <f aca="false">IFERROR(VLOOKUP(TRIM('📥 Respostas'!J174),'⚙️ Config'!$A$4:$B$13,2,0),"")</f>
        <v/>
      </c>
      <c r="H174" s="14" t="str">
        <f aca="false">IFERROR(VLOOKUP(TRIM('📥 Respostas'!K174),'⚙️ Config'!$A$4:$B$13,2,0),"")</f>
        <v/>
      </c>
      <c r="I174" s="14" t="str">
        <f aca="false">IFERROR(VLOOKUP(TRIM('📥 Respostas'!L174),'⚙️ Config'!$A$4:$B$13,2,0),"")</f>
        <v/>
      </c>
      <c r="J174" s="14" t="str">
        <f aca="false">IFERROR(VLOOKUP(TRIM('📥 Respostas'!M174),'⚙️ Config'!$A$4:$B$13,2,0),"")</f>
        <v/>
      </c>
      <c r="K174" s="14" t="str">
        <f aca="false">IFERROR(VLOOKUP(TRIM('📥 Respostas'!N174),'⚙️ Config'!$A$4:$B$13,2,0),"")</f>
        <v/>
      </c>
      <c r="L174" s="14" t="str">
        <f aca="false">IFERROR(VLOOKUP(TRIM('📥 Respostas'!O174),'⚙️ Config'!$A$4:$B$13,2,0),"")</f>
        <v/>
      </c>
      <c r="M174" s="14" t="str">
        <f aca="false">IFERROR(VLOOKUP(TRIM('📥 Respostas'!P174),'⚙️ Config'!$A$4:$B$13,2,0),"")</f>
        <v/>
      </c>
      <c r="N174" s="14" t="str">
        <f aca="false">IFERROR(VLOOKUP(TRIM('📥 Respostas'!Q174),'⚙️ Config'!$A$4:$B$13,2,0),"")</f>
        <v/>
      </c>
      <c r="O174" s="14" t="str">
        <f aca="false">IFERROR(VLOOKUP(TRIM('📥 Respostas'!R174),'⚙️ Config'!$A$4:$B$13,2,0),"")</f>
        <v/>
      </c>
      <c r="P174" s="14" t="str">
        <f aca="false">IFERROR(VLOOKUP(TRIM('📥 Respostas'!S174),'⚙️ Config'!$A$4:$B$13,2,0),"")</f>
        <v/>
      </c>
      <c r="Q174" s="14" t="str">
        <f aca="false">IFERROR(VLOOKUP(TRIM('📥 Respostas'!T174),'⚙️ Config'!$A$4:$B$13,2,0),"")</f>
        <v/>
      </c>
      <c r="R174" s="14" t="str">
        <f aca="false">IFERROR(VLOOKUP(TRIM('📥 Respostas'!U174),'⚙️ Config'!$A$4:$B$13,2,0),"")</f>
        <v/>
      </c>
      <c r="S174" s="14" t="str">
        <f aca="false">IFERROR(VLOOKUP(TRIM('📥 Respostas'!V174),'⚙️ Config'!$A$4:$B$13,2,0),"")</f>
        <v/>
      </c>
      <c r="T174" s="14" t="str">
        <f aca="false">IFERROR(VLOOKUP(TRIM('📥 Respostas'!W174),'⚙️ Config'!$A$4:$B$13,2,0),"")</f>
        <v/>
      </c>
      <c r="U174" s="14" t="str">
        <f aca="false">IFERROR(VLOOKUP(TRIM('📥 Respostas'!X174),'⚙️ Config'!$A$4:$B$13,2,0),"")</f>
        <v/>
      </c>
      <c r="V174" s="14" t="str">
        <f aca="false">IFERROR(VLOOKUP(TRIM('📥 Respostas'!Y174),'⚙️ Config'!$A$4:$B$13,2,0),"")</f>
        <v/>
      </c>
      <c r="W174" s="14" t="str">
        <f aca="false">IFERROR(VLOOKUP(TRIM('📥 Respostas'!Z174),'⚙️ Config'!$A$4:$B$13,2,0),"")</f>
        <v/>
      </c>
      <c r="X174" s="14" t="str">
        <f aca="false">IFERROR(VLOOKUP(TRIM('📥 Respostas'!AA174),'⚙️ Config'!$A$4:$B$13,2,0),"")</f>
        <v/>
      </c>
      <c r="Y174" s="14" t="str">
        <f aca="false">IFERROR(VLOOKUP(TRIM('📥 Respostas'!AB174),'⚙️ Config'!$A$4:$B$13,2,0),"")</f>
        <v/>
      </c>
      <c r="Z174" s="14" t="str">
        <f aca="false">IFERROR(VLOOKUP(TRIM('📥 Respostas'!AC174),'⚙️ Config'!$A$4:$B$13,2,0),"")</f>
        <v/>
      </c>
      <c r="AA174" s="14" t="str">
        <f aca="false">IFERROR(VLOOKUP(TRIM('📥 Respostas'!AD174),'⚙️ Config'!$A$4:$B$13,2,0),"")</f>
        <v/>
      </c>
      <c r="AB174" s="14" t="str">
        <f aca="false">IFERROR(VLOOKUP(TRIM('📥 Respostas'!AE174),'⚙️ Config'!$A$4:$B$13,2,0),"")</f>
        <v/>
      </c>
      <c r="AC174" s="14" t="str">
        <f aca="false">IFERROR(VLOOKUP(TRIM('📥 Respostas'!AF174),'⚙️ Config'!$A$4:$B$13,2,0),"")</f>
        <v/>
      </c>
      <c r="AD174" s="14" t="str">
        <f aca="false">IFERROR(VLOOKUP(TRIM('📥 Respostas'!AG174),'⚙️ Config'!$A$4:$B$13,2,0),"")</f>
        <v/>
      </c>
      <c r="AE174" s="14" t="str">
        <f aca="false">IFERROR(VLOOKUP(TRIM('📥 Respostas'!AH174),'⚙️ Config'!$A$4:$B$13,2,0),"")</f>
        <v/>
      </c>
      <c r="AF174" s="14" t="str">
        <f aca="false">IFERROR(VLOOKUP(TRIM('📥 Respostas'!AI174),'⚙️ Config'!$C$4:$D$11,2,0),"")</f>
        <v/>
      </c>
      <c r="AG174" s="14" t="str">
        <f aca="false">IFERROR(VLOOKUP(TRIM('📥 Respostas'!AJ174),'⚙️ Config'!$A$4:$B$13,2,0),"")</f>
        <v/>
      </c>
      <c r="AH174" s="14" t="str">
        <f aca="false">IFERROR(VLOOKUP(TRIM('📥 Respostas'!AK174),'⚙️ Config'!$A$4:$B$13,2,0),"")</f>
        <v/>
      </c>
      <c r="AI174" s="14" t="str">
        <f aca="false">IFERROR(VLOOKUP(TRIM('📥 Respostas'!AL174),'⚙️ Config'!$A$4:$B$13,2,0),"")</f>
        <v/>
      </c>
      <c r="AJ174" s="14" t="str">
        <f aca="false">IFERROR(VLOOKUP(TRIM('📥 Respostas'!AM174),'⚙️ Config'!$A$4:$B$13,2,0),"")</f>
        <v/>
      </c>
      <c r="AK174" s="14" t="str">
        <f aca="false">IFERROR(VLOOKUP(TRIM('📥 Respostas'!AN174),'⚙️ Config'!$A$4:$B$13,2,0),"")</f>
        <v/>
      </c>
      <c r="AL174" s="14" t="str">
        <f aca="false">IFERROR(VLOOKUP(TRIM('📥 Respostas'!AO174),'⚙️ Config'!$A$4:$B$13,2,0),"")</f>
        <v/>
      </c>
      <c r="AM174" s="14" t="str">
        <f aca="false">IFERROR(VLOOKUP(TRIM('📥 Respostas'!AP174),'⚙️ Config'!$A$4:$B$13,2,0),"")</f>
        <v/>
      </c>
      <c r="AN174" s="14" t="str">
        <f aca="false">IFERROR(VLOOKUP(TRIM('📥 Respostas'!AQ174),'⚙️ Config'!$A$4:$B$13,2,0),"")</f>
        <v/>
      </c>
      <c r="AO174" s="14" t="str">
        <f aca="false">IFERROR(VLOOKUP(TRIM('📥 Respostas'!AR174),'⚙️ Config'!$A$4:$B$13,2,0),"")</f>
        <v/>
      </c>
      <c r="AP174" s="14" t="str">
        <f aca="false">IFERROR(VLOOKUP(TRIM('📥 Respostas'!AS174),'⚙️ Config'!$A$4:$B$13,2,0),"")</f>
        <v/>
      </c>
      <c r="AQ174" s="14" t="str">
        <f aca="false">IFERROR(VLOOKUP(TRIM('📥 Respostas'!AT174),'⚙️ Config'!$A$4:$B$13,2,0),"")</f>
        <v/>
      </c>
      <c r="AR174" s="14" t="str">
        <f aca="false">IFERROR(VLOOKUP(TRIM('📥 Respostas'!AU174),'⚙️ Config'!$A$4:$B$13,2,0),"")</f>
        <v/>
      </c>
    </row>
    <row r="175" customFormat="false" ht="15" hidden="false" customHeight="false" outlineLevel="0" collapsed="false">
      <c r="A175" s="15" t="str">
        <f aca="false">IF(ISBLANK('📥 Respostas'!D175),"",ROW()-3)</f>
        <v/>
      </c>
      <c r="B175" s="15" t="n">
        <f aca="false">'📥 Respostas'!D175</f>
        <v>0</v>
      </c>
      <c r="C175" s="5" t="n">
        <f aca="false">'📥 Respostas'!C175</f>
        <v>0</v>
      </c>
      <c r="D175" s="14" t="str">
        <f aca="false">IFERROR(VLOOKUP(TRIM('📥 Respostas'!G175),'⚙️ Config'!$A$4:$B$13,2,0),"")</f>
        <v/>
      </c>
      <c r="E175" s="14" t="str">
        <f aca="false">IFERROR(VLOOKUP(TRIM('📥 Respostas'!H175),'⚙️ Config'!$A$4:$B$13,2,0),"")</f>
        <v/>
      </c>
      <c r="F175" s="14" t="str">
        <f aca="false">IFERROR(VLOOKUP(TRIM('📥 Respostas'!I175),'⚙️ Config'!$A$4:$B$13,2,0),"")</f>
        <v/>
      </c>
      <c r="G175" s="14" t="str">
        <f aca="false">IFERROR(VLOOKUP(TRIM('📥 Respostas'!J175),'⚙️ Config'!$A$4:$B$13,2,0),"")</f>
        <v/>
      </c>
      <c r="H175" s="14" t="str">
        <f aca="false">IFERROR(VLOOKUP(TRIM('📥 Respostas'!K175),'⚙️ Config'!$A$4:$B$13,2,0),"")</f>
        <v/>
      </c>
      <c r="I175" s="14" t="str">
        <f aca="false">IFERROR(VLOOKUP(TRIM('📥 Respostas'!L175),'⚙️ Config'!$A$4:$B$13,2,0),"")</f>
        <v/>
      </c>
      <c r="J175" s="14" t="str">
        <f aca="false">IFERROR(VLOOKUP(TRIM('📥 Respostas'!M175),'⚙️ Config'!$A$4:$B$13,2,0),"")</f>
        <v/>
      </c>
      <c r="K175" s="14" t="str">
        <f aca="false">IFERROR(VLOOKUP(TRIM('📥 Respostas'!N175),'⚙️ Config'!$A$4:$B$13,2,0),"")</f>
        <v/>
      </c>
      <c r="L175" s="14" t="str">
        <f aca="false">IFERROR(VLOOKUP(TRIM('📥 Respostas'!O175),'⚙️ Config'!$A$4:$B$13,2,0),"")</f>
        <v/>
      </c>
      <c r="M175" s="14" t="str">
        <f aca="false">IFERROR(VLOOKUP(TRIM('📥 Respostas'!P175),'⚙️ Config'!$A$4:$B$13,2,0),"")</f>
        <v/>
      </c>
      <c r="N175" s="14" t="str">
        <f aca="false">IFERROR(VLOOKUP(TRIM('📥 Respostas'!Q175),'⚙️ Config'!$A$4:$B$13,2,0),"")</f>
        <v/>
      </c>
      <c r="O175" s="14" t="str">
        <f aca="false">IFERROR(VLOOKUP(TRIM('📥 Respostas'!R175),'⚙️ Config'!$A$4:$B$13,2,0),"")</f>
        <v/>
      </c>
      <c r="P175" s="14" t="str">
        <f aca="false">IFERROR(VLOOKUP(TRIM('📥 Respostas'!S175),'⚙️ Config'!$A$4:$B$13,2,0),"")</f>
        <v/>
      </c>
      <c r="Q175" s="14" t="str">
        <f aca="false">IFERROR(VLOOKUP(TRIM('📥 Respostas'!T175),'⚙️ Config'!$A$4:$B$13,2,0),"")</f>
        <v/>
      </c>
      <c r="R175" s="14" t="str">
        <f aca="false">IFERROR(VLOOKUP(TRIM('📥 Respostas'!U175),'⚙️ Config'!$A$4:$B$13,2,0),"")</f>
        <v/>
      </c>
      <c r="S175" s="14" t="str">
        <f aca="false">IFERROR(VLOOKUP(TRIM('📥 Respostas'!V175),'⚙️ Config'!$A$4:$B$13,2,0),"")</f>
        <v/>
      </c>
      <c r="T175" s="14" t="str">
        <f aca="false">IFERROR(VLOOKUP(TRIM('📥 Respostas'!W175),'⚙️ Config'!$A$4:$B$13,2,0),"")</f>
        <v/>
      </c>
      <c r="U175" s="14" t="str">
        <f aca="false">IFERROR(VLOOKUP(TRIM('📥 Respostas'!X175),'⚙️ Config'!$A$4:$B$13,2,0),"")</f>
        <v/>
      </c>
      <c r="V175" s="14" t="str">
        <f aca="false">IFERROR(VLOOKUP(TRIM('📥 Respostas'!Y175),'⚙️ Config'!$A$4:$B$13,2,0),"")</f>
        <v/>
      </c>
      <c r="W175" s="14" t="str">
        <f aca="false">IFERROR(VLOOKUP(TRIM('📥 Respostas'!Z175),'⚙️ Config'!$A$4:$B$13,2,0),"")</f>
        <v/>
      </c>
      <c r="X175" s="14" t="str">
        <f aca="false">IFERROR(VLOOKUP(TRIM('📥 Respostas'!AA175),'⚙️ Config'!$A$4:$B$13,2,0),"")</f>
        <v/>
      </c>
      <c r="Y175" s="14" t="str">
        <f aca="false">IFERROR(VLOOKUP(TRIM('📥 Respostas'!AB175),'⚙️ Config'!$A$4:$B$13,2,0),"")</f>
        <v/>
      </c>
      <c r="Z175" s="14" t="str">
        <f aca="false">IFERROR(VLOOKUP(TRIM('📥 Respostas'!AC175),'⚙️ Config'!$A$4:$B$13,2,0),"")</f>
        <v/>
      </c>
      <c r="AA175" s="14" t="str">
        <f aca="false">IFERROR(VLOOKUP(TRIM('📥 Respostas'!AD175),'⚙️ Config'!$A$4:$B$13,2,0),"")</f>
        <v/>
      </c>
      <c r="AB175" s="14" t="str">
        <f aca="false">IFERROR(VLOOKUP(TRIM('📥 Respostas'!AE175),'⚙️ Config'!$A$4:$B$13,2,0),"")</f>
        <v/>
      </c>
      <c r="AC175" s="14" t="str">
        <f aca="false">IFERROR(VLOOKUP(TRIM('📥 Respostas'!AF175),'⚙️ Config'!$A$4:$B$13,2,0),"")</f>
        <v/>
      </c>
      <c r="AD175" s="14" t="str">
        <f aca="false">IFERROR(VLOOKUP(TRIM('📥 Respostas'!AG175),'⚙️ Config'!$A$4:$B$13,2,0),"")</f>
        <v/>
      </c>
      <c r="AE175" s="14" t="str">
        <f aca="false">IFERROR(VLOOKUP(TRIM('📥 Respostas'!AH175),'⚙️ Config'!$A$4:$B$13,2,0),"")</f>
        <v/>
      </c>
      <c r="AF175" s="14" t="str">
        <f aca="false">IFERROR(VLOOKUP(TRIM('📥 Respostas'!AI175),'⚙️ Config'!$C$4:$D$11,2,0),"")</f>
        <v/>
      </c>
      <c r="AG175" s="14" t="str">
        <f aca="false">IFERROR(VLOOKUP(TRIM('📥 Respostas'!AJ175),'⚙️ Config'!$A$4:$B$13,2,0),"")</f>
        <v/>
      </c>
      <c r="AH175" s="14" t="str">
        <f aca="false">IFERROR(VLOOKUP(TRIM('📥 Respostas'!AK175),'⚙️ Config'!$A$4:$B$13,2,0),"")</f>
        <v/>
      </c>
      <c r="AI175" s="14" t="str">
        <f aca="false">IFERROR(VLOOKUP(TRIM('📥 Respostas'!AL175),'⚙️ Config'!$A$4:$B$13,2,0),"")</f>
        <v/>
      </c>
      <c r="AJ175" s="14" t="str">
        <f aca="false">IFERROR(VLOOKUP(TRIM('📥 Respostas'!AM175),'⚙️ Config'!$A$4:$B$13,2,0),"")</f>
        <v/>
      </c>
      <c r="AK175" s="14" t="str">
        <f aca="false">IFERROR(VLOOKUP(TRIM('📥 Respostas'!AN175),'⚙️ Config'!$A$4:$B$13,2,0),"")</f>
        <v/>
      </c>
      <c r="AL175" s="14" t="str">
        <f aca="false">IFERROR(VLOOKUP(TRIM('📥 Respostas'!AO175),'⚙️ Config'!$A$4:$B$13,2,0),"")</f>
        <v/>
      </c>
      <c r="AM175" s="14" t="str">
        <f aca="false">IFERROR(VLOOKUP(TRIM('📥 Respostas'!AP175),'⚙️ Config'!$A$4:$B$13,2,0),"")</f>
        <v/>
      </c>
      <c r="AN175" s="14" t="str">
        <f aca="false">IFERROR(VLOOKUP(TRIM('📥 Respostas'!AQ175),'⚙️ Config'!$A$4:$B$13,2,0),"")</f>
        <v/>
      </c>
      <c r="AO175" s="14" t="str">
        <f aca="false">IFERROR(VLOOKUP(TRIM('📥 Respostas'!AR175),'⚙️ Config'!$A$4:$B$13,2,0),"")</f>
        <v/>
      </c>
      <c r="AP175" s="14" t="str">
        <f aca="false">IFERROR(VLOOKUP(TRIM('📥 Respostas'!AS175),'⚙️ Config'!$A$4:$B$13,2,0),"")</f>
        <v/>
      </c>
      <c r="AQ175" s="14" t="str">
        <f aca="false">IFERROR(VLOOKUP(TRIM('📥 Respostas'!AT175),'⚙️ Config'!$A$4:$B$13,2,0),"")</f>
        <v/>
      </c>
      <c r="AR175" s="14" t="str">
        <f aca="false">IFERROR(VLOOKUP(TRIM('📥 Respostas'!AU175),'⚙️ Config'!$A$4:$B$13,2,0),"")</f>
        <v/>
      </c>
    </row>
    <row r="176" customFormat="false" ht="15" hidden="false" customHeight="false" outlineLevel="0" collapsed="false">
      <c r="A176" s="12" t="str">
        <f aca="false">IF(ISBLANK('📥 Respostas'!D176),"",ROW()-3)</f>
        <v/>
      </c>
      <c r="B176" s="12" t="n">
        <f aca="false">'📥 Respostas'!D176</f>
        <v>0</v>
      </c>
      <c r="C176" s="13" t="n">
        <f aca="false">'📥 Respostas'!C176</f>
        <v>0</v>
      </c>
      <c r="D176" s="14" t="str">
        <f aca="false">IFERROR(VLOOKUP(TRIM('📥 Respostas'!G176),'⚙️ Config'!$A$4:$B$13,2,0),"")</f>
        <v/>
      </c>
      <c r="E176" s="14" t="str">
        <f aca="false">IFERROR(VLOOKUP(TRIM('📥 Respostas'!H176),'⚙️ Config'!$A$4:$B$13,2,0),"")</f>
        <v/>
      </c>
      <c r="F176" s="14" t="str">
        <f aca="false">IFERROR(VLOOKUP(TRIM('📥 Respostas'!I176),'⚙️ Config'!$A$4:$B$13,2,0),"")</f>
        <v/>
      </c>
      <c r="G176" s="14" t="str">
        <f aca="false">IFERROR(VLOOKUP(TRIM('📥 Respostas'!J176),'⚙️ Config'!$A$4:$B$13,2,0),"")</f>
        <v/>
      </c>
      <c r="H176" s="14" t="str">
        <f aca="false">IFERROR(VLOOKUP(TRIM('📥 Respostas'!K176),'⚙️ Config'!$A$4:$B$13,2,0),"")</f>
        <v/>
      </c>
      <c r="I176" s="14" t="str">
        <f aca="false">IFERROR(VLOOKUP(TRIM('📥 Respostas'!L176),'⚙️ Config'!$A$4:$B$13,2,0),"")</f>
        <v/>
      </c>
      <c r="J176" s="14" t="str">
        <f aca="false">IFERROR(VLOOKUP(TRIM('📥 Respostas'!M176),'⚙️ Config'!$A$4:$B$13,2,0),"")</f>
        <v/>
      </c>
      <c r="K176" s="14" t="str">
        <f aca="false">IFERROR(VLOOKUP(TRIM('📥 Respostas'!N176),'⚙️ Config'!$A$4:$B$13,2,0),"")</f>
        <v/>
      </c>
      <c r="L176" s="14" t="str">
        <f aca="false">IFERROR(VLOOKUP(TRIM('📥 Respostas'!O176),'⚙️ Config'!$A$4:$B$13,2,0),"")</f>
        <v/>
      </c>
      <c r="M176" s="14" t="str">
        <f aca="false">IFERROR(VLOOKUP(TRIM('📥 Respostas'!P176),'⚙️ Config'!$A$4:$B$13,2,0),"")</f>
        <v/>
      </c>
      <c r="N176" s="14" t="str">
        <f aca="false">IFERROR(VLOOKUP(TRIM('📥 Respostas'!Q176),'⚙️ Config'!$A$4:$B$13,2,0),"")</f>
        <v/>
      </c>
      <c r="O176" s="14" t="str">
        <f aca="false">IFERROR(VLOOKUP(TRIM('📥 Respostas'!R176),'⚙️ Config'!$A$4:$B$13,2,0),"")</f>
        <v/>
      </c>
      <c r="P176" s="14" t="str">
        <f aca="false">IFERROR(VLOOKUP(TRIM('📥 Respostas'!S176),'⚙️ Config'!$A$4:$B$13,2,0),"")</f>
        <v/>
      </c>
      <c r="Q176" s="14" t="str">
        <f aca="false">IFERROR(VLOOKUP(TRIM('📥 Respostas'!T176),'⚙️ Config'!$A$4:$B$13,2,0),"")</f>
        <v/>
      </c>
      <c r="R176" s="14" t="str">
        <f aca="false">IFERROR(VLOOKUP(TRIM('📥 Respostas'!U176),'⚙️ Config'!$A$4:$B$13,2,0),"")</f>
        <v/>
      </c>
      <c r="S176" s="14" t="str">
        <f aca="false">IFERROR(VLOOKUP(TRIM('📥 Respostas'!V176),'⚙️ Config'!$A$4:$B$13,2,0),"")</f>
        <v/>
      </c>
      <c r="T176" s="14" t="str">
        <f aca="false">IFERROR(VLOOKUP(TRIM('📥 Respostas'!W176),'⚙️ Config'!$A$4:$B$13,2,0),"")</f>
        <v/>
      </c>
      <c r="U176" s="14" t="str">
        <f aca="false">IFERROR(VLOOKUP(TRIM('📥 Respostas'!X176),'⚙️ Config'!$A$4:$B$13,2,0),"")</f>
        <v/>
      </c>
      <c r="V176" s="14" t="str">
        <f aca="false">IFERROR(VLOOKUP(TRIM('📥 Respostas'!Y176),'⚙️ Config'!$A$4:$B$13,2,0),"")</f>
        <v/>
      </c>
      <c r="W176" s="14" t="str">
        <f aca="false">IFERROR(VLOOKUP(TRIM('📥 Respostas'!Z176),'⚙️ Config'!$A$4:$B$13,2,0),"")</f>
        <v/>
      </c>
      <c r="X176" s="14" t="str">
        <f aca="false">IFERROR(VLOOKUP(TRIM('📥 Respostas'!AA176),'⚙️ Config'!$A$4:$B$13,2,0),"")</f>
        <v/>
      </c>
      <c r="Y176" s="14" t="str">
        <f aca="false">IFERROR(VLOOKUP(TRIM('📥 Respostas'!AB176),'⚙️ Config'!$A$4:$B$13,2,0),"")</f>
        <v/>
      </c>
      <c r="Z176" s="14" t="str">
        <f aca="false">IFERROR(VLOOKUP(TRIM('📥 Respostas'!AC176),'⚙️ Config'!$A$4:$B$13,2,0),"")</f>
        <v/>
      </c>
      <c r="AA176" s="14" t="str">
        <f aca="false">IFERROR(VLOOKUP(TRIM('📥 Respostas'!AD176),'⚙️ Config'!$A$4:$B$13,2,0),"")</f>
        <v/>
      </c>
      <c r="AB176" s="14" t="str">
        <f aca="false">IFERROR(VLOOKUP(TRIM('📥 Respostas'!AE176),'⚙️ Config'!$A$4:$B$13,2,0),"")</f>
        <v/>
      </c>
      <c r="AC176" s="14" t="str">
        <f aca="false">IFERROR(VLOOKUP(TRIM('📥 Respostas'!AF176),'⚙️ Config'!$A$4:$B$13,2,0),"")</f>
        <v/>
      </c>
      <c r="AD176" s="14" t="str">
        <f aca="false">IFERROR(VLOOKUP(TRIM('📥 Respostas'!AG176),'⚙️ Config'!$A$4:$B$13,2,0),"")</f>
        <v/>
      </c>
      <c r="AE176" s="14" t="str">
        <f aca="false">IFERROR(VLOOKUP(TRIM('📥 Respostas'!AH176),'⚙️ Config'!$A$4:$B$13,2,0),"")</f>
        <v/>
      </c>
      <c r="AF176" s="14" t="str">
        <f aca="false">IFERROR(VLOOKUP(TRIM('📥 Respostas'!AI176),'⚙️ Config'!$C$4:$D$11,2,0),"")</f>
        <v/>
      </c>
      <c r="AG176" s="14" t="str">
        <f aca="false">IFERROR(VLOOKUP(TRIM('📥 Respostas'!AJ176),'⚙️ Config'!$A$4:$B$13,2,0),"")</f>
        <v/>
      </c>
      <c r="AH176" s="14" t="str">
        <f aca="false">IFERROR(VLOOKUP(TRIM('📥 Respostas'!AK176),'⚙️ Config'!$A$4:$B$13,2,0),"")</f>
        <v/>
      </c>
      <c r="AI176" s="14" t="str">
        <f aca="false">IFERROR(VLOOKUP(TRIM('📥 Respostas'!AL176),'⚙️ Config'!$A$4:$B$13,2,0),"")</f>
        <v/>
      </c>
      <c r="AJ176" s="14" t="str">
        <f aca="false">IFERROR(VLOOKUP(TRIM('📥 Respostas'!AM176),'⚙️ Config'!$A$4:$B$13,2,0),"")</f>
        <v/>
      </c>
      <c r="AK176" s="14" t="str">
        <f aca="false">IFERROR(VLOOKUP(TRIM('📥 Respostas'!AN176),'⚙️ Config'!$A$4:$B$13,2,0),"")</f>
        <v/>
      </c>
      <c r="AL176" s="14" t="str">
        <f aca="false">IFERROR(VLOOKUP(TRIM('📥 Respostas'!AO176),'⚙️ Config'!$A$4:$B$13,2,0),"")</f>
        <v/>
      </c>
      <c r="AM176" s="14" t="str">
        <f aca="false">IFERROR(VLOOKUP(TRIM('📥 Respostas'!AP176),'⚙️ Config'!$A$4:$B$13,2,0),"")</f>
        <v/>
      </c>
      <c r="AN176" s="14" t="str">
        <f aca="false">IFERROR(VLOOKUP(TRIM('📥 Respostas'!AQ176),'⚙️ Config'!$A$4:$B$13,2,0),"")</f>
        <v/>
      </c>
      <c r="AO176" s="14" t="str">
        <f aca="false">IFERROR(VLOOKUP(TRIM('📥 Respostas'!AR176),'⚙️ Config'!$A$4:$B$13,2,0),"")</f>
        <v/>
      </c>
      <c r="AP176" s="14" t="str">
        <f aca="false">IFERROR(VLOOKUP(TRIM('📥 Respostas'!AS176),'⚙️ Config'!$A$4:$B$13,2,0),"")</f>
        <v/>
      </c>
      <c r="AQ176" s="14" t="str">
        <f aca="false">IFERROR(VLOOKUP(TRIM('📥 Respostas'!AT176),'⚙️ Config'!$A$4:$B$13,2,0),"")</f>
        <v/>
      </c>
      <c r="AR176" s="14" t="str">
        <f aca="false">IFERROR(VLOOKUP(TRIM('📥 Respostas'!AU176),'⚙️ Config'!$A$4:$B$13,2,0),"")</f>
        <v/>
      </c>
    </row>
    <row r="177" customFormat="false" ht="15" hidden="false" customHeight="false" outlineLevel="0" collapsed="false">
      <c r="A177" s="15" t="str">
        <f aca="false">IF(ISBLANK('📥 Respostas'!D177),"",ROW()-3)</f>
        <v/>
      </c>
      <c r="B177" s="15" t="n">
        <f aca="false">'📥 Respostas'!D177</f>
        <v>0</v>
      </c>
      <c r="C177" s="5" t="n">
        <f aca="false">'📥 Respostas'!C177</f>
        <v>0</v>
      </c>
      <c r="D177" s="14" t="str">
        <f aca="false">IFERROR(VLOOKUP(TRIM('📥 Respostas'!G177),'⚙️ Config'!$A$4:$B$13,2,0),"")</f>
        <v/>
      </c>
      <c r="E177" s="14" t="str">
        <f aca="false">IFERROR(VLOOKUP(TRIM('📥 Respostas'!H177),'⚙️ Config'!$A$4:$B$13,2,0),"")</f>
        <v/>
      </c>
      <c r="F177" s="14" t="str">
        <f aca="false">IFERROR(VLOOKUP(TRIM('📥 Respostas'!I177),'⚙️ Config'!$A$4:$B$13,2,0),"")</f>
        <v/>
      </c>
      <c r="G177" s="14" t="str">
        <f aca="false">IFERROR(VLOOKUP(TRIM('📥 Respostas'!J177),'⚙️ Config'!$A$4:$B$13,2,0),"")</f>
        <v/>
      </c>
      <c r="H177" s="14" t="str">
        <f aca="false">IFERROR(VLOOKUP(TRIM('📥 Respostas'!K177),'⚙️ Config'!$A$4:$B$13,2,0),"")</f>
        <v/>
      </c>
      <c r="I177" s="14" t="str">
        <f aca="false">IFERROR(VLOOKUP(TRIM('📥 Respostas'!L177),'⚙️ Config'!$A$4:$B$13,2,0),"")</f>
        <v/>
      </c>
      <c r="J177" s="14" t="str">
        <f aca="false">IFERROR(VLOOKUP(TRIM('📥 Respostas'!M177),'⚙️ Config'!$A$4:$B$13,2,0),"")</f>
        <v/>
      </c>
      <c r="K177" s="14" t="str">
        <f aca="false">IFERROR(VLOOKUP(TRIM('📥 Respostas'!N177),'⚙️ Config'!$A$4:$B$13,2,0),"")</f>
        <v/>
      </c>
      <c r="L177" s="14" t="str">
        <f aca="false">IFERROR(VLOOKUP(TRIM('📥 Respostas'!O177),'⚙️ Config'!$A$4:$B$13,2,0),"")</f>
        <v/>
      </c>
      <c r="M177" s="14" t="str">
        <f aca="false">IFERROR(VLOOKUP(TRIM('📥 Respostas'!P177),'⚙️ Config'!$A$4:$B$13,2,0),"")</f>
        <v/>
      </c>
      <c r="N177" s="14" t="str">
        <f aca="false">IFERROR(VLOOKUP(TRIM('📥 Respostas'!Q177),'⚙️ Config'!$A$4:$B$13,2,0),"")</f>
        <v/>
      </c>
      <c r="O177" s="14" t="str">
        <f aca="false">IFERROR(VLOOKUP(TRIM('📥 Respostas'!R177),'⚙️ Config'!$A$4:$B$13,2,0),"")</f>
        <v/>
      </c>
      <c r="P177" s="14" t="str">
        <f aca="false">IFERROR(VLOOKUP(TRIM('📥 Respostas'!S177),'⚙️ Config'!$A$4:$B$13,2,0),"")</f>
        <v/>
      </c>
      <c r="Q177" s="14" t="str">
        <f aca="false">IFERROR(VLOOKUP(TRIM('📥 Respostas'!T177),'⚙️ Config'!$A$4:$B$13,2,0),"")</f>
        <v/>
      </c>
      <c r="R177" s="14" t="str">
        <f aca="false">IFERROR(VLOOKUP(TRIM('📥 Respostas'!U177),'⚙️ Config'!$A$4:$B$13,2,0),"")</f>
        <v/>
      </c>
      <c r="S177" s="14" t="str">
        <f aca="false">IFERROR(VLOOKUP(TRIM('📥 Respostas'!V177),'⚙️ Config'!$A$4:$B$13,2,0),"")</f>
        <v/>
      </c>
      <c r="T177" s="14" t="str">
        <f aca="false">IFERROR(VLOOKUP(TRIM('📥 Respostas'!W177),'⚙️ Config'!$A$4:$B$13,2,0),"")</f>
        <v/>
      </c>
      <c r="U177" s="14" t="str">
        <f aca="false">IFERROR(VLOOKUP(TRIM('📥 Respostas'!X177),'⚙️ Config'!$A$4:$B$13,2,0),"")</f>
        <v/>
      </c>
      <c r="V177" s="14" t="str">
        <f aca="false">IFERROR(VLOOKUP(TRIM('📥 Respostas'!Y177),'⚙️ Config'!$A$4:$B$13,2,0),"")</f>
        <v/>
      </c>
      <c r="W177" s="14" t="str">
        <f aca="false">IFERROR(VLOOKUP(TRIM('📥 Respostas'!Z177),'⚙️ Config'!$A$4:$B$13,2,0),"")</f>
        <v/>
      </c>
      <c r="X177" s="14" t="str">
        <f aca="false">IFERROR(VLOOKUP(TRIM('📥 Respostas'!AA177),'⚙️ Config'!$A$4:$B$13,2,0),"")</f>
        <v/>
      </c>
      <c r="Y177" s="14" t="str">
        <f aca="false">IFERROR(VLOOKUP(TRIM('📥 Respostas'!AB177),'⚙️ Config'!$A$4:$B$13,2,0),"")</f>
        <v/>
      </c>
      <c r="Z177" s="14" t="str">
        <f aca="false">IFERROR(VLOOKUP(TRIM('📥 Respostas'!AC177),'⚙️ Config'!$A$4:$B$13,2,0),"")</f>
        <v/>
      </c>
      <c r="AA177" s="14" t="str">
        <f aca="false">IFERROR(VLOOKUP(TRIM('📥 Respostas'!AD177),'⚙️ Config'!$A$4:$B$13,2,0),"")</f>
        <v/>
      </c>
      <c r="AB177" s="14" t="str">
        <f aca="false">IFERROR(VLOOKUP(TRIM('📥 Respostas'!AE177),'⚙️ Config'!$A$4:$B$13,2,0),"")</f>
        <v/>
      </c>
      <c r="AC177" s="14" t="str">
        <f aca="false">IFERROR(VLOOKUP(TRIM('📥 Respostas'!AF177),'⚙️ Config'!$A$4:$B$13,2,0),"")</f>
        <v/>
      </c>
      <c r="AD177" s="14" t="str">
        <f aca="false">IFERROR(VLOOKUP(TRIM('📥 Respostas'!AG177),'⚙️ Config'!$A$4:$B$13,2,0),"")</f>
        <v/>
      </c>
      <c r="AE177" s="14" t="str">
        <f aca="false">IFERROR(VLOOKUP(TRIM('📥 Respostas'!AH177),'⚙️ Config'!$A$4:$B$13,2,0),"")</f>
        <v/>
      </c>
      <c r="AF177" s="14" t="str">
        <f aca="false">IFERROR(VLOOKUP(TRIM('📥 Respostas'!AI177),'⚙️ Config'!$C$4:$D$11,2,0),"")</f>
        <v/>
      </c>
      <c r="AG177" s="14" t="str">
        <f aca="false">IFERROR(VLOOKUP(TRIM('📥 Respostas'!AJ177),'⚙️ Config'!$A$4:$B$13,2,0),"")</f>
        <v/>
      </c>
      <c r="AH177" s="14" t="str">
        <f aca="false">IFERROR(VLOOKUP(TRIM('📥 Respostas'!AK177),'⚙️ Config'!$A$4:$B$13,2,0),"")</f>
        <v/>
      </c>
      <c r="AI177" s="14" t="str">
        <f aca="false">IFERROR(VLOOKUP(TRIM('📥 Respostas'!AL177),'⚙️ Config'!$A$4:$B$13,2,0),"")</f>
        <v/>
      </c>
      <c r="AJ177" s="14" t="str">
        <f aca="false">IFERROR(VLOOKUP(TRIM('📥 Respostas'!AM177),'⚙️ Config'!$A$4:$B$13,2,0),"")</f>
        <v/>
      </c>
      <c r="AK177" s="14" t="str">
        <f aca="false">IFERROR(VLOOKUP(TRIM('📥 Respostas'!AN177),'⚙️ Config'!$A$4:$B$13,2,0),"")</f>
        <v/>
      </c>
      <c r="AL177" s="14" t="str">
        <f aca="false">IFERROR(VLOOKUP(TRIM('📥 Respostas'!AO177),'⚙️ Config'!$A$4:$B$13,2,0),"")</f>
        <v/>
      </c>
      <c r="AM177" s="14" t="str">
        <f aca="false">IFERROR(VLOOKUP(TRIM('📥 Respostas'!AP177),'⚙️ Config'!$A$4:$B$13,2,0),"")</f>
        <v/>
      </c>
      <c r="AN177" s="14" t="str">
        <f aca="false">IFERROR(VLOOKUP(TRIM('📥 Respostas'!AQ177),'⚙️ Config'!$A$4:$B$13,2,0),"")</f>
        <v/>
      </c>
      <c r="AO177" s="14" t="str">
        <f aca="false">IFERROR(VLOOKUP(TRIM('📥 Respostas'!AR177),'⚙️ Config'!$A$4:$B$13,2,0),"")</f>
        <v/>
      </c>
      <c r="AP177" s="14" t="str">
        <f aca="false">IFERROR(VLOOKUP(TRIM('📥 Respostas'!AS177),'⚙️ Config'!$A$4:$B$13,2,0),"")</f>
        <v/>
      </c>
      <c r="AQ177" s="14" t="str">
        <f aca="false">IFERROR(VLOOKUP(TRIM('📥 Respostas'!AT177),'⚙️ Config'!$A$4:$B$13,2,0),"")</f>
        <v/>
      </c>
      <c r="AR177" s="14" t="str">
        <f aca="false">IFERROR(VLOOKUP(TRIM('📥 Respostas'!AU177),'⚙️ Config'!$A$4:$B$13,2,0),"")</f>
        <v/>
      </c>
    </row>
    <row r="178" customFormat="false" ht="15" hidden="false" customHeight="false" outlineLevel="0" collapsed="false">
      <c r="A178" s="12" t="str">
        <f aca="false">IF(ISBLANK('📥 Respostas'!D178),"",ROW()-3)</f>
        <v/>
      </c>
      <c r="B178" s="12" t="n">
        <f aca="false">'📥 Respostas'!D178</f>
        <v>0</v>
      </c>
      <c r="C178" s="13" t="n">
        <f aca="false">'📥 Respostas'!C178</f>
        <v>0</v>
      </c>
      <c r="D178" s="14" t="str">
        <f aca="false">IFERROR(VLOOKUP(TRIM('📥 Respostas'!G178),'⚙️ Config'!$A$4:$B$13,2,0),"")</f>
        <v/>
      </c>
      <c r="E178" s="14" t="str">
        <f aca="false">IFERROR(VLOOKUP(TRIM('📥 Respostas'!H178),'⚙️ Config'!$A$4:$B$13,2,0),"")</f>
        <v/>
      </c>
      <c r="F178" s="14" t="str">
        <f aca="false">IFERROR(VLOOKUP(TRIM('📥 Respostas'!I178),'⚙️ Config'!$A$4:$B$13,2,0),"")</f>
        <v/>
      </c>
      <c r="G178" s="14" t="str">
        <f aca="false">IFERROR(VLOOKUP(TRIM('📥 Respostas'!J178),'⚙️ Config'!$A$4:$B$13,2,0),"")</f>
        <v/>
      </c>
      <c r="H178" s="14" t="str">
        <f aca="false">IFERROR(VLOOKUP(TRIM('📥 Respostas'!K178),'⚙️ Config'!$A$4:$B$13,2,0),"")</f>
        <v/>
      </c>
      <c r="I178" s="14" t="str">
        <f aca="false">IFERROR(VLOOKUP(TRIM('📥 Respostas'!L178),'⚙️ Config'!$A$4:$B$13,2,0),"")</f>
        <v/>
      </c>
      <c r="J178" s="14" t="str">
        <f aca="false">IFERROR(VLOOKUP(TRIM('📥 Respostas'!M178),'⚙️ Config'!$A$4:$B$13,2,0),"")</f>
        <v/>
      </c>
      <c r="K178" s="14" t="str">
        <f aca="false">IFERROR(VLOOKUP(TRIM('📥 Respostas'!N178),'⚙️ Config'!$A$4:$B$13,2,0),"")</f>
        <v/>
      </c>
      <c r="L178" s="14" t="str">
        <f aca="false">IFERROR(VLOOKUP(TRIM('📥 Respostas'!O178),'⚙️ Config'!$A$4:$B$13,2,0),"")</f>
        <v/>
      </c>
      <c r="M178" s="14" t="str">
        <f aca="false">IFERROR(VLOOKUP(TRIM('📥 Respostas'!P178),'⚙️ Config'!$A$4:$B$13,2,0),"")</f>
        <v/>
      </c>
      <c r="N178" s="14" t="str">
        <f aca="false">IFERROR(VLOOKUP(TRIM('📥 Respostas'!Q178),'⚙️ Config'!$A$4:$B$13,2,0),"")</f>
        <v/>
      </c>
      <c r="O178" s="14" t="str">
        <f aca="false">IFERROR(VLOOKUP(TRIM('📥 Respostas'!R178),'⚙️ Config'!$A$4:$B$13,2,0),"")</f>
        <v/>
      </c>
      <c r="P178" s="14" t="str">
        <f aca="false">IFERROR(VLOOKUP(TRIM('📥 Respostas'!S178),'⚙️ Config'!$A$4:$B$13,2,0),"")</f>
        <v/>
      </c>
      <c r="Q178" s="14" t="str">
        <f aca="false">IFERROR(VLOOKUP(TRIM('📥 Respostas'!T178),'⚙️ Config'!$A$4:$B$13,2,0),"")</f>
        <v/>
      </c>
      <c r="R178" s="14" t="str">
        <f aca="false">IFERROR(VLOOKUP(TRIM('📥 Respostas'!U178),'⚙️ Config'!$A$4:$B$13,2,0),"")</f>
        <v/>
      </c>
      <c r="S178" s="14" t="str">
        <f aca="false">IFERROR(VLOOKUP(TRIM('📥 Respostas'!V178),'⚙️ Config'!$A$4:$B$13,2,0),"")</f>
        <v/>
      </c>
      <c r="T178" s="14" t="str">
        <f aca="false">IFERROR(VLOOKUP(TRIM('📥 Respostas'!W178),'⚙️ Config'!$A$4:$B$13,2,0),"")</f>
        <v/>
      </c>
      <c r="U178" s="14" t="str">
        <f aca="false">IFERROR(VLOOKUP(TRIM('📥 Respostas'!X178),'⚙️ Config'!$A$4:$B$13,2,0),"")</f>
        <v/>
      </c>
      <c r="V178" s="14" t="str">
        <f aca="false">IFERROR(VLOOKUP(TRIM('📥 Respostas'!Y178),'⚙️ Config'!$A$4:$B$13,2,0),"")</f>
        <v/>
      </c>
      <c r="W178" s="14" t="str">
        <f aca="false">IFERROR(VLOOKUP(TRIM('📥 Respostas'!Z178),'⚙️ Config'!$A$4:$B$13,2,0),"")</f>
        <v/>
      </c>
      <c r="X178" s="14" t="str">
        <f aca="false">IFERROR(VLOOKUP(TRIM('📥 Respostas'!AA178),'⚙️ Config'!$A$4:$B$13,2,0),"")</f>
        <v/>
      </c>
      <c r="Y178" s="14" t="str">
        <f aca="false">IFERROR(VLOOKUP(TRIM('📥 Respostas'!AB178),'⚙️ Config'!$A$4:$B$13,2,0),"")</f>
        <v/>
      </c>
      <c r="Z178" s="14" t="str">
        <f aca="false">IFERROR(VLOOKUP(TRIM('📥 Respostas'!AC178),'⚙️ Config'!$A$4:$B$13,2,0),"")</f>
        <v/>
      </c>
      <c r="AA178" s="14" t="str">
        <f aca="false">IFERROR(VLOOKUP(TRIM('📥 Respostas'!AD178),'⚙️ Config'!$A$4:$B$13,2,0),"")</f>
        <v/>
      </c>
      <c r="AB178" s="14" t="str">
        <f aca="false">IFERROR(VLOOKUP(TRIM('📥 Respostas'!AE178),'⚙️ Config'!$A$4:$B$13,2,0),"")</f>
        <v/>
      </c>
      <c r="AC178" s="14" t="str">
        <f aca="false">IFERROR(VLOOKUP(TRIM('📥 Respostas'!AF178),'⚙️ Config'!$A$4:$B$13,2,0),"")</f>
        <v/>
      </c>
      <c r="AD178" s="14" t="str">
        <f aca="false">IFERROR(VLOOKUP(TRIM('📥 Respostas'!AG178),'⚙️ Config'!$A$4:$B$13,2,0),"")</f>
        <v/>
      </c>
      <c r="AE178" s="14" t="str">
        <f aca="false">IFERROR(VLOOKUP(TRIM('📥 Respostas'!AH178),'⚙️ Config'!$A$4:$B$13,2,0),"")</f>
        <v/>
      </c>
      <c r="AF178" s="14" t="str">
        <f aca="false">IFERROR(VLOOKUP(TRIM('📥 Respostas'!AI178),'⚙️ Config'!$C$4:$D$11,2,0),"")</f>
        <v/>
      </c>
      <c r="AG178" s="14" t="str">
        <f aca="false">IFERROR(VLOOKUP(TRIM('📥 Respostas'!AJ178),'⚙️ Config'!$A$4:$B$13,2,0),"")</f>
        <v/>
      </c>
      <c r="AH178" s="14" t="str">
        <f aca="false">IFERROR(VLOOKUP(TRIM('📥 Respostas'!AK178),'⚙️ Config'!$A$4:$B$13,2,0),"")</f>
        <v/>
      </c>
      <c r="AI178" s="14" t="str">
        <f aca="false">IFERROR(VLOOKUP(TRIM('📥 Respostas'!AL178),'⚙️ Config'!$A$4:$B$13,2,0),"")</f>
        <v/>
      </c>
      <c r="AJ178" s="14" t="str">
        <f aca="false">IFERROR(VLOOKUP(TRIM('📥 Respostas'!AM178),'⚙️ Config'!$A$4:$B$13,2,0),"")</f>
        <v/>
      </c>
      <c r="AK178" s="14" t="str">
        <f aca="false">IFERROR(VLOOKUP(TRIM('📥 Respostas'!AN178),'⚙️ Config'!$A$4:$B$13,2,0),"")</f>
        <v/>
      </c>
      <c r="AL178" s="14" t="str">
        <f aca="false">IFERROR(VLOOKUP(TRIM('📥 Respostas'!AO178),'⚙️ Config'!$A$4:$B$13,2,0),"")</f>
        <v/>
      </c>
      <c r="AM178" s="14" t="str">
        <f aca="false">IFERROR(VLOOKUP(TRIM('📥 Respostas'!AP178),'⚙️ Config'!$A$4:$B$13,2,0),"")</f>
        <v/>
      </c>
      <c r="AN178" s="14" t="str">
        <f aca="false">IFERROR(VLOOKUP(TRIM('📥 Respostas'!AQ178),'⚙️ Config'!$A$4:$B$13,2,0),"")</f>
        <v/>
      </c>
      <c r="AO178" s="14" t="str">
        <f aca="false">IFERROR(VLOOKUP(TRIM('📥 Respostas'!AR178),'⚙️ Config'!$A$4:$B$13,2,0),"")</f>
        <v/>
      </c>
      <c r="AP178" s="14" t="str">
        <f aca="false">IFERROR(VLOOKUP(TRIM('📥 Respostas'!AS178),'⚙️ Config'!$A$4:$B$13,2,0),"")</f>
        <v/>
      </c>
      <c r="AQ178" s="14" t="str">
        <f aca="false">IFERROR(VLOOKUP(TRIM('📥 Respostas'!AT178),'⚙️ Config'!$A$4:$B$13,2,0),"")</f>
        <v/>
      </c>
      <c r="AR178" s="14" t="str">
        <f aca="false">IFERROR(VLOOKUP(TRIM('📥 Respostas'!AU178),'⚙️ Config'!$A$4:$B$13,2,0),"")</f>
        <v/>
      </c>
    </row>
    <row r="179" customFormat="false" ht="15" hidden="false" customHeight="false" outlineLevel="0" collapsed="false">
      <c r="A179" s="15" t="str">
        <f aca="false">IF(ISBLANK('📥 Respostas'!D179),"",ROW()-3)</f>
        <v/>
      </c>
      <c r="B179" s="15" t="n">
        <f aca="false">'📥 Respostas'!D179</f>
        <v>0</v>
      </c>
      <c r="C179" s="5" t="n">
        <f aca="false">'📥 Respostas'!C179</f>
        <v>0</v>
      </c>
      <c r="D179" s="14" t="str">
        <f aca="false">IFERROR(VLOOKUP(TRIM('📥 Respostas'!G179),'⚙️ Config'!$A$4:$B$13,2,0),"")</f>
        <v/>
      </c>
      <c r="E179" s="14" t="str">
        <f aca="false">IFERROR(VLOOKUP(TRIM('📥 Respostas'!H179),'⚙️ Config'!$A$4:$B$13,2,0),"")</f>
        <v/>
      </c>
      <c r="F179" s="14" t="str">
        <f aca="false">IFERROR(VLOOKUP(TRIM('📥 Respostas'!I179),'⚙️ Config'!$A$4:$B$13,2,0),"")</f>
        <v/>
      </c>
      <c r="G179" s="14" t="str">
        <f aca="false">IFERROR(VLOOKUP(TRIM('📥 Respostas'!J179),'⚙️ Config'!$A$4:$B$13,2,0),"")</f>
        <v/>
      </c>
      <c r="H179" s="14" t="str">
        <f aca="false">IFERROR(VLOOKUP(TRIM('📥 Respostas'!K179),'⚙️ Config'!$A$4:$B$13,2,0),"")</f>
        <v/>
      </c>
      <c r="I179" s="14" t="str">
        <f aca="false">IFERROR(VLOOKUP(TRIM('📥 Respostas'!L179),'⚙️ Config'!$A$4:$B$13,2,0),"")</f>
        <v/>
      </c>
      <c r="J179" s="14" t="str">
        <f aca="false">IFERROR(VLOOKUP(TRIM('📥 Respostas'!M179),'⚙️ Config'!$A$4:$B$13,2,0),"")</f>
        <v/>
      </c>
      <c r="K179" s="14" t="str">
        <f aca="false">IFERROR(VLOOKUP(TRIM('📥 Respostas'!N179),'⚙️ Config'!$A$4:$B$13,2,0),"")</f>
        <v/>
      </c>
      <c r="L179" s="14" t="str">
        <f aca="false">IFERROR(VLOOKUP(TRIM('📥 Respostas'!O179),'⚙️ Config'!$A$4:$B$13,2,0),"")</f>
        <v/>
      </c>
      <c r="M179" s="14" t="str">
        <f aca="false">IFERROR(VLOOKUP(TRIM('📥 Respostas'!P179),'⚙️ Config'!$A$4:$B$13,2,0),"")</f>
        <v/>
      </c>
      <c r="N179" s="14" t="str">
        <f aca="false">IFERROR(VLOOKUP(TRIM('📥 Respostas'!Q179),'⚙️ Config'!$A$4:$B$13,2,0),"")</f>
        <v/>
      </c>
      <c r="O179" s="14" t="str">
        <f aca="false">IFERROR(VLOOKUP(TRIM('📥 Respostas'!R179),'⚙️ Config'!$A$4:$B$13,2,0),"")</f>
        <v/>
      </c>
      <c r="P179" s="14" t="str">
        <f aca="false">IFERROR(VLOOKUP(TRIM('📥 Respostas'!S179),'⚙️ Config'!$A$4:$B$13,2,0),"")</f>
        <v/>
      </c>
      <c r="Q179" s="14" t="str">
        <f aca="false">IFERROR(VLOOKUP(TRIM('📥 Respostas'!T179),'⚙️ Config'!$A$4:$B$13,2,0),"")</f>
        <v/>
      </c>
      <c r="R179" s="14" t="str">
        <f aca="false">IFERROR(VLOOKUP(TRIM('📥 Respostas'!U179),'⚙️ Config'!$A$4:$B$13,2,0),"")</f>
        <v/>
      </c>
      <c r="S179" s="14" t="str">
        <f aca="false">IFERROR(VLOOKUP(TRIM('📥 Respostas'!V179),'⚙️ Config'!$A$4:$B$13,2,0),"")</f>
        <v/>
      </c>
      <c r="T179" s="14" t="str">
        <f aca="false">IFERROR(VLOOKUP(TRIM('📥 Respostas'!W179),'⚙️ Config'!$A$4:$B$13,2,0),"")</f>
        <v/>
      </c>
      <c r="U179" s="14" t="str">
        <f aca="false">IFERROR(VLOOKUP(TRIM('📥 Respostas'!X179),'⚙️ Config'!$A$4:$B$13,2,0),"")</f>
        <v/>
      </c>
      <c r="V179" s="14" t="str">
        <f aca="false">IFERROR(VLOOKUP(TRIM('📥 Respostas'!Y179),'⚙️ Config'!$A$4:$B$13,2,0),"")</f>
        <v/>
      </c>
      <c r="W179" s="14" t="str">
        <f aca="false">IFERROR(VLOOKUP(TRIM('📥 Respostas'!Z179),'⚙️ Config'!$A$4:$B$13,2,0),"")</f>
        <v/>
      </c>
      <c r="X179" s="14" t="str">
        <f aca="false">IFERROR(VLOOKUP(TRIM('📥 Respostas'!AA179),'⚙️ Config'!$A$4:$B$13,2,0),"")</f>
        <v/>
      </c>
      <c r="Y179" s="14" t="str">
        <f aca="false">IFERROR(VLOOKUP(TRIM('📥 Respostas'!AB179),'⚙️ Config'!$A$4:$B$13,2,0),"")</f>
        <v/>
      </c>
      <c r="Z179" s="14" t="str">
        <f aca="false">IFERROR(VLOOKUP(TRIM('📥 Respostas'!AC179),'⚙️ Config'!$A$4:$B$13,2,0),"")</f>
        <v/>
      </c>
      <c r="AA179" s="14" t="str">
        <f aca="false">IFERROR(VLOOKUP(TRIM('📥 Respostas'!AD179),'⚙️ Config'!$A$4:$B$13,2,0),"")</f>
        <v/>
      </c>
      <c r="AB179" s="14" t="str">
        <f aca="false">IFERROR(VLOOKUP(TRIM('📥 Respostas'!AE179),'⚙️ Config'!$A$4:$B$13,2,0),"")</f>
        <v/>
      </c>
      <c r="AC179" s="14" t="str">
        <f aca="false">IFERROR(VLOOKUP(TRIM('📥 Respostas'!AF179),'⚙️ Config'!$A$4:$B$13,2,0),"")</f>
        <v/>
      </c>
      <c r="AD179" s="14" t="str">
        <f aca="false">IFERROR(VLOOKUP(TRIM('📥 Respostas'!AG179),'⚙️ Config'!$A$4:$B$13,2,0),"")</f>
        <v/>
      </c>
      <c r="AE179" s="14" t="str">
        <f aca="false">IFERROR(VLOOKUP(TRIM('📥 Respostas'!AH179),'⚙️ Config'!$A$4:$B$13,2,0),"")</f>
        <v/>
      </c>
      <c r="AF179" s="14" t="str">
        <f aca="false">IFERROR(VLOOKUP(TRIM('📥 Respostas'!AI179),'⚙️ Config'!$C$4:$D$11,2,0),"")</f>
        <v/>
      </c>
      <c r="AG179" s="14" t="str">
        <f aca="false">IFERROR(VLOOKUP(TRIM('📥 Respostas'!AJ179),'⚙️ Config'!$A$4:$B$13,2,0),"")</f>
        <v/>
      </c>
      <c r="AH179" s="14" t="str">
        <f aca="false">IFERROR(VLOOKUP(TRIM('📥 Respostas'!AK179),'⚙️ Config'!$A$4:$B$13,2,0),"")</f>
        <v/>
      </c>
      <c r="AI179" s="14" t="str">
        <f aca="false">IFERROR(VLOOKUP(TRIM('📥 Respostas'!AL179),'⚙️ Config'!$A$4:$B$13,2,0),"")</f>
        <v/>
      </c>
      <c r="AJ179" s="14" t="str">
        <f aca="false">IFERROR(VLOOKUP(TRIM('📥 Respostas'!AM179),'⚙️ Config'!$A$4:$B$13,2,0),"")</f>
        <v/>
      </c>
      <c r="AK179" s="14" t="str">
        <f aca="false">IFERROR(VLOOKUP(TRIM('📥 Respostas'!AN179),'⚙️ Config'!$A$4:$B$13,2,0),"")</f>
        <v/>
      </c>
      <c r="AL179" s="14" t="str">
        <f aca="false">IFERROR(VLOOKUP(TRIM('📥 Respostas'!AO179),'⚙️ Config'!$A$4:$B$13,2,0),"")</f>
        <v/>
      </c>
      <c r="AM179" s="14" t="str">
        <f aca="false">IFERROR(VLOOKUP(TRIM('📥 Respostas'!AP179),'⚙️ Config'!$A$4:$B$13,2,0),"")</f>
        <v/>
      </c>
      <c r="AN179" s="14" t="str">
        <f aca="false">IFERROR(VLOOKUP(TRIM('📥 Respostas'!AQ179),'⚙️ Config'!$A$4:$B$13,2,0),"")</f>
        <v/>
      </c>
      <c r="AO179" s="14" t="str">
        <f aca="false">IFERROR(VLOOKUP(TRIM('📥 Respostas'!AR179),'⚙️ Config'!$A$4:$B$13,2,0),"")</f>
        <v/>
      </c>
      <c r="AP179" s="14" t="str">
        <f aca="false">IFERROR(VLOOKUP(TRIM('📥 Respostas'!AS179),'⚙️ Config'!$A$4:$B$13,2,0),"")</f>
        <v/>
      </c>
      <c r="AQ179" s="14" t="str">
        <f aca="false">IFERROR(VLOOKUP(TRIM('📥 Respostas'!AT179),'⚙️ Config'!$A$4:$B$13,2,0),"")</f>
        <v/>
      </c>
      <c r="AR179" s="14" t="str">
        <f aca="false">IFERROR(VLOOKUP(TRIM('📥 Respostas'!AU179),'⚙️ Config'!$A$4:$B$13,2,0),"")</f>
        <v/>
      </c>
    </row>
    <row r="180" customFormat="false" ht="15" hidden="false" customHeight="false" outlineLevel="0" collapsed="false">
      <c r="A180" s="12" t="str">
        <f aca="false">IF(ISBLANK('📥 Respostas'!D180),"",ROW()-3)</f>
        <v/>
      </c>
      <c r="B180" s="12" t="n">
        <f aca="false">'📥 Respostas'!D180</f>
        <v>0</v>
      </c>
      <c r="C180" s="13" t="n">
        <f aca="false">'📥 Respostas'!C180</f>
        <v>0</v>
      </c>
      <c r="D180" s="14" t="str">
        <f aca="false">IFERROR(VLOOKUP(TRIM('📥 Respostas'!G180),'⚙️ Config'!$A$4:$B$13,2,0),"")</f>
        <v/>
      </c>
      <c r="E180" s="14" t="str">
        <f aca="false">IFERROR(VLOOKUP(TRIM('📥 Respostas'!H180),'⚙️ Config'!$A$4:$B$13,2,0),"")</f>
        <v/>
      </c>
      <c r="F180" s="14" t="str">
        <f aca="false">IFERROR(VLOOKUP(TRIM('📥 Respostas'!I180),'⚙️ Config'!$A$4:$B$13,2,0),"")</f>
        <v/>
      </c>
      <c r="G180" s="14" t="str">
        <f aca="false">IFERROR(VLOOKUP(TRIM('📥 Respostas'!J180),'⚙️ Config'!$A$4:$B$13,2,0),"")</f>
        <v/>
      </c>
      <c r="H180" s="14" t="str">
        <f aca="false">IFERROR(VLOOKUP(TRIM('📥 Respostas'!K180),'⚙️ Config'!$A$4:$B$13,2,0),"")</f>
        <v/>
      </c>
      <c r="I180" s="14" t="str">
        <f aca="false">IFERROR(VLOOKUP(TRIM('📥 Respostas'!L180),'⚙️ Config'!$A$4:$B$13,2,0),"")</f>
        <v/>
      </c>
      <c r="J180" s="14" t="str">
        <f aca="false">IFERROR(VLOOKUP(TRIM('📥 Respostas'!M180),'⚙️ Config'!$A$4:$B$13,2,0),"")</f>
        <v/>
      </c>
      <c r="K180" s="14" t="str">
        <f aca="false">IFERROR(VLOOKUP(TRIM('📥 Respostas'!N180),'⚙️ Config'!$A$4:$B$13,2,0),"")</f>
        <v/>
      </c>
      <c r="L180" s="14" t="str">
        <f aca="false">IFERROR(VLOOKUP(TRIM('📥 Respostas'!O180),'⚙️ Config'!$A$4:$B$13,2,0),"")</f>
        <v/>
      </c>
      <c r="M180" s="14" t="str">
        <f aca="false">IFERROR(VLOOKUP(TRIM('📥 Respostas'!P180),'⚙️ Config'!$A$4:$B$13,2,0),"")</f>
        <v/>
      </c>
      <c r="N180" s="14" t="str">
        <f aca="false">IFERROR(VLOOKUP(TRIM('📥 Respostas'!Q180),'⚙️ Config'!$A$4:$B$13,2,0),"")</f>
        <v/>
      </c>
      <c r="O180" s="14" t="str">
        <f aca="false">IFERROR(VLOOKUP(TRIM('📥 Respostas'!R180),'⚙️ Config'!$A$4:$B$13,2,0),"")</f>
        <v/>
      </c>
      <c r="P180" s="14" t="str">
        <f aca="false">IFERROR(VLOOKUP(TRIM('📥 Respostas'!S180),'⚙️ Config'!$A$4:$B$13,2,0),"")</f>
        <v/>
      </c>
      <c r="Q180" s="14" t="str">
        <f aca="false">IFERROR(VLOOKUP(TRIM('📥 Respostas'!T180),'⚙️ Config'!$A$4:$B$13,2,0),"")</f>
        <v/>
      </c>
      <c r="R180" s="14" t="str">
        <f aca="false">IFERROR(VLOOKUP(TRIM('📥 Respostas'!U180),'⚙️ Config'!$A$4:$B$13,2,0),"")</f>
        <v/>
      </c>
      <c r="S180" s="14" t="str">
        <f aca="false">IFERROR(VLOOKUP(TRIM('📥 Respostas'!V180),'⚙️ Config'!$A$4:$B$13,2,0),"")</f>
        <v/>
      </c>
      <c r="T180" s="14" t="str">
        <f aca="false">IFERROR(VLOOKUP(TRIM('📥 Respostas'!W180),'⚙️ Config'!$A$4:$B$13,2,0),"")</f>
        <v/>
      </c>
      <c r="U180" s="14" t="str">
        <f aca="false">IFERROR(VLOOKUP(TRIM('📥 Respostas'!X180),'⚙️ Config'!$A$4:$B$13,2,0),"")</f>
        <v/>
      </c>
      <c r="V180" s="14" t="str">
        <f aca="false">IFERROR(VLOOKUP(TRIM('📥 Respostas'!Y180),'⚙️ Config'!$A$4:$B$13,2,0),"")</f>
        <v/>
      </c>
      <c r="W180" s="14" t="str">
        <f aca="false">IFERROR(VLOOKUP(TRIM('📥 Respostas'!Z180),'⚙️ Config'!$A$4:$B$13,2,0),"")</f>
        <v/>
      </c>
      <c r="X180" s="14" t="str">
        <f aca="false">IFERROR(VLOOKUP(TRIM('📥 Respostas'!AA180),'⚙️ Config'!$A$4:$B$13,2,0),"")</f>
        <v/>
      </c>
      <c r="Y180" s="14" t="str">
        <f aca="false">IFERROR(VLOOKUP(TRIM('📥 Respostas'!AB180),'⚙️ Config'!$A$4:$B$13,2,0),"")</f>
        <v/>
      </c>
      <c r="Z180" s="14" t="str">
        <f aca="false">IFERROR(VLOOKUP(TRIM('📥 Respostas'!AC180),'⚙️ Config'!$A$4:$B$13,2,0),"")</f>
        <v/>
      </c>
      <c r="AA180" s="14" t="str">
        <f aca="false">IFERROR(VLOOKUP(TRIM('📥 Respostas'!AD180),'⚙️ Config'!$A$4:$B$13,2,0),"")</f>
        <v/>
      </c>
      <c r="AB180" s="14" t="str">
        <f aca="false">IFERROR(VLOOKUP(TRIM('📥 Respostas'!AE180),'⚙️ Config'!$A$4:$B$13,2,0),"")</f>
        <v/>
      </c>
      <c r="AC180" s="14" t="str">
        <f aca="false">IFERROR(VLOOKUP(TRIM('📥 Respostas'!AF180),'⚙️ Config'!$A$4:$B$13,2,0),"")</f>
        <v/>
      </c>
      <c r="AD180" s="14" t="str">
        <f aca="false">IFERROR(VLOOKUP(TRIM('📥 Respostas'!AG180),'⚙️ Config'!$A$4:$B$13,2,0),"")</f>
        <v/>
      </c>
      <c r="AE180" s="14" t="str">
        <f aca="false">IFERROR(VLOOKUP(TRIM('📥 Respostas'!AH180),'⚙️ Config'!$A$4:$B$13,2,0),"")</f>
        <v/>
      </c>
      <c r="AF180" s="14" t="str">
        <f aca="false">IFERROR(VLOOKUP(TRIM('📥 Respostas'!AI180),'⚙️ Config'!$C$4:$D$11,2,0),"")</f>
        <v/>
      </c>
      <c r="AG180" s="14" t="str">
        <f aca="false">IFERROR(VLOOKUP(TRIM('📥 Respostas'!AJ180),'⚙️ Config'!$A$4:$B$13,2,0),"")</f>
        <v/>
      </c>
      <c r="AH180" s="14" t="str">
        <f aca="false">IFERROR(VLOOKUP(TRIM('📥 Respostas'!AK180),'⚙️ Config'!$A$4:$B$13,2,0),"")</f>
        <v/>
      </c>
      <c r="AI180" s="14" t="str">
        <f aca="false">IFERROR(VLOOKUP(TRIM('📥 Respostas'!AL180),'⚙️ Config'!$A$4:$B$13,2,0),"")</f>
        <v/>
      </c>
      <c r="AJ180" s="14" t="str">
        <f aca="false">IFERROR(VLOOKUP(TRIM('📥 Respostas'!AM180),'⚙️ Config'!$A$4:$B$13,2,0),"")</f>
        <v/>
      </c>
      <c r="AK180" s="14" t="str">
        <f aca="false">IFERROR(VLOOKUP(TRIM('📥 Respostas'!AN180),'⚙️ Config'!$A$4:$B$13,2,0),"")</f>
        <v/>
      </c>
      <c r="AL180" s="14" t="str">
        <f aca="false">IFERROR(VLOOKUP(TRIM('📥 Respostas'!AO180),'⚙️ Config'!$A$4:$B$13,2,0),"")</f>
        <v/>
      </c>
      <c r="AM180" s="14" t="str">
        <f aca="false">IFERROR(VLOOKUP(TRIM('📥 Respostas'!AP180),'⚙️ Config'!$A$4:$B$13,2,0),"")</f>
        <v/>
      </c>
      <c r="AN180" s="14" t="str">
        <f aca="false">IFERROR(VLOOKUP(TRIM('📥 Respostas'!AQ180),'⚙️ Config'!$A$4:$B$13,2,0),"")</f>
        <v/>
      </c>
      <c r="AO180" s="14" t="str">
        <f aca="false">IFERROR(VLOOKUP(TRIM('📥 Respostas'!AR180),'⚙️ Config'!$A$4:$B$13,2,0),"")</f>
        <v/>
      </c>
      <c r="AP180" s="14" t="str">
        <f aca="false">IFERROR(VLOOKUP(TRIM('📥 Respostas'!AS180),'⚙️ Config'!$A$4:$B$13,2,0),"")</f>
        <v/>
      </c>
      <c r="AQ180" s="14" t="str">
        <f aca="false">IFERROR(VLOOKUP(TRIM('📥 Respostas'!AT180),'⚙️ Config'!$A$4:$B$13,2,0),"")</f>
        <v/>
      </c>
      <c r="AR180" s="14" t="str">
        <f aca="false">IFERROR(VLOOKUP(TRIM('📥 Respostas'!AU180),'⚙️ Config'!$A$4:$B$13,2,0),"")</f>
        <v/>
      </c>
    </row>
    <row r="181" customFormat="false" ht="15" hidden="false" customHeight="false" outlineLevel="0" collapsed="false">
      <c r="A181" s="15" t="str">
        <f aca="false">IF(ISBLANK('📥 Respostas'!D181),"",ROW()-3)</f>
        <v/>
      </c>
      <c r="B181" s="15" t="n">
        <f aca="false">'📥 Respostas'!D181</f>
        <v>0</v>
      </c>
      <c r="C181" s="5" t="n">
        <f aca="false">'📥 Respostas'!C181</f>
        <v>0</v>
      </c>
      <c r="D181" s="14" t="str">
        <f aca="false">IFERROR(VLOOKUP(TRIM('📥 Respostas'!G181),'⚙️ Config'!$A$4:$B$13,2,0),"")</f>
        <v/>
      </c>
      <c r="E181" s="14" t="str">
        <f aca="false">IFERROR(VLOOKUP(TRIM('📥 Respostas'!H181),'⚙️ Config'!$A$4:$B$13,2,0),"")</f>
        <v/>
      </c>
      <c r="F181" s="14" t="str">
        <f aca="false">IFERROR(VLOOKUP(TRIM('📥 Respostas'!I181),'⚙️ Config'!$A$4:$B$13,2,0),"")</f>
        <v/>
      </c>
      <c r="G181" s="14" t="str">
        <f aca="false">IFERROR(VLOOKUP(TRIM('📥 Respostas'!J181),'⚙️ Config'!$A$4:$B$13,2,0),"")</f>
        <v/>
      </c>
      <c r="H181" s="14" t="str">
        <f aca="false">IFERROR(VLOOKUP(TRIM('📥 Respostas'!K181),'⚙️ Config'!$A$4:$B$13,2,0),"")</f>
        <v/>
      </c>
      <c r="I181" s="14" t="str">
        <f aca="false">IFERROR(VLOOKUP(TRIM('📥 Respostas'!L181),'⚙️ Config'!$A$4:$B$13,2,0),"")</f>
        <v/>
      </c>
      <c r="J181" s="14" t="str">
        <f aca="false">IFERROR(VLOOKUP(TRIM('📥 Respostas'!M181),'⚙️ Config'!$A$4:$B$13,2,0),"")</f>
        <v/>
      </c>
      <c r="K181" s="14" t="str">
        <f aca="false">IFERROR(VLOOKUP(TRIM('📥 Respostas'!N181),'⚙️ Config'!$A$4:$B$13,2,0),"")</f>
        <v/>
      </c>
      <c r="L181" s="14" t="str">
        <f aca="false">IFERROR(VLOOKUP(TRIM('📥 Respostas'!O181),'⚙️ Config'!$A$4:$B$13,2,0),"")</f>
        <v/>
      </c>
      <c r="M181" s="14" t="str">
        <f aca="false">IFERROR(VLOOKUP(TRIM('📥 Respostas'!P181),'⚙️ Config'!$A$4:$B$13,2,0),"")</f>
        <v/>
      </c>
      <c r="N181" s="14" t="str">
        <f aca="false">IFERROR(VLOOKUP(TRIM('📥 Respostas'!Q181),'⚙️ Config'!$A$4:$B$13,2,0),"")</f>
        <v/>
      </c>
      <c r="O181" s="14" t="str">
        <f aca="false">IFERROR(VLOOKUP(TRIM('📥 Respostas'!R181),'⚙️ Config'!$A$4:$B$13,2,0),"")</f>
        <v/>
      </c>
      <c r="P181" s="14" t="str">
        <f aca="false">IFERROR(VLOOKUP(TRIM('📥 Respostas'!S181),'⚙️ Config'!$A$4:$B$13,2,0),"")</f>
        <v/>
      </c>
      <c r="Q181" s="14" t="str">
        <f aca="false">IFERROR(VLOOKUP(TRIM('📥 Respostas'!T181),'⚙️ Config'!$A$4:$B$13,2,0),"")</f>
        <v/>
      </c>
      <c r="R181" s="14" t="str">
        <f aca="false">IFERROR(VLOOKUP(TRIM('📥 Respostas'!U181),'⚙️ Config'!$A$4:$B$13,2,0),"")</f>
        <v/>
      </c>
      <c r="S181" s="14" t="str">
        <f aca="false">IFERROR(VLOOKUP(TRIM('📥 Respostas'!V181),'⚙️ Config'!$A$4:$B$13,2,0),"")</f>
        <v/>
      </c>
      <c r="T181" s="14" t="str">
        <f aca="false">IFERROR(VLOOKUP(TRIM('📥 Respostas'!W181),'⚙️ Config'!$A$4:$B$13,2,0),"")</f>
        <v/>
      </c>
      <c r="U181" s="14" t="str">
        <f aca="false">IFERROR(VLOOKUP(TRIM('📥 Respostas'!X181),'⚙️ Config'!$A$4:$B$13,2,0),"")</f>
        <v/>
      </c>
      <c r="V181" s="14" t="str">
        <f aca="false">IFERROR(VLOOKUP(TRIM('📥 Respostas'!Y181),'⚙️ Config'!$A$4:$B$13,2,0),"")</f>
        <v/>
      </c>
      <c r="W181" s="14" t="str">
        <f aca="false">IFERROR(VLOOKUP(TRIM('📥 Respostas'!Z181),'⚙️ Config'!$A$4:$B$13,2,0),"")</f>
        <v/>
      </c>
      <c r="X181" s="14" t="str">
        <f aca="false">IFERROR(VLOOKUP(TRIM('📥 Respostas'!AA181),'⚙️ Config'!$A$4:$B$13,2,0),"")</f>
        <v/>
      </c>
      <c r="Y181" s="14" t="str">
        <f aca="false">IFERROR(VLOOKUP(TRIM('📥 Respostas'!AB181),'⚙️ Config'!$A$4:$B$13,2,0),"")</f>
        <v/>
      </c>
      <c r="Z181" s="14" t="str">
        <f aca="false">IFERROR(VLOOKUP(TRIM('📥 Respostas'!AC181),'⚙️ Config'!$A$4:$B$13,2,0),"")</f>
        <v/>
      </c>
      <c r="AA181" s="14" t="str">
        <f aca="false">IFERROR(VLOOKUP(TRIM('📥 Respostas'!AD181),'⚙️ Config'!$A$4:$B$13,2,0),"")</f>
        <v/>
      </c>
      <c r="AB181" s="14" t="str">
        <f aca="false">IFERROR(VLOOKUP(TRIM('📥 Respostas'!AE181),'⚙️ Config'!$A$4:$B$13,2,0),"")</f>
        <v/>
      </c>
      <c r="AC181" s="14" t="str">
        <f aca="false">IFERROR(VLOOKUP(TRIM('📥 Respostas'!AF181),'⚙️ Config'!$A$4:$B$13,2,0),"")</f>
        <v/>
      </c>
      <c r="AD181" s="14" t="str">
        <f aca="false">IFERROR(VLOOKUP(TRIM('📥 Respostas'!AG181),'⚙️ Config'!$A$4:$B$13,2,0),"")</f>
        <v/>
      </c>
      <c r="AE181" s="14" t="str">
        <f aca="false">IFERROR(VLOOKUP(TRIM('📥 Respostas'!AH181),'⚙️ Config'!$A$4:$B$13,2,0),"")</f>
        <v/>
      </c>
      <c r="AF181" s="14" t="str">
        <f aca="false">IFERROR(VLOOKUP(TRIM('📥 Respostas'!AI181),'⚙️ Config'!$C$4:$D$11,2,0),"")</f>
        <v/>
      </c>
      <c r="AG181" s="14" t="str">
        <f aca="false">IFERROR(VLOOKUP(TRIM('📥 Respostas'!AJ181),'⚙️ Config'!$A$4:$B$13,2,0),"")</f>
        <v/>
      </c>
      <c r="AH181" s="14" t="str">
        <f aca="false">IFERROR(VLOOKUP(TRIM('📥 Respostas'!AK181),'⚙️ Config'!$A$4:$B$13,2,0),"")</f>
        <v/>
      </c>
      <c r="AI181" s="14" t="str">
        <f aca="false">IFERROR(VLOOKUP(TRIM('📥 Respostas'!AL181),'⚙️ Config'!$A$4:$B$13,2,0),"")</f>
        <v/>
      </c>
      <c r="AJ181" s="14" t="str">
        <f aca="false">IFERROR(VLOOKUP(TRIM('📥 Respostas'!AM181),'⚙️ Config'!$A$4:$B$13,2,0),"")</f>
        <v/>
      </c>
      <c r="AK181" s="14" t="str">
        <f aca="false">IFERROR(VLOOKUP(TRIM('📥 Respostas'!AN181),'⚙️ Config'!$A$4:$B$13,2,0),"")</f>
        <v/>
      </c>
      <c r="AL181" s="14" t="str">
        <f aca="false">IFERROR(VLOOKUP(TRIM('📥 Respostas'!AO181),'⚙️ Config'!$A$4:$B$13,2,0),"")</f>
        <v/>
      </c>
      <c r="AM181" s="14" t="str">
        <f aca="false">IFERROR(VLOOKUP(TRIM('📥 Respostas'!AP181),'⚙️ Config'!$A$4:$B$13,2,0),"")</f>
        <v/>
      </c>
      <c r="AN181" s="14" t="str">
        <f aca="false">IFERROR(VLOOKUP(TRIM('📥 Respostas'!AQ181),'⚙️ Config'!$A$4:$B$13,2,0),"")</f>
        <v/>
      </c>
      <c r="AO181" s="14" t="str">
        <f aca="false">IFERROR(VLOOKUP(TRIM('📥 Respostas'!AR181),'⚙️ Config'!$A$4:$B$13,2,0),"")</f>
        <v/>
      </c>
      <c r="AP181" s="14" t="str">
        <f aca="false">IFERROR(VLOOKUP(TRIM('📥 Respostas'!AS181),'⚙️ Config'!$A$4:$B$13,2,0),"")</f>
        <v/>
      </c>
      <c r="AQ181" s="14" t="str">
        <f aca="false">IFERROR(VLOOKUP(TRIM('📥 Respostas'!AT181),'⚙️ Config'!$A$4:$B$13,2,0),"")</f>
        <v/>
      </c>
      <c r="AR181" s="14" t="str">
        <f aca="false">IFERROR(VLOOKUP(TRIM('📥 Respostas'!AU181),'⚙️ Config'!$A$4:$B$13,2,0),"")</f>
        <v/>
      </c>
    </row>
    <row r="182" customFormat="false" ht="15" hidden="false" customHeight="false" outlineLevel="0" collapsed="false">
      <c r="A182" s="12" t="str">
        <f aca="false">IF(ISBLANK('📥 Respostas'!D182),"",ROW()-3)</f>
        <v/>
      </c>
      <c r="B182" s="12" t="n">
        <f aca="false">'📥 Respostas'!D182</f>
        <v>0</v>
      </c>
      <c r="C182" s="13" t="n">
        <f aca="false">'📥 Respostas'!C182</f>
        <v>0</v>
      </c>
      <c r="D182" s="14" t="str">
        <f aca="false">IFERROR(VLOOKUP(TRIM('📥 Respostas'!G182),'⚙️ Config'!$A$4:$B$13,2,0),"")</f>
        <v/>
      </c>
      <c r="E182" s="14" t="str">
        <f aca="false">IFERROR(VLOOKUP(TRIM('📥 Respostas'!H182),'⚙️ Config'!$A$4:$B$13,2,0),"")</f>
        <v/>
      </c>
      <c r="F182" s="14" t="str">
        <f aca="false">IFERROR(VLOOKUP(TRIM('📥 Respostas'!I182),'⚙️ Config'!$A$4:$B$13,2,0),"")</f>
        <v/>
      </c>
      <c r="G182" s="14" t="str">
        <f aca="false">IFERROR(VLOOKUP(TRIM('📥 Respostas'!J182),'⚙️ Config'!$A$4:$B$13,2,0),"")</f>
        <v/>
      </c>
      <c r="H182" s="14" t="str">
        <f aca="false">IFERROR(VLOOKUP(TRIM('📥 Respostas'!K182),'⚙️ Config'!$A$4:$B$13,2,0),"")</f>
        <v/>
      </c>
      <c r="I182" s="14" t="str">
        <f aca="false">IFERROR(VLOOKUP(TRIM('📥 Respostas'!L182),'⚙️ Config'!$A$4:$B$13,2,0),"")</f>
        <v/>
      </c>
      <c r="J182" s="14" t="str">
        <f aca="false">IFERROR(VLOOKUP(TRIM('📥 Respostas'!M182),'⚙️ Config'!$A$4:$B$13,2,0),"")</f>
        <v/>
      </c>
      <c r="K182" s="14" t="str">
        <f aca="false">IFERROR(VLOOKUP(TRIM('📥 Respostas'!N182),'⚙️ Config'!$A$4:$B$13,2,0),"")</f>
        <v/>
      </c>
      <c r="L182" s="14" t="str">
        <f aca="false">IFERROR(VLOOKUP(TRIM('📥 Respostas'!O182),'⚙️ Config'!$A$4:$B$13,2,0),"")</f>
        <v/>
      </c>
      <c r="M182" s="14" t="str">
        <f aca="false">IFERROR(VLOOKUP(TRIM('📥 Respostas'!P182),'⚙️ Config'!$A$4:$B$13,2,0),"")</f>
        <v/>
      </c>
      <c r="N182" s="14" t="str">
        <f aca="false">IFERROR(VLOOKUP(TRIM('📥 Respostas'!Q182),'⚙️ Config'!$A$4:$B$13,2,0),"")</f>
        <v/>
      </c>
      <c r="O182" s="14" t="str">
        <f aca="false">IFERROR(VLOOKUP(TRIM('📥 Respostas'!R182),'⚙️ Config'!$A$4:$B$13,2,0),"")</f>
        <v/>
      </c>
      <c r="P182" s="14" t="str">
        <f aca="false">IFERROR(VLOOKUP(TRIM('📥 Respostas'!S182),'⚙️ Config'!$A$4:$B$13,2,0),"")</f>
        <v/>
      </c>
      <c r="Q182" s="14" t="str">
        <f aca="false">IFERROR(VLOOKUP(TRIM('📥 Respostas'!T182),'⚙️ Config'!$A$4:$B$13,2,0),"")</f>
        <v/>
      </c>
      <c r="R182" s="14" t="str">
        <f aca="false">IFERROR(VLOOKUP(TRIM('📥 Respostas'!U182),'⚙️ Config'!$A$4:$B$13,2,0),"")</f>
        <v/>
      </c>
      <c r="S182" s="14" t="str">
        <f aca="false">IFERROR(VLOOKUP(TRIM('📥 Respostas'!V182),'⚙️ Config'!$A$4:$B$13,2,0),"")</f>
        <v/>
      </c>
      <c r="T182" s="14" t="str">
        <f aca="false">IFERROR(VLOOKUP(TRIM('📥 Respostas'!W182),'⚙️ Config'!$A$4:$B$13,2,0),"")</f>
        <v/>
      </c>
      <c r="U182" s="14" t="str">
        <f aca="false">IFERROR(VLOOKUP(TRIM('📥 Respostas'!X182),'⚙️ Config'!$A$4:$B$13,2,0),"")</f>
        <v/>
      </c>
      <c r="V182" s="14" t="str">
        <f aca="false">IFERROR(VLOOKUP(TRIM('📥 Respostas'!Y182),'⚙️ Config'!$A$4:$B$13,2,0),"")</f>
        <v/>
      </c>
      <c r="W182" s="14" t="str">
        <f aca="false">IFERROR(VLOOKUP(TRIM('📥 Respostas'!Z182),'⚙️ Config'!$A$4:$B$13,2,0),"")</f>
        <v/>
      </c>
      <c r="X182" s="14" t="str">
        <f aca="false">IFERROR(VLOOKUP(TRIM('📥 Respostas'!AA182),'⚙️ Config'!$A$4:$B$13,2,0),"")</f>
        <v/>
      </c>
      <c r="Y182" s="14" t="str">
        <f aca="false">IFERROR(VLOOKUP(TRIM('📥 Respostas'!AB182),'⚙️ Config'!$A$4:$B$13,2,0),"")</f>
        <v/>
      </c>
      <c r="Z182" s="14" t="str">
        <f aca="false">IFERROR(VLOOKUP(TRIM('📥 Respostas'!AC182),'⚙️ Config'!$A$4:$B$13,2,0),"")</f>
        <v/>
      </c>
      <c r="AA182" s="14" t="str">
        <f aca="false">IFERROR(VLOOKUP(TRIM('📥 Respostas'!AD182),'⚙️ Config'!$A$4:$B$13,2,0),"")</f>
        <v/>
      </c>
      <c r="AB182" s="14" t="str">
        <f aca="false">IFERROR(VLOOKUP(TRIM('📥 Respostas'!AE182),'⚙️ Config'!$A$4:$B$13,2,0),"")</f>
        <v/>
      </c>
      <c r="AC182" s="14" t="str">
        <f aca="false">IFERROR(VLOOKUP(TRIM('📥 Respostas'!AF182),'⚙️ Config'!$A$4:$B$13,2,0),"")</f>
        <v/>
      </c>
      <c r="AD182" s="14" t="str">
        <f aca="false">IFERROR(VLOOKUP(TRIM('📥 Respostas'!AG182),'⚙️ Config'!$A$4:$B$13,2,0),"")</f>
        <v/>
      </c>
      <c r="AE182" s="14" t="str">
        <f aca="false">IFERROR(VLOOKUP(TRIM('📥 Respostas'!AH182),'⚙️ Config'!$A$4:$B$13,2,0),"")</f>
        <v/>
      </c>
      <c r="AF182" s="14" t="str">
        <f aca="false">IFERROR(VLOOKUP(TRIM('📥 Respostas'!AI182),'⚙️ Config'!$C$4:$D$11,2,0),"")</f>
        <v/>
      </c>
      <c r="AG182" s="14" t="str">
        <f aca="false">IFERROR(VLOOKUP(TRIM('📥 Respostas'!AJ182),'⚙️ Config'!$A$4:$B$13,2,0),"")</f>
        <v/>
      </c>
      <c r="AH182" s="14" t="str">
        <f aca="false">IFERROR(VLOOKUP(TRIM('📥 Respostas'!AK182),'⚙️ Config'!$A$4:$B$13,2,0),"")</f>
        <v/>
      </c>
      <c r="AI182" s="14" t="str">
        <f aca="false">IFERROR(VLOOKUP(TRIM('📥 Respostas'!AL182),'⚙️ Config'!$A$4:$B$13,2,0),"")</f>
        <v/>
      </c>
      <c r="AJ182" s="14" t="str">
        <f aca="false">IFERROR(VLOOKUP(TRIM('📥 Respostas'!AM182),'⚙️ Config'!$A$4:$B$13,2,0),"")</f>
        <v/>
      </c>
      <c r="AK182" s="14" t="str">
        <f aca="false">IFERROR(VLOOKUP(TRIM('📥 Respostas'!AN182),'⚙️ Config'!$A$4:$B$13,2,0),"")</f>
        <v/>
      </c>
      <c r="AL182" s="14" t="str">
        <f aca="false">IFERROR(VLOOKUP(TRIM('📥 Respostas'!AO182),'⚙️ Config'!$A$4:$B$13,2,0),"")</f>
        <v/>
      </c>
      <c r="AM182" s="14" t="str">
        <f aca="false">IFERROR(VLOOKUP(TRIM('📥 Respostas'!AP182),'⚙️ Config'!$A$4:$B$13,2,0),"")</f>
        <v/>
      </c>
      <c r="AN182" s="14" t="str">
        <f aca="false">IFERROR(VLOOKUP(TRIM('📥 Respostas'!AQ182),'⚙️ Config'!$A$4:$B$13,2,0),"")</f>
        <v/>
      </c>
      <c r="AO182" s="14" t="str">
        <f aca="false">IFERROR(VLOOKUP(TRIM('📥 Respostas'!AR182),'⚙️ Config'!$A$4:$B$13,2,0),"")</f>
        <v/>
      </c>
      <c r="AP182" s="14" t="str">
        <f aca="false">IFERROR(VLOOKUP(TRIM('📥 Respostas'!AS182),'⚙️ Config'!$A$4:$B$13,2,0),"")</f>
        <v/>
      </c>
      <c r="AQ182" s="14" t="str">
        <f aca="false">IFERROR(VLOOKUP(TRIM('📥 Respostas'!AT182),'⚙️ Config'!$A$4:$B$13,2,0),"")</f>
        <v/>
      </c>
      <c r="AR182" s="14" t="str">
        <f aca="false">IFERROR(VLOOKUP(TRIM('📥 Respostas'!AU182),'⚙️ Config'!$A$4:$B$13,2,0),"")</f>
        <v/>
      </c>
    </row>
    <row r="183" customFormat="false" ht="15" hidden="false" customHeight="false" outlineLevel="0" collapsed="false">
      <c r="A183" s="15" t="str">
        <f aca="false">IF(ISBLANK('📥 Respostas'!D183),"",ROW()-3)</f>
        <v/>
      </c>
      <c r="B183" s="15" t="n">
        <f aca="false">'📥 Respostas'!D183</f>
        <v>0</v>
      </c>
      <c r="C183" s="5" t="n">
        <f aca="false">'📥 Respostas'!C183</f>
        <v>0</v>
      </c>
      <c r="D183" s="14" t="str">
        <f aca="false">IFERROR(VLOOKUP(TRIM('📥 Respostas'!G183),'⚙️ Config'!$A$4:$B$13,2,0),"")</f>
        <v/>
      </c>
      <c r="E183" s="14" t="str">
        <f aca="false">IFERROR(VLOOKUP(TRIM('📥 Respostas'!H183),'⚙️ Config'!$A$4:$B$13,2,0),"")</f>
        <v/>
      </c>
      <c r="F183" s="14" t="str">
        <f aca="false">IFERROR(VLOOKUP(TRIM('📥 Respostas'!I183),'⚙️ Config'!$A$4:$B$13,2,0),"")</f>
        <v/>
      </c>
      <c r="G183" s="14" t="str">
        <f aca="false">IFERROR(VLOOKUP(TRIM('📥 Respostas'!J183),'⚙️ Config'!$A$4:$B$13,2,0),"")</f>
        <v/>
      </c>
      <c r="H183" s="14" t="str">
        <f aca="false">IFERROR(VLOOKUP(TRIM('📥 Respostas'!K183),'⚙️ Config'!$A$4:$B$13,2,0),"")</f>
        <v/>
      </c>
      <c r="I183" s="14" t="str">
        <f aca="false">IFERROR(VLOOKUP(TRIM('📥 Respostas'!L183),'⚙️ Config'!$A$4:$B$13,2,0),"")</f>
        <v/>
      </c>
      <c r="J183" s="14" t="str">
        <f aca="false">IFERROR(VLOOKUP(TRIM('📥 Respostas'!M183),'⚙️ Config'!$A$4:$B$13,2,0),"")</f>
        <v/>
      </c>
      <c r="K183" s="14" t="str">
        <f aca="false">IFERROR(VLOOKUP(TRIM('📥 Respostas'!N183),'⚙️ Config'!$A$4:$B$13,2,0),"")</f>
        <v/>
      </c>
      <c r="L183" s="14" t="str">
        <f aca="false">IFERROR(VLOOKUP(TRIM('📥 Respostas'!O183),'⚙️ Config'!$A$4:$B$13,2,0),"")</f>
        <v/>
      </c>
      <c r="M183" s="14" t="str">
        <f aca="false">IFERROR(VLOOKUP(TRIM('📥 Respostas'!P183),'⚙️ Config'!$A$4:$B$13,2,0),"")</f>
        <v/>
      </c>
      <c r="N183" s="14" t="str">
        <f aca="false">IFERROR(VLOOKUP(TRIM('📥 Respostas'!Q183),'⚙️ Config'!$A$4:$B$13,2,0),"")</f>
        <v/>
      </c>
      <c r="O183" s="14" t="str">
        <f aca="false">IFERROR(VLOOKUP(TRIM('📥 Respostas'!R183),'⚙️ Config'!$A$4:$B$13,2,0),"")</f>
        <v/>
      </c>
      <c r="P183" s="14" t="str">
        <f aca="false">IFERROR(VLOOKUP(TRIM('📥 Respostas'!S183),'⚙️ Config'!$A$4:$B$13,2,0),"")</f>
        <v/>
      </c>
      <c r="Q183" s="14" t="str">
        <f aca="false">IFERROR(VLOOKUP(TRIM('📥 Respostas'!T183),'⚙️ Config'!$A$4:$B$13,2,0),"")</f>
        <v/>
      </c>
      <c r="R183" s="14" t="str">
        <f aca="false">IFERROR(VLOOKUP(TRIM('📥 Respostas'!U183),'⚙️ Config'!$A$4:$B$13,2,0),"")</f>
        <v/>
      </c>
      <c r="S183" s="14" t="str">
        <f aca="false">IFERROR(VLOOKUP(TRIM('📥 Respostas'!V183),'⚙️ Config'!$A$4:$B$13,2,0),"")</f>
        <v/>
      </c>
      <c r="T183" s="14" t="str">
        <f aca="false">IFERROR(VLOOKUP(TRIM('📥 Respostas'!W183),'⚙️ Config'!$A$4:$B$13,2,0),"")</f>
        <v/>
      </c>
      <c r="U183" s="14" t="str">
        <f aca="false">IFERROR(VLOOKUP(TRIM('📥 Respostas'!X183),'⚙️ Config'!$A$4:$B$13,2,0),"")</f>
        <v/>
      </c>
      <c r="V183" s="14" t="str">
        <f aca="false">IFERROR(VLOOKUP(TRIM('📥 Respostas'!Y183),'⚙️ Config'!$A$4:$B$13,2,0),"")</f>
        <v/>
      </c>
      <c r="W183" s="14" t="str">
        <f aca="false">IFERROR(VLOOKUP(TRIM('📥 Respostas'!Z183),'⚙️ Config'!$A$4:$B$13,2,0),"")</f>
        <v/>
      </c>
      <c r="X183" s="14" t="str">
        <f aca="false">IFERROR(VLOOKUP(TRIM('📥 Respostas'!AA183),'⚙️ Config'!$A$4:$B$13,2,0),"")</f>
        <v/>
      </c>
      <c r="Y183" s="14" t="str">
        <f aca="false">IFERROR(VLOOKUP(TRIM('📥 Respostas'!AB183),'⚙️ Config'!$A$4:$B$13,2,0),"")</f>
        <v/>
      </c>
      <c r="Z183" s="14" t="str">
        <f aca="false">IFERROR(VLOOKUP(TRIM('📥 Respostas'!AC183),'⚙️ Config'!$A$4:$B$13,2,0),"")</f>
        <v/>
      </c>
      <c r="AA183" s="14" t="str">
        <f aca="false">IFERROR(VLOOKUP(TRIM('📥 Respostas'!AD183),'⚙️ Config'!$A$4:$B$13,2,0),"")</f>
        <v/>
      </c>
      <c r="AB183" s="14" t="str">
        <f aca="false">IFERROR(VLOOKUP(TRIM('📥 Respostas'!AE183),'⚙️ Config'!$A$4:$B$13,2,0),"")</f>
        <v/>
      </c>
      <c r="AC183" s="14" t="str">
        <f aca="false">IFERROR(VLOOKUP(TRIM('📥 Respostas'!AF183),'⚙️ Config'!$A$4:$B$13,2,0),"")</f>
        <v/>
      </c>
      <c r="AD183" s="14" t="str">
        <f aca="false">IFERROR(VLOOKUP(TRIM('📥 Respostas'!AG183),'⚙️ Config'!$A$4:$B$13,2,0),"")</f>
        <v/>
      </c>
      <c r="AE183" s="14" t="str">
        <f aca="false">IFERROR(VLOOKUP(TRIM('📥 Respostas'!AH183),'⚙️ Config'!$A$4:$B$13,2,0),"")</f>
        <v/>
      </c>
      <c r="AF183" s="14" t="str">
        <f aca="false">IFERROR(VLOOKUP(TRIM('📥 Respostas'!AI183),'⚙️ Config'!$C$4:$D$11,2,0),"")</f>
        <v/>
      </c>
      <c r="AG183" s="14" t="str">
        <f aca="false">IFERROR(VLOOKUP(TRIM('📥 Respostas'!AJ183),'⚙️ Config'!$A$4:$B$13,2,0),"")</f>
        <v/>
      </c>
      <c r="AH183" s="14" t="str">
        <f aca="false">IFERROR(VLOOKUP(TRIM('📥 Respostas'!AK183),'⚙️ Config'!$A$4:$B$13,2,0),"")</f>
        <v/>
      </c>
      <c r="AI183" s="14" t="str">
        <f aca="false">IFERROR(VLOOKUP(TRIM('📥 Respostas'!AL183),'⚙️ Config'!$A$4:$B$13,2,0),"")</f>
        <v/>
      </c>
      <c r="AJ183" s="14" t="str">
        <f aca="false">IFERROR(VLOOKUP(TRIM('📥 Respostas'!AM183),'⚙️ Config'!$A$4:$B$13,2,0),"")</f>
        <v/>
      </c>
      <c r="AK183" s="14" t="str">
        <f aca="false">IFERROR(VLOOKUP(TRIM('📥 Respostas'!AN183),'⚙️ Config'!$A$4:$B$13,2,0),"")</f>
        <v/>
      </c>
      <c r="AL183" s="14" t="str">
        <f aca="false">IFERROR(VLOOKUP(TRIM('📥 Respostas'!AO183),'⚙️ Config'!$A$4:$B$13,2,0),"")</f>
        <v/>
      </c>
      <c r="AM183" s="14" t="str">
        <f aca="false">IFERROR(VLOOKUP(TRIM('📥 Respostas'!AP183),'⚙️ Config'!$A$4:$B$13,2,0),"")</f>
        <v/>
      </c>
      <c r="AN183" s="14" t="str">
        <f aca="false">IFERROR(VLOOKUP(TRIM('📥 Respostas'!AQ183),'⚙️ Config'!$A$4:$B$13,2,0),"")</f>
        <v/>
      </c>
      <c r="AO183" s="14" t="str">
        <f aca="false">IFERROR(VLOOKUP(TRIM('📥 Respostas'!AR183),'⚙️ Config'!$A$4:$B$13,2,0),"")</f>
        <v/>
      </c>
      <c r="AP183" s="14" t="str">
        <f aca="false">IFERROR(VLOOKUP(TRIM('📥 Respostas'!AS183),'⚙️ Config'!$A$4:$B$13,2,0),"")</f>
        <v/>
      </c>
      <c r="AQ183" s="14" t="str">
        <f aca="false">IFERROR(VLOOKUP(TRIM('📥 Respostas'!AT183),'⚙️ Config'!$A$4:$B$13,2,0),"")</f>
        <v/>
      </c>
      <c r="AR183" s="14" t="str">
        <f aca="false">IFERROR(VLOOKUP(TRIM('📥 Respostas'!AU183),'⚙️ Config'!$A$4:$B$13,2,0),"")</f>
        <v/>
      </c>
    </row>
    <row r="184" customFormat="false" ht="15" hidden="false" customHeight="false" outlineLevel="0" collapsed="false">
      <c r="A184" s="12" t="str">
        <f aca="false">IF(ISBLANK('📥 Respostas'!D184),"",ROW()-3)</f>
        <v/>
      </c>
      <c r="B184" s="12" t="n">
        <f aca="false">'📥 Respostas'!D184</f>
        <v>0</v>
      </c>
      <c r="C184" s="13" t="n">
        <f aca="false">'📥 Respostas'!C184</f>
        <v>0</v>
      </c>
      <c r="D184" s="14" t="str">
        <f aca="false">IFERROR(VLOOKUP(TRIM('📥 Respostas'!G184),'⚙️ Config'!$A$4:$B$13,2,0),"")</f>
        <v/>
      </c>
      <c r="E184" s="14" t="str">
        <f aca="false">IFERROR(VLOOKUP(TRIM('📥 Respostas'!H184),'⚙️ Config'!$A$4:$B$13,2,0),"")</f>
        <v/>
      </c>
      <c r="F184" s="14" t="str">
        <f aca="false">IFERROR(VLOOKUP(TRIM('📥 Respostas'!I184),'⚙️ Config'!$A$4:$B$13,2,0),"")</f>
        <v/>
      </c>
      <c r="G184" s="14" t="str">
        <f aca="false">IFERROR(VLOOKUP(TRIM('📥 Respostas'!J184),'⚙️ Config'!$A$4:$B$13,2,0),"")</f>
        <v/>
      </c>
      <c r="H184" s="14" t="str">
        <f aca="false">IFERROR(VLOOKUP(TRIM('📥 Respostas'!K184),'⚙️ Config'!$A$4:$B$13,2,0),"")</f>
        <v/>
      </c>
      <c r="I184" s="14" t="str">
        <f aca="false">IFERROR(VLOOKUP(TRIM('📥 Respostas'!L184),'⚙️ Config'!$A$4:$B$13,2,0),"")</f>
        <v/>
      </c>
      <c r="J184" s="14" t="str">
        <f aca="false">IFERROR(VLOOKUP(TRIM('📥 Respostas'!M184),'⚙️ Config'!$A$4:$B$13,2,0),"")</f>
        <v/>
      </c>
      <c r="K184" s="14" t="str">
        <f aca="false">IFERROR(VLOOKUP(TRIM('📥 Respostas'!N184),'⚙️ Config'!$A$4:$B$13,2,0),"")</f>
        <v/>
      </c>
      <c r="L184" s="14" t="str">
        <f aca="false">IFERROR(VLOOKUP(TRIM('📥 Respostas'!O184),'⚙️ Config'!$A$4:$B$13,2,0),"")</f>
        <v/>
      </c>
      <c r="M184" s="14" t="str">
        <f aca="false">IFERROR(VLOOKUP(TRIM('📥 Respostas'!P184),'⚙️ Config'!$A$4:$B$13,2,0),"")</f>
        <v/>
      </c>
      <c r="N184" s="14" t="str">
        <f aca="false">IFERROR(VLOOKUP(TRIM('📥 Respostas'!Q184),'⚙️ Config'!$A$4:$B$13,2,0),"")</f>
        <v/>
      </c>
      <c r="O184" s="14" t="str">
        <f aca="false">IFERROR(VLOOKUP(TRIM('📥 Respostas'!R184),'⚙️ Config'!$A$4:$B$13,2,0),"")</f>
        <v/>
      </c>
      <c r="P184" s="14" t="str">
        <f aca="false">IFERROR(VLOOKUP(TRIM('📥 Respostas'!S184),'⚙️ Config'!$A$4:$B$13,2,0),"")</f>
        <v/>
      </c>
      <c r="Q184" s="14" t="str">
        <f aca="false">IFERROR(VLOOKUP(TRIM('📥 Respostas'!T184),'⚙️ Config'!$A$4:$B$13,2,0),"")</f>
        <v/>
      </c>
      <c r="R184" s="14" t="str">
        <f aca="false">IFERROR(VLOOKUP(TRIM('📥 Respostas'!U184),'⚙️ Config'!$A$4:$B$13,2,0),"")</f>
        <v/>
      </c>
      <c r="S184" s="14" t="str">
        <f aca="false">IFERROR(VLOOKUP(TRIM('📥 Respostas'!V184),'⚙️ Config'!$A$4:$B$13,2,0),"")</f>
        <v/>
      </c>
      <c r="T184" s="14" t="str">
        <f aca="false">IFERROR(VLOOKUP(TRIM('📥 Respostas'!W184),'⚙️ Config'!$A$4:$B$13,2,0),"")</f>
        <v/>
      </c>
      <c r="U184" s="14" t="str">
        <f aca="false">IFERROR(VLOOKUP(TRIM('📥 Respostas'!X184),'⚙️ Config'!$A$4:$B$13,2,0),"")</f>
        <v/>
      </c>
      <c r="V184" s="14" t="str">
        <f aca="false">IFERROR(VLOOKUP(TRIM('📥 Respostas'!Y184),'⚙️ Config'!$A$4:$B$13,2,0),"")</f>
        <v/>
      </c>
      <c r="W184" s="14" t="str">
        <f aca="false">IFERROR(VLOOKUP(TRIM('📥 Respostas'!Z184),'⚙️ Config'!$A$4:$B$13,2,0),"")</f>
        <v/>
      </c>
      <c r="X184" s="14" t="str">
        <f aca="false">IFERROR(VLOOKUP(TRIM('📥 Respostas'!AA184),'⚙️ Config'!$A$4:$B$13,2,0),"")</f>
        <v/>
      </c>
      <c r="Y184" s="14" t="str">
        <f aca="false">IFERROR(VLOOKUP(TRIM('📥 Respostas'!AB184),'⚙️ Config'!$A$4:$B$13,2,0),"")</f>
        <v/>
      </c>
      <c r="Z184" s="14" t="str">
        <f aca="false">IFERROR(VLOOKUP(TRIM('📥 Respostas'!AC184),'⚙️ Config'!$A$4:$B$13,2,0),"")</f>
        <v/>
      </c>
      <c r="AA184" s="14" t="str">
        <f aca="false">IFERROR(VLOOKUP(TRIM('📥 Respostas'!AD184),'⚙️ Config'!$A$4:$B$13,2,0),"")</f>
        <v/>
      </c>
      <c r="AB184" s="14" t="str">
        <f aca="false">IFERROR(VLOOKUP(TRIM('📥 Respostas'!AE184),'⚙️ Config'!$A$4:$B$13,2,0),"")</f>
        <v/>
      </c>
      <c r="AC184" s="14" t="str">
        <f aca="false">IFERROR(VLOOKUP(TRIM('📥 Respostas'!AF184),'⚙️ Config'!$A$4:$B$13,2,0),"")</f>
        <v/>
      </c>
      <c r="AD184" s="14" t="str">
        <f aca="false">IFERROR(VLOOKUP(TRIM('📥 Respostas'!AG184),'⚙️ Config'!$A$4:$B$13,2,0),"")</f>
        <v/>
      </c>
      <c r="AE184" s="14" t="str">
        <f aca="false">IFERROR(VLOOKUP(TRIM('📥 Respostas'!AH184),'⚙️ Config'!$A$4:$B$13,2,0),"")</f>
        <v/>
      </c>
      <c r="AF184" s="14" t="str">
        <f aca="false">IFERROR(VLOOKUP(TRIM('📥 Respostas'!AI184),'⚙️ Config'!$C$4:$D$11,2,0),"")</f>
        <v/>
      </c>
      <c r="AG184" s="14" t="str">
        <f aca="false">IFERROR(VLOOKUP(TRIM('📥 Respostas'!AJ184),'⚙️ Config'!$A$4:$B$13,2,0),"")</f>
        <v/>
      </c>
      <c r="AH184" s="14" t="str">
        <f aca="false">IFERROR(VLOOKUP(TRIM('📥 Respostas'!AK184),'⚙️ Config'!$A$4:$B$13,2,0),"")</f>
        <v/>
      </c>
      <c r="AI184" s="14" t="str">
        <f aca="false">IFERROR(VLOOKUP(TRIM('📥 Respostas'!AL184),'⚙️ Config'!$A$4:$B$13,2,0),"")</f>
        <v/>
      </c>
      <c r="AJ184" s="14" t="str">
        <f aca="false">IFERROR(VLOOKUP(TRIM('📥 Respostas'!AM184),'⚙️ Config'!$A$4:$B$13,2,0),"")</f>
        <v/>
      </c>
      <c r="AK184" s="14" t="str">
        <f aca="false">IFERROR(VLOOKUP(TRIM('📥 Respostas'!AN184),'⚙️ Config'!$A$4:$B$13,2,0),"")</f>
        <v/>
      </c>
      <c r="AL184" s="14" t="str">
        <f aca="false">IFERROR(VLOOKUP(TRIM('📥 Respostas'!AO184),'⚙️ Config'!$A$4:$B$13,2,0),"")</f>
        <v/>
      </c>
      <c r="AM184" s="14" t="str">
        <f aca="false">IFERROR(VLOOKUP(TRIM('📥 Respostas'!AP184),'⚙️ Config'!$A$4:$B$13,2,0),"")</f>
        <v/>
      </c>
      <c r="AN184" s="14" t="str">
        <f aca="false">IFERROR(VLOOKUP(TRIM('📥 Respostas'!AQ184),'⚙️ Config'!$A$4:$B$13,2,0),"")</f>
        <v/>
      </c>
      <c r="AO184" s="14" t="str">
        <f aca="false">IFERROR(VLOOKUP(TRIM('📥 Respostas'!AR184),'⚙️ Config'!$A$4:$B$13,2,0),"")</f>
        <v/>
      </c>
      <c r="AP184" s="14" t="str">
        <f aca="false">IFERROR(VLOOKUP(TRIM('📥 Respostas'!AS184),'⚙️ Config'!$A$4:$B$13,2,0),"")</f>
        <v/>
      </c>
      <c r="AQ184" s="14" t="str">
        <f aca="false">IFERROR(VLOOKUP(TRIM('📥 Respostas'!AT184),'⚙️ Config'!$A$4:$B$13,2,0),"")</f>
        <v/>
      </c>
      <c r="AR184" s="14" t="str">
        <f aca="false">IFERROR(VLOOKUP(TRIM('📥 Respostas'!AU184),'⚙️ Config'!$A$4:$B$13,2,0),"")</f>
        <v/>
      </c>
    </row>
    <row r="185" customFormat="false" ht="15" hidden="false" customHeight="false" outlineLevel="0" collapsed="false">
      <c r="A185" s="15" t="str">
        <f aca="false">IF(ISBLANK('📥 Respostas'!D185),"",ROW()-3)</f>
        <v/>
      </c>
      <c r="B185" s="15" t="n">
        <f aca="false">'📥 Respostas'!D185</f>
        <v>0</v>
      </c>
      <c r="C185" s="5" t="n">
        <f aca="false">'📥 Respostas'!C185</f>
        <v>0</v>
      </c>
      <c r="D185" s="14" t="str">
        <f aca="false">IFERROR(VLOOKUP(TRIM('📥 Respostas'!G185),'⚙️ Config'!$A$4:$B$13,2,0),"")</f>
        <v/>
      </c>
      <c r="E185" s="14" t="str">
        <f aca="false">IFERROR(VLOOKUP(TRIM('📥 Respostas'!H185),'⚙️ Config'!$A$4:$B$13,2,0),"")</f>
        <v/>
      </c>
      <c r="F185" s="14" t="str">
        <f aca="false">IFERROR(VLOOKUP(TRIM('📥 Respostas'!I185),'⚙️ Config'!$A$4:$B$13,2,0),"")</f>
        <v/>
      </c>
      <c r="G185" s="14" t="str">
        <f aca="false">IFERROR(VLOOKUP(TRIM('📥 Respostas'!J185),'⚙️ Config'!$A$4:$B$13,2,0),"")</f>
        <v/>
      </c>
      <c r="H185" s="14" t="str">
        <f aca="false">IFERROR(VLOOKUP(TRIM('📥 Respostas'!K185),'⚙️ Config'!$A$4:$B$13,2,0),"")</f>
        <v/>
      </c>
      <c r="I185" s="14" t="str">
        <f aca="false">IFERROR(VLOOKUP(TRIM('📥 Respostas'!L185),'⚙️ Config'!$A$4:$B$13,2,0),"")</f>
        <v/>
      </c>
      <c r="J185" s="14" t="str">
        <f aca="false">IFERROR(VLOOKUP(TRIM('📥 Respostas'!M185),'⚙️ Config'!$A$4:$B$13,2,0),"")</f>
        <v/>
      </c>
      <c r="K185" s="14" t="str">
        <f aca="false">IFERROR(VLOOKUP(TRIM('📥 Respostas'!N185),'⚙️ Config'!$A$4:$B$13,2,0),"")</f>
        <v/>
      </c>
      <c r="L185" s="14" t="str">
        <f aca="false">IFERROR(VLOOKUP(TRIM('📥 Respostas'!O185),'⚙️ Config'!$A$4:$B$13,2,0),"")</f>
        <v/>
      </c>
      <c r="M185" s="14" t="str">
        <f aca="false">IFERROR(VLOOKUP(TRIM('📥 Respostas'!P185),'⚙️ Config'!$A$4:$B$13,2,0),"")</f>
        <v/>
      </c>
      <c r="N185" s="14" t="str">
        <f aca="false">IFERROR(VLOOKUP(TRIM('📥 Respostas'!Q185),'⚙️ Config'!$A$4:$B$13,2,0),"")</f>
        <v/>
      </c>
      <c r="O185" s="14" t="str">
        <f aca="false">IFERROR(VLOOKUP(TRIM('📥 Respostas'!R185),'⚙️ Config'!$A$4:$B$13,2,0),"")</f>
        <v/>
      </c>
      <c r="P185" s="14" t="str">
        <f aca="false">IFERROR(VLOOKUP(TRIM('📥 Respostas'!S185),'⚙️ Config'!$A$4:$B$13,2,0),"")</f>
        <v/>
      </c>
      <c r="Q185" s="14" t="str">
        <f aca="false">IFERROR(VLOOKUP(TRIM('📥 Respostas'!T185),'⚙️ Config'!$A$4:$B$13,2,0),"")</f>
        <v/>
      </c>
      <c r="R185" s="14" t="str">
        <f aca="false">IFERROR(VLOOKUP(TRIM('📥 Respostas'!U185),'⚙️ Config'!$A$4:$B$13,2,0),"")</f>
        <v/>
      </c>
      <c r="S185" s="14" t="str">
        <f aca="false">IFERROR(VLOOKUP(TRIM('📥 Respostas'!V185),'⚙️ Config'!$A$4:$B$13,2,0),"")</f>
        <v/>
      </c>
      <c r="T185" s="14" t="str">
        <f aca="false">IFERROR(VLOOKUP(TRIM('📥 Respostas'!W185),'⚙️ Config'!$A$4:$B$13,2,0),"")</f>
        <v/>
      </c>
      <c r="U185" s="14" t="str">
        <f aca="false">IFERROR(VLOOKUP(TRIM('📥 Respostas'!X185),'⚙️ Config'!$A$4:$B$13,2,0),"")</f>
        <v/>
      </c>
      <c r="V185" s="14" t="str">
        <f aca="false">IFERROR(VLOOKUP(TRIM('📥 Respostas'!Y185),'⚙️ Config'!$A$4:$B$13,2,0),"")</f>
        <v/>
      </c>
      <c r="W185" s="14" t="str">
        <f aca="false">IFERROR(VLOOKUP(TRIM('📥 Respostas'!Z185),'⚙️ Config'!$A$4:$B$13,2,0),"")</f>
        <v/>
      </c>
      <c r="X185" s="14" t="str">
        <f aca="false">IFERROR(VLOOKUP(TRIM('📥 Respostas'!AA185),'⚙️ Config'!$A$4:$B$13,2,0),"")</f>
        <v/>
      </c>
      <c r="Y185" s="14" t="str">
        <f aca="false">IFERROR(VLOOKUP(TRIM('📥 Respostas'!AB185),'⚙️ Config'!$A$4:$B$13,2,0),"")</f>
        <v/>
      </c>
      <c r="Z185" s="14" t="str">
        <f aca="false">IFERROR(VLOOKUP(TRIM('📥 Respostas'!AC185),'⚙️ Config'!$A$4:$B$13,2,0),"")</f>
        <v/>
      </c>
      <c r="AA185" s="14" t="str">
        <f aca="false">IFERROR(VLOOKUP(TRIM('📥 Respostas'!AD185),'⚙️ Config'!$A$4:$B$13,2,0),"")</f>
        <v/>
      </c>
      <c r="AB185" s="14" t="str">
        <f aca="false">IFERROR(VLOOKUP(TRIM('📥 Respostas'!AE185),'⚙️ Config'!$A$4:$B$13,2,0),"")</f>
        <v/>
      </c>
      <c r="AC185" s="14" t="str">
        <f aca="false">IFERROR(VLOOKUP(TRIM('📥 Respostas'!AF185),'⚙️ Config'!$A$4:$B$13,2,0),"")</f>
        <v/>
      </c>
      <c r="AD185" s="14" t="str">
        <f aca="false">IFERROR(VLOOKUP(TRIM('📥 Respostas'!AG185),'⚙️ Config'!$A$4:$B$13,2,0),"")</f>
        <v/>
      </c>
      <c r="AE185" s="14" t="str">
        <f aca="false">IFERROR(VLOOKUP(TRIM('📥 Respostas'!AH185),'⚙️ Config'!$A$4:$B$13,2,0),"")</f>
        <v/>
      </c>
      <c r="AF185" s="14" t="str">
        <f aca="false">IFERROR(VLOOKUP(TRIM('📥 Respostas'!AI185),'⚙️ Config'!$C$4:$D$11,2,0),"")</f>
        <v/>
      </c>
      <c r="AG185" s="14" t="str">
        <f aca="false">IFERROR(VLOOKUP(TRIM('📥 Respostas'!AJ185),'⚙️ Config'!$A$4:$B$13,2,0),"")</f>
        <v/>
      </c>
      <c r="AH185" s="14" t="str">
        <f aca="false">IFERROR(VLOOKUP(TRIM('📥 Respostas'!AK185),'⚙️ Config'!$A$4:$B$13,2,0),"")</f>
        <v/>
      </c>
      <c r="AI185" s="14" t="str">
        <f aca="false">IFERROR(VLOOKUP(TRIM('📥 Respostas'!AL185),'⚙️ Config'!$A$4:$B$13,2,0),"")</f>
        <v/>
      </c>
      <c r="AJ185" s="14" t="str">
        <f aca="false">IFERROR(VLOOKUP(TRIM('📥 Respostas'!AM185),'⚙️ Config'!$A$4:$B$13,2,0),"")</f>
        <v/>
      </c>
      <c r="AK185" s="14" t="str">
        <f aca="false">IFERROR(VLOOKUP(TRIM('📥 Respostas'!AN185),'⚙️ Config'!$A$4:$B$13,2,0),"")</f>
        <v/>
      </c>
      <c r="AL185" s="14" t="str">
        <f aca="false">IFERROR(VLOOKUP(TRIM('📥 Respostas'!AO185),'⚙️ Config'!$A$4:$B$13,2,0),"")</f>
        <v/>
      </c>
      <c r="AM185" s="14" t="str">
        <f aca="false">IFERROR(VLOOKUP(TRIM('📥 Respostas'!AP185),'⚙️ Config'!$A$4:$B$13,2,0),"")</f>
        <v/>
      </c>
      <c r="AN185" s="14" t="str">
        <f aca="false">IFERROR(VLOOKUP(TRIM('📥 Respostas'!AQ185),'⚙️ Config'!$A$4:$B$13,2,0),"")</f>
        <v/>
      </c>
      <c r="AO185" s="14" t="str">
        <f aca="false">IFERROR(VLOOKUP(TRIM('📥 Respostas'!AR185),'⚙️ Config'!$A$4:$B$13,2,0),"")</f>
        <v/>
      </c>
      <c r="AP185" s="14" t="str">
        <f aca="false">IFERROR(VLOOKUP(TRIM('📥 Respostas'!AS185),'⚙️ Config'!$A$4:$B$13,2,0),"")</f>
        <v/>
      </c>
      <c r="AQ185" s="14" t="str">
        <f aca="false">IFERROR(VLOOKUP(TRIM('📥 Respostas'!AT185),'⚙️ Config'!$A$4:$B$13,2,0),"")</f>
        <v/>
      </c>
      <c r="AR185" s="14" t="str">
        <f aca="false">IFERROR(VLOOKUP(TRIM('📥 Respostas'!AU185),'⚙️ Config'!$A$4:$B$13,2,0),"")</f>
        <v/>
      </c>
    </row>
    <row r="186" customFormat="false" ht="15" hidden="false" customHeight="false" outlineLevel="0" collapsed="false">
      <c r="A186" s="12" t="str">
        <f aca="false">IF(ISBLANK('📥 Respostas'!D186),"",ROW()-3)</f>
        <v/>
      </c>
      <c r="B186" s="12" t="n">
        <f aca="false">'📥 Respostas'!D186</f>
        <v>0</v>
      </c>
      <c r="C186" s="13" t="n">
        <f aca="false">'📥 Respostas'!C186</f>
        <v>0</v>
      </c>
      <c r="D186" s="14" t="str">
        <f aca="false">IFERROR(VLOOKUP(TRIM('📥 Respostas'!G186),'⚙️ Config'!$A$4:$B$13,2,0),"")</f>
        <v/>
      </c>
      <c r="E186" s="14" t="str">
        <f aca="false">IFERROR(VLOOKUP(TRIM('📥 Respostas'!H186),'⚙️ Config'!$A$4:$B$13,2,0),"")</f>
        <v/>
      </c>
      <c r="F186" s="14" t="str">
        <f aca="false">IFERROR(VLOOKUP(TRIM('📥 Respostas'!I186),'⚙️ Config'!$A$4:$B$13,2,0),"")</f>
        <v/>
      </c>
      <c r="G186" s="14" t="str">
        <f aca="false">IFERROR(VLOOKUP(TRIM('📥 Respostas'!J186),'⚙️ Config'!$A$4:$B$13,2,0),"")</f>
        <v/>
      </c>
      <c r="H186" s="14" t="str">
        <f aca="false">IFERROR(VLOOKUP(TRIM('📥 Respostas'!K186),'⚙️ Config'!$A$4:$B$13,2,0),"")</f>
        <v/>
      </c>
      <c r="I186" s="14" t="str">
        <f aca="false">IFERROR(VLOOKUP(TRIM('📥 Respostas'!L186),'⚙️ Config'!$A$4:$B$13,2,0),"")</f>
        <v/>
      </c>
      <c r="J186" s="14" t="str">
        <f aca="false">IFERROR(VLOOKUP(TRIM('📥 Respostas'!M186),'⚙️ Config'!$A$4:$B$13,2,0),"")</f>
        <v/>
      </c>
      <c r="K186" s="14" t="str">
        <f aca="false">IFERROR(VLOOKUP(TRIM('📥 Respostas'!N186),'⚙️ Config'!$A$4:$B$13,2,0),"")</f>
        <v/>
      </c>
      <c r="L186" s="14" t="str">
        <f aca="false">IFERROR(VLOOKUP(TRIM('📥 Respostas'!O186),'⚙️ Config'!$A$4:$B$13,2,0),"")</f>
        <v/>
      </c>
      <c r="M186" s="14" t="str">
        <f aca="false">IFERROR(VLOOKUP(TRIM('📥 Respostas'!P186),'⚙️ Config'!$A$4:$B$13,2,0),"")</f>
        <v/>
      </c>
      <c r="N186" s="14" t="str">
        <f aca="false">IFERROR(VLOOKUP(TRIM('📥 Respostas'!Q186),'⚙️ Config'!$A$4:$B$13,2,0),"")</f>
        <v/>
      </c>
      <c r="O186" s="14" t="str">
        <f aca="false">IFERROR(VLOOKUP(TRIM('📥 Respostas'!R186),'⚙️ Config'!$A$4:$B$13,2,0),"")</f>
        <v/>
      </c>
      <c r="P186" s="14" t="str">
        <f aca="false">IFERROR(VLOOKUP(TRIM('📥 Respostas'!S186),'⚙️ Config'!$A$4:$B$13,2,0),"")</f>
        <v/>
      </c>
      <c r="Q186" s="14" t="str">
        <f aca="false">IFERROR(VLOOKUP(TRIM('📥 Respostas'!T186),'⚙️ Config'!$A$4:$B$13,2,0),"")</f>
        <v/>
      </c>
      <c r="R186" s="14" t="str">
        <f aca="false">IFERROR(VLOOKUP(TRIM('📥 Respostas'!U186),'⚙️ Config'!$A$4:$B$13,2,0),"")</f>
        <v/>
      </c>
      <c r="S186" s="14" t="str">
        <f aca="false">IFERROR(VLOOKUP(TRIM('📥 Respostas'!V186),'⚙️ Config'!$A$4:$B$13,2,0),"")</f>
        <v/>
      </c>
      <c r="T186" s="14" t="str">
        <f aca="false">IFERROR(VLOOKUP(TRIM('📥 Respostas'!W186),'⚙️ Config'!$A$4:$B$13,2,0),"")</f>
        <v/>
      </c>
      <c r="U186" s="14" t="str">
        <f aca="false">IFERROR(VLOOKUP(TRIM('📥 Respostas'!X186),'⚙️ Config'!$A$4:$B$13,2,0),"")</f>
        <v/>
      </c>
      <c r="V186" s="14" t="str">
        <f aca="false">IFERROR(VLOOKUP(TRIM('📥 Respostas'!Y186),'⚙️ Config'!$A$4:$B$13,2,0),"")</f>
        <v/>
      </c>
      <c r="W186" s="14" t="str">
        <f aca="false">IFERROR(VLOOKUP(TRIM('📥 Respostas'!Z186),'⚙️ Config'!$A$4:$B$13,2,0),"")</f>
        <v/>
      </c>
      <c r="X186" s="14" t="str">
        <f aca="false">IFERROR(VLOOKUP(TRIM('📥 Respostas'!AA186),'⚙️ Config'!$A$4:$B$13,2,0),"")</f>
        <v/>
      </c>
      <c r="Y186" s="14" t="str">
        <f aca="false">IFERROR(VLOOKUP(TRIM('📥 Respostas'!AB186),'⚙️ Config'!$A$4:$B$13,2,0),"")</f>
        <v/>
      </c>
      <c r="Z186" s="14" t="str">
        <f aca="false">IFERROR(VLOOKUP(TRIM('📥 Respostas'!AC186),'⚙️ Config'!$A$4:$B$13,2,0),"")</f>
        <v/>
      </c>
      <c r="AA186" s="14" t="str">
        <f aca="false">IFERROR(VLOOKUP(TRIM('📥 Respostas'!AD186),'⚙️ Config'!$A$4:$B$13,2,0),"")</f>
        <v/>
      </c>
      <c r="AB186" s="14" t="str">
        <f aca="false">IFERROR(VLOOKUP(TRIM('📥 Respostas'!AE186),'⚙️ Config'!$A$4:$B$13,2,0),"")</f>
        <v/>
      </c>
      <c r="AC186" s="14" t="str">
        <f aca="false">IFERROR(VLOOKUP(TRIM('📥 Respostas'!AF186),'⚙️ Config'!$A$4:$B$13,2,0),"")</f>
        <v/>
      </c>
      <c r="AD186" s="14" t="str">
        <f aca="false">IFERROR(VLOOKUP(TRIM('📥 Respostas'!AG186),'⚙️ Config'!$A$4:$B$13,2,0),"")</f>
        <v/>
      </c>
      <c r="AE186" s="14" t="str">
        <f aca="false">IFERROR(VLOOKUP(TRIM('📥 Respostas'!AH186),'⚙️ Config'!$A$4:$B$13,2,0),"")</f>
        <v/>
      </c>
      <c r="AF186" s="14" t="str">
        <f aca="false">IFERROR(VLOOKUP(TRIM('📥 Respostas'!AI186),'⚙️ Config'!$C$4:$D$11,2,0),"")</f>
        <v/>
      </c>
      <c r="AG186" s="14" t="str">
        <f aca="false">IFERROR(VLOOKUP(TRIM('📥 Respostas'!AJ186),'⚙️ Config'!$A$4:$B$13,2,0),"")</f>
        <v/>
      </c>
      <c r="AH186" s="14" t="str">
        <f aca="false">IFERROR(VLOOKUP(TRIM('📥 Respostas'!AK186),'⚙️ Config'!$A$4:$B$13,2,0),"")</f>
        <v/>
      </c>
      <c r="AI186" s="14" t="str">
        <f aca="false">IFERROR(VLOOKUP(TRIM('📥 Respostas'!AL186),'⚙️ Config'!$A$4:$B$13,2,0),"")</f>
        <v/>
      </c>
      <c r="AJ186" s="14" t="str">
        <f aca="false">IFERROR(VLOOKUP(TRIM('📥 Respostas'!AM186),'⚙️ Config'!$A$4:$B$13,2,0),"")</f>
        <v/>
      </c>
      <c r="AK186" s="14" t="str">
        <f aca="false">IFERROR(VLOOKUP(TRIM('📥 Respostas'!AN186),'⚙️ Config'!$A$4:$B$13,2,0),"")</f>
        <v/>
      </c>
      <c r="AL186" s="14" t="str">
        <f aca="false">IFERROR(VLOOKUP(TRIM('📥 Respostas'!AO186),'⚙️ Config'!$A$4:$B$13,2,0),"")</f>
        <v/>
      </c>
      <c r="AM186" s="14" t="str">
        <f aca="false">IFERROR(VLOOKUP(TRIM('📥 Respostas'!AP186),'⚙️ Config'!$A$4:$B$13,2,0),"")</f>
        <v/>
      </c>
      <c r="AN186" s="14" t="str">
        <f aca="false">IFERROR(VLOOKUP(TRIM('📥 Respostas'!AQ186),'⚙️ Config'!$A$4:$B$13,2,0),"")</f>
        <v/>
      </c>
      <c r="AO186" s="14" t="str">
        <f aca="false">IFERROR(VLOOKUP(TRIM('📥 Respostas'!AR186),'⚙️ Config'!$A$4:$B$13,2,0),"")</f>
        <v/>
      </c>
      <c r="AP186" s="14" t="str">
        <f aca="false">IFERROR(VLOOKUP(TRIM('📥 Respostas'!AS186),'⚙️ Config'!$A$4:$B$13,2,0),"")</f>
        <v/>
      </c>
      <c r="AQ186" s="14" t="str">
        <f aca="false">IFERROR(VLOOKUP(TRIM('📥 Respostas'!AT186),'⚙️ Config'!$A$4:$B$13,2,0),"")</f>
        <v/>
      </c>
      <c r="AR186" s="14" t="str">
        <f aca="false">IFERROR(VLOOKUP(TRIM('📥 Respostas'!AU186),'⚙️ Config'!$A$4:$B$13,2,0),"")</f>
        <v/>
      </c>
    </row>
    <row r="187" customFormat="false" ht="15" hidden="false" customHeight="false" outlineLevel="0" collapsed="false">
      <c r="A187" s="15" t="str">
        <f aca="false">IF(ISBLANK('📥 Respostas'!D187),"",ROW()-3)</f>
        <v/>
      </c>
      <c r="B187" s="15" t="n">
        <f aca="false">'📥 Respostas'!D187</f>
        <v>0</v>
      </c>
      <c r="C187" s="5" t="n">
        <f aca="false">'📥 Respostas'!C187</f>
        <v>0</v>
      </c>
      <c r="D187" s="14" t="str">
        <f aca="false">IFERROR(VLOOKUP(TRIM('📥 Respostas'!G187),'⚙️ Config'!$A$4:$B$13,2,0),"")</f>
        <v/>
      </c>
      <c r="E187" s="14" t="str">
        <f aca="false">IFERROR(VLOOKUP(TRIM('📥 Respostas'!H187),'⚙️ Config'!$A$4:$B$13,2,0),"")</f>
        <v/>
      </c>
      <c r="F187" s="14" t="str">
        <f aca="false">IFERROR(VLOOKUP(TRIM('📥 Respostas'!I187),'⚙️ Config'!$A$4:$B$13,2,0),"")</f>
        <v/>
      </c>
      <c r="G187" s="14" t="str">
        <f aca="false">IFERROR(VLOOKUP(TRIM('📥 Respostas'!J187),'⚙️ Config'!$A$4:$B$13,2,0),"")</f>
        <v/>
      </c>
      <c r="H187" s="14" t="str">
        <f aca="false">IFERROR(VLOOKUP(TRIM('📥 Respostas'!K187),'⚙️ Config'!$A$4:$B$13,2,0),"")</f>
        <v/>
      </c>
      <c r="I187" s="14" t="str">
        <f aca="false">IFERROR(VLOOKUP(TRIM('📥 Respostas'!L187),'⚙️ Config'!$A$4:$B$13,2,0),"")</f>
        <v/>
      </c>
      <c r="J187" s="14" t="str">
        <f aca="false">IFERROR(VLOOKUP(TRIM('📥 Respostas'!M187),'⚙️ Config'!$A$4:$B$13,2,0),"")</f>
        <v/>
      </c>
      <c r="K187" s="14" t="str">
        <f aca="false">IFERROR(VLOOKUP(TRIM('📥 Respostas'!N187),'⚙️ Config'!$A$4:$B$13,2,0),"")</f>
        <v/>
      </c>
      <c r="L187" s="14" t="str">
        <f aca="false">IFERROR(VLOOKUP(TRIM('📥 Respostas'!O187),'⚙️ Config'!$A$4:$B$13,2,0),"")</f>
        <v/>
      </c>
      <c r="M187" s="14" t="str">
        <f aca="false">IFERROR(VLOOKUP(TRIM('📥 Respostas'!P187),'⚙️ Config'!$A$4:$B$13,2,0),"")</f>
        <v/>
      </c>
      <c r="N187" s="14" t="str">
        <f aca="false">IFERROR(VLOOKUP(TRIM('📥 Respostas'!Q187),'⚙️ Config'!$A$4:$B$13,2,0),"")</f>
        <v/>
      </c>
      <c r="O187" s="14" t="str">
        <f aca="false">IFERROR(VLOOKUP(TRIM('📥 Respostas'!R187),'⚙️ Config'!$A$4:$B$13,2,0),"")</f>
        <v/>
      </c>
      <c r="P187" s="14" t="str">
        <f aca="false">IFERROR(VLOOKUP(TRIM('📥 Respostas'!S187),'⚙️ Config'!$A$4:$B$13,2,0),"")</f>
        <v/>
      </c>
      <c r="Q187" s="14" t="str">
        <f aca="false">IFERROR(VLOOKUP(TRIM('📥 Respostas'!T187),'⚙️ Config'!$A$4:$B$13,2,0),"")</f>
        <v/>
      </c>
      <c r="R187" s="14" t="str">
        <f aca="false">IFERROR(VLOOKUP(TRIM('📥 Respostas'!U187),'⚙️ Config'!$A$4:$B$13,2,0),"")</f>
        <v/>
      </c>
      <c r="S187" s="14" t="str">
        <f aca="false">IFERROR(VLOOKUP(TRIM('📥 Respostas'!V187),'⚙️ Config'!$A$4:$B$13,2,0),"")</f>
        <v/>
      </c>
      <c r="T187" s="14" t="str">
        <f aca="false">IFERROR(VLOOKUP(TRIM('📥 Respostas'!W187),'⚙️ Config'!$A$4:$B$13,2,0),"")</f>
        <v/>
      </c>
      <c r="U187" s="14" t="str">
        <f aca="false">IFERROR(VLOOKUP(TRIM('📥 Respostas'!X187),'⚙️ Config'!$A$4:$B$13,2,0),"")</f>
        <v/>
      </c>
      <c r="V187" s="14" t="str">
        <f aca="false">IFERROR(VLOOKUP(TRIM('📥 Respostas'!Y187),'⚙️ Config'!$A$4:$B$13,2,0),"")</f>
        <v/>
      </c>
      <c r="W187" s="14" t="str">
        <f aca="false">IFERROR(VLOOKUP(TRIM('📥 Respostas'!Z187),'⚙️ Config'!$A$4:$B$13,2,0),"")</f>
        <v/>
      </c>
      <c r="X187" s="14" t="str">
        <f aca="false">IFERROR(VLOOKUP(TRIM('📥 Respostas'!AA187),'⚙️ Config'!$A$4:$B$13,2,0),"")</f>
        <v/>
      </c>
      <c r="Y187" s="14" t="str">
        <f aca="false">IFERROR(VLOOKUP(TRIM('📥 Respostas'!AB187),'⚙️ Config'!$A$4:$B$13,2,0),"")</f>
        <v/>
      </c>
      <c r="Z187" s="14" t="str">
        <f aca="false">IFERROR(VLOOKUP(TRIM('📥 Respostas'!AC187),'⚙️ Config'!$A$4:$B$13,2,0),"")</f>
        <v/>
      </c>
      <c r="AA187" s="14" t="str">
        <f aca="false">IFERROR(VLOOKUP(TRIM('📥 Respostas'!AD187),'⚙️ Config'!$A$4:$B$13,2,0),"")</f>
        <v/>
      </c>
      <c r="AB187" s="14" t="str">
        <f aca="false">IFERROR(VLOOKUP(TRIM('📥 Respostas'!AE187),'⚙️ Config'!$A$4:$B$13,2,0),"")</f>
        <v/>
      </c>
      <c r="AC187" s="14" t="str">
        <f aca="false">IFERROR(VLOOKUP(TRIM('📥 Respostas'!AF187),'⚙️ Config'!$A$4:$B$13,2,0),"")</f>
        <v/>
      </c>
      <c r="AD187" s="14" t="str">
        <f aca="false">IFERROR(VLOOKUP(TRIM('📥 Respostas'!AG187),'⚙️ Config'!$A$4:$B$13,2,0),"")</f>
        <v/>
      </c>
      <c r="AE187" s="14" t="str">
        <f aca="false">IFERROR(VLOOKUP(TRIM('📥 Respostas'!AH187),'⚙️ Config'!$A$4:$B$13,2,0),"")</f>
        <v/>
      </c>
      <c r="AF187" s="14" t="str">
        <f aca="false">IFERROR(VLOOKUP(TRIM('📥 Respostas'!AI187),'⚙️ Config'!$C$4:$D$11,2,0),"")</f>
        <v/>
      </c>
      <c r="AG187" s="14" t="str">
        <f aca="false">IFERROR(VLOOKUP(TRIM('📥 Respostas'!AJ187),'⚙️ Config'!$A$4:$B$13,2,0),"")</f>
        <v/>
      </c>
      <c r="AH187" s="14" t="str">
        <f aca="false">IFERROR(VLOOKUP(TRIM('📥 Respostas'!AK187),'⚙️ Config'!$A$4:$B$13,2,0),"")</f>
        <v/>
      </c>
      <c r="AI187" s="14" t="str">
        <f aca="false">IFERROR(VLOOKUP(TRIM('📥 Respostas'!AL187),'⚙️ Config'!$A$4:$B$13,2,0),"")</f>
        <v/>
      </c>
      <c r="AJ187" s="14" t="str">
        <f aca="false">IFERROR(VLOOKUP(TRIM('📥 Respostas'!AM187),'⚙️ Config'!$A$4:$B$13,2,0),"")</f>
        <v/>
      </c>
      <c r="AK187" s="14" t="str">
        <f aca="false">IFERROR(VLOOKUP(TRIM('📥 Respostas'!AN187),'⚙️ Config'!$A$4:$B$13,2,0),"")</f>
        <v/>
      </c>
      <c r="AL187" s="14" t="str">
        <f aca="false">IFERROR(VLOOKUP(TRIM('📥 Respostas'!AO187),'⚙️ Config'!$A$4:$B$13,2,0),"")</f>
        <v/>
      </c>
      <c r="AM187" s="14" t="str">
        <f aca="false">IFERROR(VLOOKUP(TRIM('📥 Respostas'!AP187),'⚙️ Config'!$A$4:$B$13,2,0),"")</f>
        <v/>
      </c>
      <c r="AN187" s="14" t="str">
        <f aca="false">IFERROR(VLOOKUP(TRIM('📥 Respostas'!AQ187),'⚙️ Config'!$A$4:$B$13,2,0),"")</f>
        <v/>
      </c>
      <c r="AO187" s="14" t="str">
        <f aca="false">IFERROR(VLOOKUP(TRIM('📥 Respostas'!AR187),'⚙️ Config'!$A$4:$B$13,2,0),"")</f>
        <v/>
      </c>
      <c r="AP187" s="14" t="str">
        <f aca="false">IFERROR(VLOOKUP(TRIM('📥 Respostas'!AS187),'⚙️ Config'!$A$4:$B$13,2,0),"")</f>
        <v/>
      </c>
      <c r="AQ187" s="14" t="str">
        <f aca="false">IFERROR(VLOOKUP(TRIM('📥 Respostas'!AT187),'⚙️ Config'!$A$4:$B$13,2,0),"")</f>
        <v/>
      </c>
      <c r="AR187" s="14" t="str">
        <f aca="false">IFERROR(VLOOKUP(TRIM('📥 Respostas'!AU187),'⚙️ Config'!$A$4:$B$13,2,0),"")</f>
        <v/>
      </c>
    </row>
    <row r="188" customFormat="false" ht="15" hidden="false" customHeight="false" outlineLevel="0" collapsed="false">
      <c r="A188" s="12" t="str">
        <f aca="false">IF(ISBLANK('📥 Respostas'!D188),"",ROW()-3)</f>
        <v/>
      </c>
      <c r="B188" s="12" t="n">
        <f aca="false">'📥 Respostas'!D188</f>
        <v>0</v>
      </c>
      <c r="C188" s="13" t="n">
        <f aca="false">'📥 Respostas'!C188</f>
        <v>0</v>
      </c>
      <c r="D188" s="14" t="str">
        <f aca="false">IFERROR(VLOOKUP(TRIM('📥 Respostas'!G188),'⚙️ Config'!$A$4:$B$13,2,0),"")</f>
        <v/>
      </c>
      <c r="E188" s="14" t="str">
        <f aca="false">IFERROR(VLOOKUP(TRIM('📥 Respostas'!H188),'⚙️ Config'!$A$4:$B$13,2,0),"")</f>
        <v/>
      </c>
      <c r="F188" s="14" t="str">
        <f aca="false">IFERROR(VLOOKUP(TRIM('📥 Respostas'!I188),'⚙️ Config'!$A$4:$B$13,2,0),"")</f>
        <v/>
      </c>
      <c r="G188" s="14" t="str">
        <f aca="false">IFERROR(VLOOKUP(TRIM('📥 Respostas'!J188),'⚙️ Config'!$A$4:$B$13,2,0),"")</f>
        <v/>
      </c>
      <c r="H188" s="14" t="str">
        <f aca="false">IFERROR(VLOOKUP(TRIM('📥 Respostas'!K188),'⚙️ Config'!$A$4:$B$13,2,0),"")</f>
        <v/>
      </c>
      <c r="I188" s="14" t="str">
        <f aca="false">IFERROR(VLOOKUP(TRIM('📥 Respostas'!L188),'⚙️ Config'!$A$4:$B$13,2,0),"")</f>
        <v/>
      </c>
      <c r="J188" s="14" t="str">
        <f aca="false">IFERROR(VLOOKUP(TRIM('📥 Respostas'!M188),'⚙️ Config'!$A$4:$B$13,2,0),"")</f>
        <v/>
      </c>
      <c r="K188" s="14" t="str">
        <f aca="false">IFERROR(VLOOKUP(TRIM('📥 Respostas'!N188),'⚙️ Config'!$A$4:$B$13,2,0),"")</f>
        <v/>
      </c>
      <c r="L188" s="14" t="str">
        <f aca="false">IFERROR(VLOOKUP(TRIM('📥 Respostas'!O188),'⚙️ Config'!$A$4:$B$13,2,0),"")</f>
        <v/>
      </c>
      <c r="M188" s="14" t="str">
        <f aca="false">IFERROR(VLOOKUP(TRIM('📥 Respostas'!P188),'⚙️ Config'!$A$4:$B$13,2,0),"")</f>
        <v/>
      </c>
      <c r="N188" s="14" t="str">
        <f aca="false">IFERROR(VLOOKUP(TRIM('📥 Respostas'!Q188),'⚙️ Config'!$A$4:$B$13,2,0),"")</f>
        <v/>
      </c>
      <c r="O188" s="14" t="str">
        <f aca="false">IFERROR(VLOOKUP(TRIM('📥 Respostas'!R188),'⚙️ Config'!$A$4:$B$13,2,0),"")</f>
        <v/>
      </c>
      <c r="P188" s="14" t="str">
        <f aca="false">IFERROR(VLOOKUP(TRIM('📥 Respostas'!S188),'⚙️ Config'!$A$4:$B$13,2,0),"")</f>
        <v/>
      </c>
      <c r="Q188" s="14" t="str">
        <f aca="false">IFERROR(VLOOKUP(TRIM('📥 Respostas'!T188),'⚙️ Config'!$A$4:$B$13,2,0),"")</f>
        <v/>
      </c>
      <c r="R188" s="14" t="str">
        <f aca="false">IFERROR(VLOOKUP(TRIM('📥 Respostas'!U188),'⚙️ Config'!$A$4:$B$13,2,0),"")</f>
        <v/>
      </c>
      <c r="S188" s="14" t="str">
        <f aca="false">IFERROR(VLOOKUP(TRIM('📥 Respostas'!V188),'⚙️ Config'!$A$4:$B$13,2,0),"")</f>
        <v/>
      </c>
      <c r="T188" s="14" t="str">
        <f aca="false">IFERROR(VLOOKUP(TRIM('📥 Respostas'!W188),'⚙️ Config'!$A$4:$B$13,2,0),"")</f>
        <v/>
      </c>
      <c r="U188" s="14" t="str">
        <f aca="false">IFERROR(VLOOKUP(TRIM('📥 Respostas'!X188),'⚙️ Config'!$A$4:$B$13,2,0),"")</f>
        <v/>
      </c>
      <c r="V188" s="14" t="str">
        <f aca="false">IFERROR(VLOOKUP(TRIM('📥 Respostas'!Y188),'⚙️ Config'!$A$4:$B$13,2,0),"")</f>
        <v/>
      </c>
      <c r="W188" s="14" t="str">
        <f aca="false">IFERROR(VLOOKUP(TRIM('📥 Respostas'!Z188),'⚙️ Config'!$A$4:$B$13,2,0),"")</f>
        <v/>
      </c>
      <c r="X188" s="14" t="str">
        <f aca="false">IFERROR(VLOOKUP(TRIM('📥 Respostas'!AA188),'⚙️ Config'!$A$4:$B$13,2,0),"")</f>
        <v/>
      </c>
      <c r="Y188" s="14" t="str">
        <f aca="false">IFERROR(VLOOKUP(TRIM('📥 Respostas'!AB188),'⚙️ Config'!$A$4:$B$13,2,0),"")</f>
        <v/>
      </c>
      <c r="Z188" s="14" t="str">
        <f aca="false">IFERROR(VLOOKUP(TRIM('📥 Respostas'!AC188),'⚙️ Config'!$A$4:$B$13,2,0),"")</f>
        <v/>
      </c>
      <c r="AA188" s="14" t="str">
        <f aca="false">IFERROR(VLOOKUP(TRIM('📥 Respostas'!AD188),'⚙️ Config'!$A$4:$B$13,2,0),"")</f>
        <v/>
      </c>
      <c r="AB188" s="14" t="str">
        <f aca="false">IFERROR(VLOOKUP(TRIM('📥 Respostas'!AE188),'⚙️ Config'!$A$4:$B$13,2,0),"")</f>
        <v/>
      </c>
      <c r="AC188" s="14" t="str">
        <f aca="false">IFERROR(VLOOKUP(TRIM('📥 Respostas'!AF188),'⚙️ Config'!$A$4:$B$13,2,0),"")</f>
        <v/>
      </c>
      <c r="AD188" s="14" t="str">
        <f aca="false">IFERROR(VLOOKUP(TRIM('📥 Respostas'!AG188),'⚙️ Config'!$A$4:$B$13,2,0),"")</f>
        <v/>
      </c>
      <c r="AE188" s="14" t="str">
        <f aca="false">IFERROR(VLOOKUP(TRIM('📥 Respostas'!AH188),'⚙️ Config'!$A$4:$B$13,2,0),"")</f>
        <v/>
      </c>
      <c r="AF188" s="14" t="str">
        <f aca="false">IFERROR(VLOOKUP(TRIM('📥 Respostas'!AI188),'⚙️ Config'!$C$4:$D$11,2,0),"")</f>
        <v/>
      </c>
      <c r="AG188" s="14" t="str">
        <f aca="false">IFERROR(VLOOKUP(TRIM('📥 Respostas'!AJ188),'⚙️ Config'!$A$4:$B$13,2,0),"")</f>
        <v/>
      </c>
      <c r="AH188" s="14" t="str">
        <f aca="false">IFERROR(VLOOKUP(TRIM('📥 Respostas'!AK188),'⚙️ Config'!$A$4:$B$13,2,0),"")</f>
        <v/>
      </c>
      <c r="AI188" s="14" t="str">
        <f aca="false">IFERROR(VLOOKUP(TRIM('📥 Respostas'!AL188),'⚙️ Config'!$A$4:$B$13,2,0),"")</f>
        <v/>
      </c>
      <c r="AJ188" s="14" t="str">
        <f aca="false">IFERROR(VLOOKUP(TRIM('📥 Respostas'!AM188),'⚙️ Config'!$A$4:$B$13,2,0),"")</f>
        <v/>
      </c>
      <c r="AK188" s="14" t="str">
        <f aca="false">IFERROR(VLOOKUP(TRIM('📥 Respostas'!AN188),'⚙️ Config'!$A$4:$B$13,2,0),"")</f>
        <v/>
      </c>
      <c r="AL188" s="14" t="str">
        <f aca="false">IFERROR(VLOOKUP(TRIM('📥 Respostas'!AO188),'⚙️ Config'!$A$4:$B$13,2,0),"")</f>
        <v/>
      </c>
      <c r="AM188" s="14" t="str">
        <f aca="false">IFERROR(VLOOKUP(TRIM('📥 Respostas'!AP188),'⚙️ Config'!$A$4:$B$13,2,0),"")</f>
        <v/>
      </c>
      <c r="AN188" s="14" t="str">
        <f aca="false">IFERROR(VLOOKUP(TRIM('📥 Respostas'!AQ188),'⚙️ Config'!$A$4:$B$13,2,0),"")</f>
        <v/>
      </c>
      <c r="AO188" s="14" t="str">
        <f aca="false">IFERROR(VLOOKUP(TRIM('📥 Respostas'!AR188),'⚙️ Config'!$A$4:$B$13,2,0),"")</f>
        <v/>
      </c>
      <c r="AP188" s="14" t="str">
        <f aca="false">IFERROR(VLOOKUP(TRIM('📥 Respostas'!AS188),'⚙️ Config'!$A$4:$B$13,2,0),"")</f>
        <v/>
      </c>
      <c r="AQ188" s="14" t="str">
        <f aca="false">IFERROR(VLOOKUP(TRIM('📥 Respostas'!AT188),'⚙️ Config'!$A$4:$B$13,2,0),"")</f>
        <v/>
      </c>
      <c r="AR188" s="14" t="str">
        <f aca="false">IFERROR(VLOOKUP(TRIM('📥 Respostas'!AU188),'⚙️ Config'!$A$4:$B$13,2,0),"")</f>
        <v/>
      </c>
    </row>
    <row r="189" customFormat="false" ht="15" hidden="false" customHeight="false" outlineLevel="0" collapsed="false">
      <c r="A189" s="15" t="str">
        <f aca="false">IF(ISBLANK('📥 Respostas'!D189),"",ROW()-3)</f>
        <v/>
      </c>
      <c r="B189" s="15" t="n">
        <f aca="false">'📥 Respostas'!D189</f>
        <v>0</v>
      </c>
      <c r="C189" s="5" t="n">
        <f aca="false">'📥 Respostas'!C189</f>
        <v>0</v>
      </c>
      <c r="D189" s="14" t="str">
        <f aca="false">IFERROR(VLOOKUP(TRIM('📥 Respostas'!G189),'⚙️ Config'!$A$4:$B$13,2,0),"")</f>
        <v/>
      </c>
      <c r="E189" s="14" t="str">
        <f aca="false">IFERROR(VLOOKUP(TRIM('📥 Respostas'!H189),'⚙️ Config'!$A$4:$B$13,2,0),"")</f>
        <v/>
      </c>
      <c r="F189" s="14" t="str">
        <f aca="false">IFERROR(VLOOKUP(TRIM('📥 Respostas'!I189),'⚙️ Config'!$A$4:$B$13,2,0),"")</f>
        <v/>
      </c>
      <c r="G189" s="14" t="str">
        <f aca="false">IFERROR(VLOOKUP(TRIM('📥 Respostas'!J189),'⚙️ Config'!$A$4:$B$13,2,0),"")</f>
        <v/>
      </c>
      <c r="H189" s="14" t="str">
        <f aca="false">IFERROR(VLOOKUP(TRIM('📥 Respostas'!K189),'⚙️ Config'!$A$4:$B$13,2,0),"")</f>
        <v/>
      </c>
      <c r="I189" s="14" t="str">
        <f aca="false">IFERROR(VLOOKUP(TRIM('📥 Respostas'!L189),'⚙️ Config'!$A$4:$B$13,2,0),"")</f>
        <v/>
      </c>
      <c r="J189" s="14" t="str">
        <f aca="false">IFERROR(VLOOKUP(TRIM('📥 Respostas'!M189),'⚙️ Config'!$A$4:$B$13,2,0),"")</f>
        <v/>
      </c>
      <c r="K189" s="14" t="str">
        <f aca="false">IFERROR(VLOOKUP(TRIM('📥 Respostas'!N189),'⚙️ Config'!$A$4:$B$13,2,0),"")</f>
        <v/>
      </c>
      <c r="L189" s="14" t="str">
        <f aca="false">IFERROR(VLOOKUP(TRIM('📥 Respostas'!O189),'⚙️ Config'!$A$4:$B$13,2,0),"")</f>
        <v/>
      </c>
      <c r="M189" s="14" t="str">
        <f aca="false">IFERROR(VLOOKUP(TRIM('📥 Respostas'!P189),'⚙️ Config'!$A$4:$B$13,2,0),"")</f>
        <v/>
      </c>
      <c r="N189" s="14" t="str">
        <f aca="false">IFERROR(VLOOKUP(TRIM('📥 Respostas'!Q189),'⚙️ Config'!$A$4:$B$13,2,0),"")</f>
        <v/>
      </c>
      <c r="O189" s="14" t="str">
        <f aca="false">IFERROR(VLOOKUP(TRIM('📥 Respostas'!R189),'⚙️ Config'!$A$4:$B$13,2,0),"")</f>
        <v/>
      </c>
      <c r="P189" s="14" t="str">
        <f aca="false">IFERROR(VLOOKUP(TRIM('📥 Respostas'!S189),'⚙️ Config'!$A$4:$B$13,2,0),"")</f>
        <v/>
      </c>
      <c r="Q189" s="14" t="str">
        <f aca="false">IFERROR(VLOOKUP(TRIM('📥 Respostas'!T189),'⚙️ Config'!$A$4:$B$13,2,0),"")</f>
        <v/>
      </c>
      <c r="R189" s="14" t="str">
        <f aca="false">IFERROR(VLOOKUP(TRIM('📥 Respostas'!U189),'⚙️ Config'!$A$4:$B$13,2,0),"")</f>
        <v/>
      </c>
      <c r="S189" s="14" t="str">
        <f aca="false">IFERROR(VLOOKUP(TRIM('📥 Respostas'!V189),'⚙️ Config'!$A$4:$B$13,2,0),"")</f>
        <v/>
      </c>
      <c r="T189" s="14" t="str">
        <f aca="false">IFERROR(VLOOKUP(TRIM('📥 Respostas'!W189),'⚙️ Config'!$A$4:$B$13,2,0),"")</f>
        <v/>
      </c>
      <c r="U189" s="14" t="str">
        <f aca="false">IFERROR(VLOOKUP(TRIM('📥 Respostas'!X189),'⚙️ Config'!$A$4:$B$13,2,0),"")</f>
        <v/>
      </c>
      <c r="V189" s="14" t="str">
        <f aca="false">IFERROR(VLOOKUP(TRIM('📥 Respostas'!Y189),'⚙️ Config'!$A$4:$B$13,2,0),"")</f>
        <v/>
      </c>
      <c r="W189" s="14" t="str">
        <f aca="false">IFERROR(VLOOKUP(TRIM('📥 Respostas'!Z189),'⚙️ Config'!$A$4:$B$13,2,0),"")</f>
        <v/>
      </c>
      <c r="X189" s="14" t="str">
        <f aca="false">IFERROR(VLOOKUP(TRIM('📥 Respostas'!AA189),'⚙️ Config'!$A$4:$B$13,2,0),"")</f>
        <v/>
      </c>
      <c r="Y189" s="14" t="str">
        <f aca="false">IFERROR(VLOOKUP(TRIM('📥 Respostas'!AB189),'⚙️ Config'!$A$4:$B$13,2,0),"")</f>
        <v/>
      </c>
      <c r="Z189" s="14" t="str">
        <f aca="false">IFERROR(VLOOKUP(TRIM('📥 Respostas'!AC189),'⚙️ Config'!$A$4:$B$13,2,0),"")</f>
        <v/>
      </c>
      <c r="AA189" s="14" t="str">
        <f aca="false">IFERROR(VLOOKUP(TRIM('📥 Respostas'!AD189),'⚙️ Config'!$A$4:$B$13,2,0),"")</f>
        <v/>
      </c>
      <c r="AB189" s="14" t="str">
        <f aca="false">IFERROR(VLOOKUP(TRIM('📥 Respostas'!AE189),'⚙️ Config'!$A$4:$B$13,2,0),"")</f>
        <v/>
      </c>
      <c r="AC189" s="14" t="str">
        <f aca="false">IFERROR(VLOOKUP(TRIM('📥 Respostas'!AF189),'⚙️ Config'!$A$4:$B$13,2,0),"")</f>
        <v/>
      </c>
      <c r="AD189" s="14" t="str">
        <f aca="false">IFERROR(VLOOKUP(TRIM('📥 Respostas'!AG189),'⚙️ Config'!$A$4:$B$13,2,0),"")</f>
        <v/>
      </c>
      <c r="AE189" s="14" t="str">
        <f aca="false">IFERROR(VLOOKUP(TRIM('📥 Respostas'!AH189),'⚙️ Config'!$A$4:$B$13,2,0),"")</f>
        <v/>
      </c>
      <c r="AF189" s="14" t="str">
        <f aca="false">IFERROR(VLOOKUP(TRIM('📥 Respostas'!AI189),'⚙️ Config'!$C$4:$D$11,2,0),"")</f>
        <v/>
      </c>
      <c r="AG189" s="14" t="str">
        <f aca="false">IFERROR(VLOOKUP(TRIM('📥 Respostas'!AJ189),'⚙️ Config'!$A$4:$B$13,2,0),"")</f>
        <v/>
      </c>
      <c r="AH189" s="14" t="str">
        <f aca="false">IFERROR(VLOOKUP(TRIM('📥 Respostas'!AK189),'⚙️ Config'!$A$4:$B$13,2,0),"")</f>
        <v/>
      </c>
      <c r="AI189" s="14" t="str">
        <f aca="false">IFERROR(VLOOKUP(TRIM('📥 Respostas'!AL189),'⚙️ Config'!$A$4:$B$13,2,0),"")</f>
        <v/>
      </c>
      <c r="AJ189" s="14" t="str">
        <f aca="false">IFERROR(VLOOKUP(TRIM('📥 Respostas'!AM189),'⚙️ Config'!$A$4:$B$13,2,0),"")</f>
        <v/>
      </c>
      <c r="AK189" s="14" t="str">
        <f aca="false">IFERROR(VLOOKUP(TRIM('📥 Respostas'!AN189),'⚙️ Config'!$A$4:$B$13,2,0),"")</f>
        <v/>
      </c>
      <c r="AL189" s="14" t="str">
        <f aca="false">IFERROR(VLOOKUP(TRIM('📥 Respostas'!AO189),'⚙️ Config'!$A$4:$B$13,2,0),"")</f>
        <v/>
      </c>
      <c r="AM189" s="14" t="str">
        <f aca="false">IFERROR(VLOOKUP(TRIM('📥 Respostas'!AP189),'⚙️ Config'!$A$4:$B$13,2,0),"")</f>
        <v/>
      </c>
      <c r="AN189" s="14" t="str">
        <f aca="false">IFERROR(VLOOKUP(TRIM('📥 Respostas'!AQ189),'⚙️ Config'!$A$4:$B$13,2,0),"")</f>
        <v/>
      </c>
      <c r="AO189" s="14" t="str">
        <f aca="false">IFERROR(VLOOKUP(TRIM('📥 Respostas'!AR189),'⚙️ Config'!$A$4:$B$13,2,0),"")</f>
        <v/>
      </c>
      <c r="AP189" s="14" t="str">
        <f aca="false">IFERROR(VLOOKUP(TRIM('📥 Respostas'!AS189),'⚙️ Config'!$A$4:$B$13,2,0),"")</f>
        <v/>
      </c>
      <c r="AQ189" s="14" t="str">
        <f aca="false">IFERROR(VLOOKUP(TRIM('📥 Respostas'!AT189),'⚙️ Config'!$A$4:$B$13,2,0),"")</f>
        <v/>
      </c>
      <c r="AR189" s="14" t="str">
        <f aca="false">IFERROR(VLOOKUP(TRIM('📥 Respostas'!AU189),'⚙️ Config'!$A$4:$B$13,2,0),"")</f>
        <v/>
      </c>
    </row>
    <row r="190" customFormat="false" ht="15" hidden="false" customHeight="false" outlineLevel="0" collapsed="false">
      <c r="A190" s="12" t="str">
        <f aca="false">IF(ISBLANK('📥 Respostas'!D190),"",ROW()-3)</f>
        <v/>
      </c>
      <c r="B190" s="12" t="n">
        <f aca="false">'📥 Respostas'!D190</f>
        <v>0</v>
      </c>
      <c r="C190" s="13" t="n">
        <f aca="false">'📥 Respostas'!C190</f>
        <v>0</v>
      </c>
      <c r="D190" s="14" t="str">
        <f aca="false">IFERROR(VLOOKUP(TRIM('📥 Respostas'!G190),'⚙️ Config'!$A$4:$B$13,2,0),"")</f>
        <v/>
      </c>
      <c r="E190" s="14" t="str">
        <f aca="false">IFERROR(VLOOKUP(TRIM('📥 Respostas'!H190),'⚙️ Config'!$A$4:$B$13,2,0),"")</f>
        <v/>
      </c>
      <c r="F190" s="14" t="str">
        <f aca="false">IFERROR(VLOOKUP(TRIM('📥 Respostas'!I190),'⚙️ Config'!$A$4:$B$13,2,0),"")</f>
        <v/>
      </c>
      <c r="G190" s="14" t="str">
        <f aca="false">IFERROR(VLOOKUP(TRIM('📥 Respostas'!J190),'⚙️ Config'!$A$4:$B$13,2,0),"")</f>
        <v/>
      </c>
      <c r="H190" s="14" t="str">
        <f aca="false">IFERROR(VLOOKUP(TRIM('📥 Respostas'!K190),'⚙️ Config'!$A$4:$B$13,2,0),"")</f>
        <v/>
      </c>
      <c r="I190" s="14" t="str">
        <f aca="false">IFERROR(VLOOKUP(TRIM('📥 Respostas'!L190),'⚙️ Config'!$A$4:$B$13,2,0),"")</f>
        <v/>
      </c>
      <c r="J190" s="14" t="str">
        <f aca="false">IFERROR(VLOOKUP(TRIM('📥 Respostas'!M190),'⚙️ Config'!$A$4:$B$13,2,0),"")</f>
        <v/>
      </c>
      <c r="K190" s="14" t="str">
        <f aca="false">IFERROR(VLOOKUP(TRIM('📥 Respostas'!N190),'⚙️ Config'!$A$4:$B$13,2,0),"")</f>
        <v/>
      </c>
      <c r="L190" s="14" t="str">
        <f aca="false">IFERROR(VLOOKUP(TRIM('📥 Respostas'!O190),'⚙️ Config'!$A$4:$B$13,2,0),"")</f>
        <v/>
      </c>
      <c r="M190" s="14" t="str">
        <f aca="false">IFERROR(VLOOKUP(TRIM('📥 Respostas'!P190),'⚙️ Config'!$A$4:$B$13,2,0),"")</f>
        <v/>
      </c>
      <c r="N190" s="14" t="str">
        <f aca="false">IFERROR(VLOOKUP(TRIM('📥 Respostas'!Q190),'⚙️ Config'!$A$4:$B$13,2,0),"")</f>
        <v/>
      </c>
      <c r="O190" s="14" t="str">
        <f aca="false">IFERROR(VLOOKUP(TRIM('📥 Respostas'!R190),'⚙️ Config'!$A$4:$B$13,2,0),"")</f>
        <v/>
      </c>
      <c r="P190" s="14" t="str">
        <f aca="false">IFERROR(VLOOKUP(TRIM('📥 Respostas'!S190),'⚙️ Config'!$A$4:$B$13,2,0),"")</f>
        <v/>
      </c>
      <c r="Q190" s="14" t="str">
        <f aca="false">IFERROR(VLOOKUP(TRIM('📥 Respostas'!T190),'⚙️ Config'!$A$4:$B$13,2,0),"")</f>
        <v/>
      </c>
      <c r="R190" s="14" t="str">
        <f aca="false">IFERROR(VLOOKUP(TRIM('📥 Respostas'!U190),'⚙️ Config'!$A$4:$B$13,2,0),"")</f>
        <v/>
      </c>
      <c r="S190" s="14" t="str">
        <f aca="false">IFERROR(VLOOKUP(TRIM('📥 Respostas'!V190),'⚙️ Config'!$A$4:$B$13,2,0),"")</f>
        <v/>
      </c>
      <c r="T190" s="14" t="str">
        <f aca="false">IFERROR(VLOOKUP(TRIM('📥 Respostas'!W190),'⚙️ Config'!$A$4:$B$13,2,0),"")</f>
        <v/>
      </c>
      <c r="U190" s="14" t="str">
        <f aca="false">IFERROR(VLOOKUP(TRIM('📥 Respostas'!X190),'⚙️ Config'!$A$4:$B$13,2,0),"")</f>
        <v/>
      </c>
      <c r="V190" s="14" t="str">
        <f aca="false">IFERROR(VLOOKUP(TRIM('📥 Respostas'!Y190),'⚙️ Config'!$A$4:$B$13,2,0),"")</f>
        <v/>
      </c>
      <c r="W190" s="14" t="str">
        <f aca="false">IFERROR(VLOOKUP(TRIM('📥 Respostas'!Z190),'⚙️ Config'!$A$4:$B$13,2,0),"")</f>
        <v/>
      </c>
      <c r="X190" s="14" t="str">
        <f aca="false">IFERROR(VLOOKUP(TRIM('📥 Respostas'!AA190),'⚙️ Config'!$A$4:$B$13,2,0),"")</f>
        <v/>
      </c>
      <c r="Y190" s="14" t="str">
        <f aca="false">IFERROR(VLOOKUP(TRIM('📥 Respostas'!AB190),'⚙️ Config'!$A$4:$B$13,2,0),"")</f>
        <v/>
      </c>
      <c r="Z190" s="14" t="str">
        <f aca="false">IFERROR(VLOOKUP(TRIM('📥 Respostas'!AC190),'⚙️ Config'!$A$4:$B$13,2,0),"")</f>
        <v/>
      </c>
      <c r="AA190" s="14" t="str">
        <f aca="false">IFERROR(VLOOKUP(TRIM('📥 Respostas'!AD190),'⚙️ Config'!$A$4:$B$13,2,0),"")</f>
        <v/>
      </c>
      <c r="AB190" s="14" t="str">
        <f aca="false">IFERROR(VLOOKUP(TRIM('📥 Respostas'!AE190),'⚙️ Config'!$A$4:$B$13,2,0),"")</f>
        <v/>
      </c>
      <c r="AC190" s="14" t="str">
        <f aca="false">IFERROR(VLOOKUP(TRIM('📥 Respostas'!AF190),'⚙️ Config'!$A$4:$B$13,2,0),"")</f>
        <v/>
      </c>
      <c r="AD190" s="14" t="str">
        <f aca="false">IFERROR(VLOOKUP(TRIM('📥 Respostas'!AG190),'⚙️ Config'!$A$4:$B$13,2,0),"")</f>
        <v/>
      </c>
      <c r="AE190" s="14" t="str">
        <f aca="false">IFERROR(VLOOKUP(TRIM('📥 Respostas'!AH190),'⚙️ Config'!$A$4:$B$13,2,0),"")</f>
        <v/>
      </c>
      <c r="AF190" s="14" t="str">
        <f aca="false">IFERROR(VLOOKUP(TRIM('📥 Respostas'!AI190),'⚙️ Config'!$C$4:$D$11,2,0),"")</f>
        <v/>
      </c>
      <c r="AG190" s="14" t="str">
        <f aca="false">IFERROR(VLOOKUP(TRIM('📥 Respostas'!AJ190),'⚙️ Config'!$A$4:$B$13,2,0),"")</f>
        <v/>
      </c>
      <c r="AH190" s="14" t="str">
        <f aca="false">IFERROR(VLOOKUP(TRIM('📥 Respostas'!AK190),'⚙️ Config'!$A$4:$B$13,2,0),"")</f>
        <v/>
      </c>
      <c r="AI190" s="14" t="str">
        <f aca="false">IFERROR(VLOOKUP(TRIM('📥 Respostas'!AL190),'⚙️ Config'!$A$4:$B$13,2,0),"")</f>
        <v/>
      </c>
      <c r="AJ190" s="14" t="str">
        <f aca="false">IFERROR(VLOOKUP(TRIM('📥 Respostas'!AM190),'⚙️ Config'!$A$4:$B$13,2,0),"")</f>
        <v/>
      </c>
      <c r="AK190" s="14" t="str">
        <f aca="false">IFERROR(VLOOKUP(TRIM('📥 Respostas'!AN190),'⚙️ Config'!$A$4:$B$13,2,0),"")</f>
        <v/>
      </c>
      <c r="AL190" s="14" t="str">
        <f aca="false">IFERROR(VLOOKUP(TRIM('📥 Respostas'!AO190),'⚙️ Config'!$A$4:$B$13,2,0),"")</f>
        <v/>
      </c>
      <c r="AM190" s="14" t="str">
        <f aca="false">IFERROR(VLOOKUP(TRIM('📥 Respostas'!AP190),'⚙️ Config'!$A$4:$B$13,2,0),"")</f>
        <v/>
      </c>
      <c r="AN190" s="14" t="str">
        <f aca="false">IFERROR(VLOOKUP(TRIM('📥 Respostas'!AQ190),'⚙️ Config'!$A$4:$B$13,2,0),"")</f>
        <v/>
      </c>
      <c r="AO190" s="14" t="str">
        <f aca="false">IFERROR(VLOOKUP(TRIM('📥 Respostas'!AR190),'⚙️ Config'!$A$4:$B$13,2,0),"")</f>
        <v/>
      </c>
      <c r="AP190" s="14" t="str">
        <f aca="false">IFERROR(VLOOKUP(TRIM('📥 Respostas'!AS190),'⚙️ Config'!$A$4:$B$13,2,0),"")</f>
        <v/>
      </c>
      <c r="AQ190" s="14" t="str">
        <f aca="false">IFERROR(VLOOKUP(TRIM('📥 Respostas'!AT190),'⚙️ Config'!$A$4:$B$13,2,0),"")</f>
        <v/>
      </c>
      <c r="AR190" s="14" t="str">
        <f aca="false">IFERROR(VLOOKUP(TRIM('📥 Respostas'!AU190),'⚙️ Config'!$A$4:$B$13,2,0),"")</f>
        <v/>
      </c>
    </row>
    <row r="191" customFormat="false" ht="15" hidden="false" customHeight="false" outlineLevel="0" collapsed="false">
      <c r="A191" s="15" t="str">
        <f aca="false">IF(ISBLANK('📥 Respostas'!D191),"",ROW()-3)</f>
        <v/>
      </c>
      <c r="B191" s="15" t="n">
        <f aca="false">'📥 Respostas'!D191</f>
        <v>0</v>
      </c>
      <c r="C191" s="5" t="n">
        <f aca="false">'📥 Respostas'!C191</f>
        <v>0</v>
      </c>
      <c r="D191" s="14" t="str">
        <f aca="false">IFERROR(VLOOKUP(TRIM('📥 Respostas'!G191),'⚙️ Config'!$A$4:$B$13,2,0),"")</f>
        <v/>
      </c>
      <c r="E191" s="14" t="str">
        <f aca="false">IFERROR(VLOOKUP(TRIM('📥 Respostas'!H191),'⚙️ Config'!$A$4:$B$13,2,0),"")</f>
        <v/>
      </c>
      <c r="F191" s="14" t="str">
        <f aca="false">IFERROR(VLOOKUP(TRIM('📥 Respostas'!I191),'⚙️ Config'!$A$4:$B$13,2,0),"")</f>
        <v/>
      </c>
      <c r="G191" s="14" t="str">
        <f aca="false">IFERROR(VLOOKUP(TRIM('📥 Respostas'!J191),'⚙️ Config'!$A$4:$B$13,2,0),"")</f>
        <v/>
      </c>
      <c r="H191" s="14" t="str">
        <f aca="false">IFERROR(VLOOKUP(TRIM('📥 Respostas'!K191),'⚙️ Config'!$A$4:$B$13,2,0),"")</f>
        <v/>
      </c>
      <c r="I191" s="14" t="str">
        <f aca="false">IFERROR(VLOOKUP(TRIM('📥 Respostas'!L191),'⚙️ Config'!$A$4:$B$13,2,0),"")</f>
        <v/>
      </c>
      <c r="J191" s="14" t="str">
        <f aca="false">IFERROR(VLOOKUP(TRIM('📥 Respostas'!M191),'⚙️ Config'!$A$4:$B$13,2,0),"")</f>
        <v/>
      </c>
      <c r="K191" s="14" t="str">
        <f aca="false">IFERROR(VLOOKUP(TRIM('📥 Respostas'!N191),'⚙️ Config'!$A$4:$B$13,2,0),"")</f>
        <v/>
      </c>
      <c r="L191" s="14" t="str">
        <f aca="false">IFERROR(VLOOKUP(TRIM('📥 Respostas'!O191),'⚙️ Config'!$A$4:$B$13,2,0),"")</f>
        <v/>
      </c>
      <c r="M191" s="14" t="str">
        <f aca="false">IFERROR(VLOOKUP(TRIM('📥 Respostas'!P191),'⚙️ Config'!$A$4:$B$13,2,0),"")</f>
        <v/>
      </c>
      <c r="N191" s="14" t="str">
        <f aca="false">IFERROR(VLOOKUP(TRIM('📥 Respostas'!Q191),'⚙️ Config'!$A$4:$B$13,2,0),"")</f>
        <v/>
      </c>
      <c r="O191" s="14" t="str">
        <f aca="false">IFERROR(VLOOKUP(TRIM('📥 Respostas'!R191),'⚙️ Config'!$A$4:$B$13,2,0),"")</f>
        <v/>
      </c>
      <c r="P191" s="14" t="str">
        <f aca="false">IFERROR(VLOOKUP(TRIM('📥 Respostas'!S191),'⚙️ Config'!$A$4:$B$13,2,0),"")</f>
        <v/>
      </c>
      <c r="Q191" s="14" t="str">
        <f aca="false">IFERROR(VLOOKUP(TRIM('📥 Respostas'!T191),'⚙️ Config'!$A$4:$B$13,2,0),"")</f>
        <v/>
      </c>
      <c r="R191" s="14" t="str">
        <f aca="false">IFERROR(VLOOKUP(TRIM('📥 Respostas'!U191),'⚙️ Config'!$A$4:$B$13,2,0),"")</f>
        <v/>
      </c>
      <c r="S191" s="14" t="str">
        <f aca="false">IFERROR(VLOOKUP(TRIM('📥 Respostas'!V191),'⚙️ Config'!$A$4:$B$13,2,0),"")</f>
        <v/>
      </c>
      <c r="T191" s="14" t="str">
        <f aca="false">IFERROR(VLOOKUP(TRIM('📥 Respostas'!W191),'⚙️ Config'!$A$4:$B$13,2,0),"")</f>
        <v/>
      </c>
      <c r="U191" s="14" t="str">
        <f aca="false">IFERROR(VLOOKUP(TRIM('📥 Respostas'!X191),'⚙️ Config'!$A$4:$B$13,2,0),"")</f>
        <v/>
      </c>
      <c r="V191" s="14" t="str">
        <f aca="false">IFERROR(VLOOKUP(TRIM('📥 Respostas'!Y191),'⚙️ Config'!$A$4:$B$13,2,0),"")</f>
        <v/>
      </c>
      <c r="W191" s="14" t="str">
        <f aca="false">IFERROR(VLOOKUP(TRIM('📥 Respostas'!Z191),'⚙️ Config'!$A$4:$B$13,2,0),"")</f>
        <v/>
      </c>
      <c r="X191" s="14" t="str">
        <f aca="false">IFERROR(VLOOKUP(TRIM('📥 Respostas'!AA191),'⚙️ Config'!$A$4:$B$13,2,0),"")</f>
        <v/>
      </c>
      <c r="Y191" s="14" t="str">
        <f aca="false">IFERROR(VLOOKUP(TRIM('📥 Respostas'!AB191),'⚙️ Config'!$A$4:$B$13,2,0),"")</f>
        <v/>
      </c>
      <c r="Z191" s="14" t="str">
        <f aca="false">IFERROR(VLOOKUP(TRIM('📥 Respostas'!AC191),'⚙️ Config'!$A$4:$B$13,2,0),"")</f>
        <v/>
      </c>
      <c r="AA191" s="14" t="str">
        <f aca="false">IFERROR(VLOOKUP(TRIM('📥 Respostas'!AD191),'⚙️ Config'!$A$4:$B$13,2,0),"")</f>
        <v/>
      </c>
      <c r="AB191" s="14" t="str">
        <f aca="false">IFERROR(VLOOKUP(TRIM('📥 Respostas'!AE191),'⚙️ Config'!$A$4:$B$13,2,0),"")</f>
        <v/>
      </c>
      <c r="AC191" s="14" t="str">
        <f aca="false">IFERROR(VLOOKUP(TRIM('📥 Respostas'!AF191),'⚙️ Config'!$A$4:$B$13,2,0),"")</f>
        <v/>
      </c>
      <c r="AD191" s="14" t="str">
        <f aca="false">IFERROR(VLOOKUP(TRIM('📥 Respostas'!AG191),'⚙️ Config'!$A$4:$B$13,2,0),"")</f>
        <v/>
      </c>
      <c r="AE191" s="14" t="str">
        <f aca="false">IFERROR(VLOOKUP(TRIM('📥 Respostas'!AH191),'⚙️ Config'!$A$4:$B$13,2,0),"")</f>
        <v/>
      </c>
      <c r="AF191" s="14" t="str">
        <f aca="false">IFERROR(VLOOKUP(TRIM('📥 Respostas'!AI191),'⚙️ Config'!$C$4:$D$11,2,0),"")</f>
        <v/>
      </c>
      <c r="AG191" s="14" t="str">
        <f aca="false">IFERROR(VLOOKUP(TRIM('📥 Respostas'!AJ191),'⚙️ Config'!$A$4:$B$13,2,0),"")</f>
        <v/>
      </c>
      <c r="AH191" s="14" t="str">
        <f aca="false">IFERROR(VLOOKUP(TRIM('📥 Respostas'!AK191),'⚙️ Config'!$A$4:$B$13,2,0),"")</f>
        <v/>
      </c>
      <c r="AI191" s="14" t="str">
        <f aca="false">IFERROR(VLOOKUP(TRIM('📥 Respostas'!AL191),'⚙️ Config'!$A$4:$B$13,2,0),"")</f>
        <v/>
      </c>
      <c r="AJ191" s="14" t="str">
        <f aca="false">IFERROR(VLOOKUP(TRIM('📥 Respostas'!AM191),'⚙️ Config'!$A$4:$B$13,2,0),"")</f>
        <v/>
      </c>
      <c r="AK191" s="14" t="str">
        <f aca="false">IFERROR(VLOOKUP(TRIM('📥 Respostas'!AN191),'⚙️ Config'!$A$4:$B$13,2,0),"")</f>
        <v/>
      </c>
      <c r="AL191" s="14" t="str">
        <f aca="false">IFERROR(VLOOKUP(TRIM('📥 Respostas'!AO191),'⚙️ Config'!$A$4:$B$13,2,0),"")</f>
        <v/>
      </c>
      <c r="AM191" s="14" t="str">
        <f aca="false">IFERROR(VLOOKUP(TRIM('📥 Respostas'!AP191),'⚙️ Config'!$A$4:$B$13,2,0),"")</f>
        <v/>
      </c>
      <c r="AN191" s="14" t="str">
        <f aca="false">IFERROR(VLOOKUP(TRIM('📥 Respostas'!AQ191),'⚙️ Config'!$A$4:$B$13,2,0),"")</f>
        <v/>
      </c>
      <c r="AO191" s="14" t="str">
        <f aca="false">IFERROR(VLOOKUP(TRIM('📥 Respostas'!AR191),'⚙️ Config'!$A$4:$B$13,2,0),"")</f>
        <v/>
      </c>
      <c r="AP191" s="14" t="str">
        <f aca="false">IFERROR(VLOOKUP(TRIM('📥 Respostas'!AS191),'⚙️ Config'!$A$4:$B$13,2,0),"")</f>
        <v/>
      </c>
      <c r="AQ191" s="14" t="str">
        <f aca="false">IFERROR(VLOOKUP(TRIM('📥 Respostas'!AT191),'⚙️ Config'!$A$4:$B$13,2,0),"")</f>
        <v/>
      </c>
      <c r="AR191" s="14" t="str">
        <f aca="false">IFERROR(VLOOKUP(TRIM('📥 Respostas'!AU191),'⚙️ Config'!$A$4:$B$13,2,0),"")</f>
        <v/>
      </c>
    </row>
    <row r="192" customFormat="false" ht="15" hidden="false" customHeight="false" outlineLevel="0" collapsed="false">
      <c r="A192" s="12" t="str">
        <f aca="false">IF(ISBLANK('📥 Respostas'!D192),"",ROW()-3)</f>
        <v/>
      </c>
      <c r="B192" s="12" t="n">
        <f aca="false">'📥 Respostas'!D192</f>
        <v>0</v>
      </c>
      <c r="C192" s="13" t="n">
        <f aca="false">'📥 Respostas'!C192</f>
        <v>0</v>
      </c>
      <c r="D192" s="14" t="str">
        <f aca="false">IFERROR(VLOOKUP(TRIM('📥 Respostas'!G192),'⚙️ Config'!$A$4:$B$13,2,0),"")</f>
        <v/>
      </c>
      <c r="E192" s="14" t="str">
        <f aca="false">IFERROR(VLOOKUP(TRIM('📥 Respostas'!H192),'⚙️ Config'!$A$4:$B$13,2,0),"")</f>
        <v/>
      </c>
      <c r="F192" s="14" t="str">
        <f aca="false">IFERROR(VLOOKUP(TRIM('📥 Respostas'!I192),'⚙️ Config'!$A$4:$B$13,2,0),"")</f>
        <v/>
      </c>
      <c r="G192" s="14" t="str">
        <f aca="false">IFERROR(VLOOKUP(TRIM('📥 Respostas'!J192),'⚙️ Config'!$A$4:$B$13,2,0),"")</f>
        <v/>
      </c>
      <c r="H192" s="14" t="str">
        <f aca="false">IFERROR(VLOOKUP(TRIM('📥 Respostas'!K192),'⚙️ Config'!$A$4:$B$13,2,0),"")</f>
        <v/>
      </c>
      <c r="I192" s="14" t="str">
        <f aca="false">IFERROR(VLOOKUP(TRIM('📥 Respostas'!L192),'⚙️ Config'!$A$4:$B$13,2,0),"")</f>
        <v/>
      </c>
      <c r="J192" s="14" t="str">
        <f aca="false">IFERROR(VLOOKUP(TRIM('📥 Respostas'!M192),'⚙️ Config'!$A$4:$B$13,2,0),"")</f>
        <v/>
      </c>
      <c r="K192" s="14" t="str">
        <f aca="false">IFERROR(VLOOKUP(TRIM('📥 Respostas'!N192),'⚙️ Config'!$A$4:$B$13,2,0),"")</f>
        <v/>
      </c>
      <c r="L192" s="14" t="str">
        <f aca="false">IFERROR(VLOOKUP(TRIM('📥 Respostas'!O192),'⚙️ Config'!$A$4:$B$13,2,0),"")</f>
        <v/>
      </c>
      <c r="M192" s="14" t="str">
        <f aca="false">IFERROR(VLOOKUP(TRIM('📥 Respostas'!P192),'⚙️ Config'!$A$4:$B$13,2,0),"")</f>
        <v/>
      </c>
      <c r="N192" s="14" t="str">
        <f aca="false">IFERROR(VLOOKUP(TRIM('📥 Respostas'!Q192),'⚙️ Config'!$A$4:$B$13,2,0),"")</f>
        <v/>
      </c>
      <c r="O192" s="14" t="str">
        <f aca="false">IFERROR(VLOOKUP(TRIM('📥 Respostas'!R192),'⚙️ Config'!$A$4:$B$13,2,0),"")</f>
        <v/>
      </c>
      <c r="P192" s="14" t="str">
        <f aca="false">IFERROR(VLOOKUP(TRIM('📥 Respostas'!S192),'⚙️ Config'!$A$4:$B$13,2,0),"")</f>
        <v/>
      </c>
      <c r="Q192" s="14" t="str">
        <f aca="false">IFERROR(VLOOKUP(TRIM('📥 Respostas'!T192),'⚙️ Config'!$A$4:$B$13,2,0),"")</f>
        <v/>
      </c>
      <c r="R192" s="14" t="str">
        <f aca="false">IFERROR(VLOOKUP(TRIM('📥 Respostas'!U192),'⚙️ Config'!$A$4:$B$13,2,0),"")</f>
        <v/>
      </c>
      <c r="S192" s="14" t="str">
        <f aca="false">IFERROR(VLOOKUP(TRIM('📥 Respostas'!V192),'⚙️ Config'!$A$4:$B$13,2,0),"")</f>
        <v/>
      </c>
      <c r="T192" s="14" t="str">
        <f aca="false">IFERROR(VLOOKUP(TRIM('📥 Respostas'!W192),'⚙️ Config'!$A$4:$B$13,2,0),"")</f>
        <v/>
      </c>
      <c r="U192" s="14" t="str">
        <f aca="false">IFERROR(VLOOKUP(TRIM('📥 Respostas'!X192),'⚙️ Config'!$A$4:$B$13,2,0),"")</f>
        <v/>
      </c>
      <c r="V192" s="14" t="str">
        <f aca="false">IFERROR(VLOOKUP(TRIM('📥 Respostas'!Y192),'⚙️ Config'!$A$4:$B$13,2,0),"")</f>
        <v/>
      </c>
      <c r="W192" s="14" t="str">
        <f aca="false">IFERROR(VLOOKUP(TRIM('📥 Respostas'!Z192),'⚙️ Config'!$A$4:$B$13,2,0),"")</f>
        <v/>
      </c>
      <c r="X192" s="14" t="str">
        <f aca="false">IFERROR(VLOOKUP(TRIM('📥 Respostas'!AA192),'⚙️ Config'!$A$4:$B$13,2,0),"")</f>
        <v/>
      </c>
      <c r="Y192" s="14" t="str">
        <f aca="false">IFERROR(VLOOKUP(TRIM('📥 Respostas'!AB192),'⚙️ Config'!$A$4:$B$13,2,0),"")</f>
        <v/>
      </c>
      <c r="Z192" s="14" t="str">
        <f aca="false">IFERROR(VLOOKUP(TRIM('📥 Respostas'!AC192),'⚙️ Config'!$A$4:$B$13,2,0),"")</f>
        <v/>
      </c>
      <c r="AA192" s="14" t="str">
        <f aca="false">IFERROR(VLOOKUP(TRIM('📥 Respostas'!AD192),'⚙️ Config'!$A$4:$B$13,2,0),"")</f>
        <v/>
      </c>
      <c r="AB192" s="14" t="str">
        <f aca="false">IFERROR(VLOOKUP(TRIM('📥 Respostas'!AE192),'⚙️ Config'!$A$4:$B$13,2,0),"")</f>
        <v/>
      </c>
      <c r="AC192" s="14" t="str">
        <f aca="false">IFERROR(VLOOKUP(TRIM('📥 Respostas'!AF192),'⚙️ Config'!$A$4:$B$13,2,0),"")</f>
        <v/>
      </c>
      <c r="AD192" s="14" t="str">
        <f aca="false">IFERROR(VLOOKUP(TRIM('📥 Respostas'!AG192),'⚙️ Config'!$A$4:$B$13,2,0),"")</f>
        <v/>
      </c>
      <c r="AE192" s="14" t="str">
        <f aca="false">IFERROR(VLOOKUP(TRIM('📥 Respostas'!AH192),'⚙️ Config'!$A$4:$B$13,2,0),"")</f>
        <v/>
      </c>
      <c r="AF192" s="14" t="str">
        <f aca="false">IFERROR(VLOOKUP(TRIM('📥 Respostas'!AI192),'⚙️ Config'!$C$4:$D$11,2,0),"")</f>
        <v/>
      </c>
      <c r="AG192" s="14" t="str">
        <f aca="false">IFERROR(VLOOKUP(TRIM('📥 Respostas'!AJ192),'⚙️ Config'!$A$4:$B$13,2,0),"")</f>
        <v/>
      </c>
      <c r="AH192" s="14" t="str">
        <f aca="false">IFERROR(VLOOKUP(TRIM('📥 Respostas'!AK192),'⚙️ Config'!$A$4:$B$13,2,0),"")</f>
        <v/>
      </c>
      <c r="AI192" s="14" t="str">
        <f aca="false">IFERROR(VLOOKUP(TRIM('📥 Respostas'!AL192),'⚙️ Config'!$A$4:$B$13,2,0),"")</f>
        <v/>
      </c>
      <c r="AJ192" s="14" t="str">
        <f aca="false">IFERROR(VLOOKUP(TRIM('📥 Respostas'!AM192),'⚙️ Config'!$A$4:$B$13,2,0),"")</f>
        <v/>
      </c>
      <c r="AK192" s="14" t="str">
        <f aca="false">IFERROR(VLOOKUP(TRIM('📥 Respostas'!AN192),'⚙️ Config'!$A$4:$B$13,2,0),"")</f>
        <v/>
      </c>
      <c r="AL192" s="14" t="str">
        <f aca="false">IFERROR(VLOOKUP(TRIM('📥 Respostas'!AO192),'⚙️ Config'!$A$4:$B$13,2,0),"")</f>
        <v/>
      </c>
      <c r="AM192" s="14" t="str">
        <f aca="false">IFERROR(VLOOKUP(TRIM('📥 Respostas'!AP192),'⚙️ Config'!$A$4:$B$13,2,0),"")</f>
        <v/>
      </c>
      <c r="AN192" s="14" t="str">
        <f aca="false">IFERROR(VLOOKUP(TRIM('📥 Respostas'!AQ192),'⚙️ Config'!$A$4:$B$13,2,0),"")</f>
        <v/>
      </c>
      <c r="AO192" s="14" t="str">
        <f aca="false">IFERROR(VLOOKUP(TRIM('📥 Respostas'!AR192),'⚙️ Config'!$A$4:$B$13,2,0),"")</f>
        <v/>
      </c>
      <c r="AP192" s="14" t="str">
        <f aca="false">IFERROR(VLOOKUP(TRIM('📥 Respostas'!AS192),'⚙️ Config'!$A$4:$B$13,2,0),"")</f>
        <v/>
      </c>
      <c r="AQ192" s="14" t="str">
        <f aca="false">IFERROR(VLOOKUP(TRIM('📥 Respostas'!AT192),'⚙️ Config'!$A$4:$B$13,2,0),"")</f>
        <v/>
      </c>
      <c r="AR192" s="14" t="str">
        <f aca="false">IFERROR(VLOOKUP(TRIM('📥 Respostas'!AU192),'⚙️ Config'!$A$4:$B$13,2,0),"")</f>
        <v/>
      </c>
    </row>
    <row r="193" customFormat="false" ht="15" hidden="false" customHeight="false" outlineLevel="0" collapsed="false">
      <c r="A193" s="15" t="str">
        <f aca="false">IF(ISBLANK('📥 Respostas'!D193),"",ROW()-3)</f>
        <v/>
      </c>
      <c r="B193" s="15" t="n">
        <f aca="false">'📥 Respostas'!D193</f>
        <v>0</v>
      </c>
      <c r="C193" s="5" t="n">
        <f aca="false">'📥 Respostas'!C193</f>
        <v>0</v>
      </c>
      <c r="D193" s="14" t="str">
        <f aca="false">IFERROR(VLOOKUP(TRIM('📥 Respostas'!G193),'⚙️ Config'!$A$4:$B$13,2,0),"")</f>
        <v/>
      </c>
      <c r="E193" s="14" t="str">
        <f aca="false">IFERROR(VLOOKUP(TRIM('📥 Respostas'!H193),'⚙️ Config'!$A$4:$B$13,2,0),"")</f>
        <v/>
      </c>
      <c r="F193" s="14" t="str">
        <f aca="false">IFERROR(VLOOKUP(TRIM('📥 Respostas'!I193),'⚙️ Config'!$A$4:$B$13,2,0),"")</f>
        <v/>
      </c>
      <c r="G193" s="14" t="str">
        <f aca="false">IFERROR(VLOOKUP(TRIM('📥 Respostas'!J193),'⚙️ Config'!$A$4:$B$13,2,0),"")</f>
        <v/>
      </c>
      <c r="H193" s="14" t="str">
        <f aca="false">IFERROR(VLOOKUP(TRIM('📥 Respostas'!K193),'⚙️ Config'!$A$4:$B$13,2,0),"")</f>
        <v/>
      </c>
      <c r="I193" s="14" t="str">
        <f aca="false">IFERROR(VLOOKUP(TRIM('📥 Respostas'!L193),'⚙️ Config'!$A$4:$B$13,2,0),"")</f>
        <v/>
      </c>
      <c r="J193" s="14" t="str">
        <f aca="false">IFERROR(VLOOKUP(TRIM('📥 Respostas'!M193),'⚙️ Config'!$A$4:$B$13,2,0),"")</f>
        <v/>
      </c>
      <c r="K193" s="14" t="str">
        <f aca="false">IFERROR(VLOOKUP(TRIM('📥 Respostas'!N193),'⚙️ Config'!$A$4:$B$13,2,0),"")</f>
        <v/>
      </c>
      <c r="L193" s="14" t="str">
        <f aca="false">IFERROR(VLOOKUP(TRIM('📥 Respostas'!O193),'⚙️ Config'!$A$4:$B$13,2,0),"")</f>
        <v/>
      </c>
      <c r="M193" s="14" t="str">
        <f aca="false">IFERROR(VLOOKUP(TRIM('📥 Respostas'!P193),'⚙️ Config'!$A$4:$B$13,2,0),"")</f>
        <v/>
      </c>
      <c r="N193" s="14" t="str">
        <f aca="false">IFERROR(VLOOKUP(TRIM('📥 Respostas'!Q193),'⚙️ Config'!$A$4:$B$13,2,0),"")</f>
        <v/>
      </c>
      <c r="O193" s="14" t="str">
        <f aca="false">IFERROR(VLOOKUP(TRIM('📥 Respostas'!R193),'⚙️ Config'!$A$4:$B$13,2,0),"")</f>
        <v/>
      </c>
      <c r="P193" s="14" t="str">
        <f aca="false">IFERROR(VLOOKUP(TRIM('📥 Respostas'!S193),'⚙️ Config'!$A$4:$B$13,2,0),"")</f>
        <v/>
      </c>
      <c r="Q193" s="14" t="str">
        <f aca="false">IFERROR(VLOOKUP(TRIM('📥 Respostas'!T193),'⚙️ Config'!$A$4:$B$13,2,0),"")</f>
        <v/>
      </c>
      <c r="R193" s="14" t="str">
        <f aca="false">IFERROR(VLOOKUP(TRIM('📥 Respostas'!U193),'⚙️ Config'!$A$4:$B$13,2,0),"")</f>
        <v/>
      </c>
      <c r="S193" s="14" t="str">
        <f aca="false">IFERROR(VLOOKUP(TRIM('📥 Respostas'!V193),'⚙️ Config'!$A$4:$B$13,2,0),"")</f>
        <v/>
      </c>
      <c r="T193" s="14" t="str">
        <f aca="false">IFERROR(VLOOKUP(TRIM('📥 Respostas'!W193),'⚙️ Config'!$A$4:$B$13,2,0),"")</f>
        <v/>
      </c>
      <c r="U193" s="14" t="str">
        <f aca="false">IFERROR(VLOOKUP(TRIM('📥 Respostas'!X193),'⚙️ Config'!$A$4:$B$13,2,0),"")</f>
        <v/>
      </c>
      <c r="V193" s="14" t="str">
        <f aca="false">IFERROR(VLOOKUP(TRIM('📥 Respostas'!Y193),'⚙️ Config'!$A$4:$B$13,2,0),"")</f>
        <v/>
      </c>
      <c r="W193" s="14" t="str">
        <f aca="false">IFERROR(VLOOKUP(TRIM('📥 Respostas'!Z193),'⚙️ Config'!$A$4:$B$13,2,0),"")</f>
        <v/>
      </c>
      <c r="X193" s="14" t="str">
        <f aca="false">IFERROR(VLOOKUP(TRIM('📥 Respostas'!AA193),'⚙️ Config'!$A$4:$B$13,2,0),"")</f>
        <v/>
      </c>
      <c r="Y193" s="14" t="str">
        <f aca="false">IFERROR(VLOOKUP(TRIM('📥 Respostas'!AB193),'⚙️ Config'!$A$4:$B$13,2,0),"")</f>
        <v/>
      </c>
      <c r="Z193" s="14" t="str">
        <f aca="false">IFERROR(VLOOKUP(TRIM('📥 Respostas'!AC193),'⚙️ Config'!$A$4:$B$13,2,0),"")</f>
        <v/>
      </c>
      <c r="AA193" s="14" t="str">
        <f aca="false">IFERROR(VLOOKUP(TRIM('📥 Respostas'!AD193),'⚙️ Config'!$A$4:$B$13,2,0),"")</f>
        <v/>
      </c>
      <c r="AB193" s="14" t="str">
        <f aca="false">IFERROR(VLOOKUP(TRIM('📥 Respostas'!AE193),'⚙️ Config'!$A$4:$B$13,2,0),"")</f>
        <v/>
      </c>
      <c r="AC193" s="14" t="str">
        <f aca="false">IFERROR(VLOOKUP(TRIM('📥 Respostas'!AF193),'⚙️ Config'!$A$4:$B$13,2,0),"")</f>
        <v/>
      </c>
      <c r="AD193" s="14" t="str">
        <f aca="false">IFERROR(VLOOKUP(TRIM('📥 Respostas'!AG193),'⚙️ Config'!$A$4:$B$13,2,0),"")</f>
        <v/>
      </c>
      <c r="AE193" s="14" t="str">
        <f aca="false">IFERROR(VLOOKUP(TRIM('📥 Respostas'!AH193),'⚙️ Config'!$A$4:$B$13,2,0),"")</f>
        <v/>
      </c>
      <c r="AF193" s="14" t="str">
        <f aca="false">IFERROR(VLOOKUP(TRIM('📥 Respostas'!AI193),'⚙️ Config'!$C$4:$D$11,2,0),"")</f>
        <v/>
      </c>
      <c r="AG193" s="14" t="str">
        <f aca="false">IFERROR(VLOOKUP(TRIM('📥 Respostas'!AJ193),'⚙️ Config'!$A$4:$B$13,2,0),"")</f>
        <v/>
      </c>
      <c r="AH193" s="14" t="str">
        <f aca="false">IFERROR(VLOOKUP(TRIM('📥 Respostas'!AK193),'⚙️ Config'!$A$4:$B$13,2,0),"")</f>
        <v/>
      </c>
      <c r="AI193" s="14" t="str">
        <f aca="false">IFERROR(VLOOKUP(TRIM('📥 Respostas'!AL193),'⚙️ Config'!$A$4:$B$13,2,0),"")</f>
        <v/>
      </c>
      <c r="AJ193" s="14" t="str">
        <f aca="false">IFERROR(VLOOKUP(TRIM('📥 Respostas'!AM193),'⚙️ Config'!$A$4:$B$13,2,0),"")</f>
        <v/>
      </c>
      <c r="AK193" s="14" t="str">
        <f aca="false">IFERROR(VLOOKUP(TRIM('📥 Respostas'!AN193),'⚙️ Config'!$A$4:$B$13,2,0),"")</f>
        <v/>
      </c>
      <c r="AL193" s="14" t="str">
        <f aca="false">IFERROR(VLOOKUP(TRIM('📥 Respostas'!AO193),'⚙️ Config'!$A$4:$B$13,2,0),"")</f>
        <v/>
      </c>
      <c r="AM193" s="14" t="str">
        <f aca="false">IFERROR(VLOOKUP(TRIM('📥 Respostas'!AP193),'⚙️ Config'!$A$4:$B$13,2,0),"")</f>
        <v/>
      </c>
      <c r="AN193" s="14" t="str">
        <f aca="false">IFERROR(VLOOKUP(TRIM('📥 Respostas'!AQ193),'⚙️ Config'!$A$4:$B$13,2,0),"")</f>
        <v/>
      </c>
      <c r="AO193" s="14" t="str">
        <f aca="false">IFERROR(VLOOKUP(TRIM('📥 Respostas'!AR193),'⚙️ Config'!$A$4:$B$13,2,0),"")</f>
        <v/>
      </c>
      <c r="AP193" s="14" t="str">
        <f aca="false">IFERROR(VLOOKUP(TRIM('📥 Respostas'!AS193),'⚙️ Config'!$A$4:$B$13,2,0),"")</f>
        <v/>
      </c>
      <c r="AQ193" s="14" t="str">
        <f aca="false">IFERROR(VLOOKUP(TRIM('📥 Respostas'!AT193),'⚙️ Config'!$A$4:$B$13,2,0),"")</f>
        <v/>
      </c>
      <c r="AR193" s="14" t="str">
        <f aca="false">IFERROR(VLOOKUP(TRIM('📥 Respostas'!AU193),'⚙️ Config'!$A$4:$B$13,2,0),"")</f>
        <v/>
      </c>
    </row>
    <row r="194" customFormat="false" ht="15" hidden="false" customHeight="false" outlineLevel="0" collapsed="false">
      <c r="A194" s="12" t="str">
        <f aca="false">IF(ISBLANK('📥 Respostas'!D194),"",ROW()-3)</f>
        <v/>
      </c>
      <c r="B194" s="12" t="n">
        <f aca="false">'📥 Respostas'!D194</f>
        <v>0</v>
      </c>
      <c r="C194" s="13" t="n">
        <f aca="false">'📥 Respostas'!C194</f>
        <v>0</v>
      </c>
      <c r="D194" s="14" t="str">
        <f aca="false">IFERROR(VLOOKUP(TRIM('📥 Respostas'!G194),'⚙️ Config'!$A$4:$B$13,2,0),"")</f>
        <v/>
      </c>
      <c r="E194" s="14" t="str">
        <f aca="false">IFERROR(VLOOKUP(TRIM('📥 Respostas'!H194),'⚙️ Config'!$A$4:$B$13,2,0),"")</f>
        <v/>
      </c>
      <c r="F194" s="14" t="str">
        <f aca="false">IFERROR(VLOOKUP(TRIM('📥 Respostas'!I194),'⚙️ Config'!$A$4:$B$13,2,0),"")</f>
        <v/>
      </c>
      <c r="G194" s="14" t="str">
        <f aca="false">IFERROR(VLOOKUP(TRIM('📥 Respostas'!J194),'⚙️ Config'!$A$4:$B$13,2,0),"")</f>
        <v/>
      </c>
      <c r="H194" s="14" t="str">
        <f aca="false">IFERROR(VLOOKUP(TRIM('📥 Respostas'!K194),'⚙️ Config'!$A$4:$B$13,2,0),"")</f>
        <v/>
      </c>
      <c r="I194" s="14" t="str">
        <f aca="false">IFERROR(VLOOKUP(TRIM('📥 Respostas'!L194),'⚙️ Config'!$A$4:$B$13,2,0),"")</f>
        <v/>
      </c>
      <c r="J194" s="14" t="str">
        <f aca="false">IFERROR(VLOOKUP(TRIM('📥 Respostas'!M194),'⚙️ Config'!$A$4:$B$13,2,0),"")</f>
        <v/>
      </c>
      <c r="K194" s="14" t="str">
        <f aca="false">IFERROR(VLOOKUP(TRIM('📥 Respostas'!N194),'⚙️ Config'!$A$4:$B$13,2,0),"")</f>
        <v/>
      </c>
      <c r="L194" s="14" t="str">
        <f aca="false">IFERROR(VLOOKUP(TRIM('📥 Respostas'!O194),'⚙️ Config'!$A$4:$B$13,2,0),"")</f>
        <v/>
      </c>
      <c r="M194" s="14" t="str">
        <f aca="false">IFERROR(VLOOKUP(TRIM('📥 Respostas'!P194),'⚙️ Config'!$A$4:$B$13,2,0),"")</f>
        <v/>
      </c>
      <c r="N194" s="14" t="str">
        <f aca="false">IFERROR(VLOOKUP(TRIM('📥 Respostas'!Q194),'⚙️ Config'!$A$4:$B$13,2,0),"")</f>
        <v/>
      </c>
      <c r="O194" s="14" t="str">
        <f aca="false">IFERROR(VLOOKUP(TRIM('📥 Respostas'!R194),'⚙️ Config'!$A$4:$B$13,2,0),"")</f>
        <v/>
      </c>
      <c r="P194" s="14" t="str">
        <f aca="false">IFERROR(VLOOKUP(TRIM('📥 Respostas'!S194),'⚙️ Config'!$A$4:$B$13,2,0),"")</f>
        <v/>
      </c>
      <c r="Q194" s="14" t="str">
        <f aca="false">IFERROR(VLOOKUP(TRIM('📥 Respostas'!T194),'⚙️ Config'!$A$4:$B$13,2,0),"")</f>
        <v/>
      </c>
      <c r="R194" s="14" t="str">
        <f aca="false">IFERROR(VLOOKUP(TRIM('📥 Respostas'!U194),'⚙️ Config'!$A$4:$B$13,2,0),"")</f>
        <v/>
      </c>
      <c r="S194" s="14" t="str">
        <f aca="false">IFERROR(VLOOKUP(TRIM('📥 Respostas'!V194),'⚙️ Config'!$A$4:$B$13,2,0),"")</f>
        <v/>
      </c>
      <c r="T194" s="14" t="str">
        <f aca="false">IFERROR(VLOOKUP(TRIM('📥 Respostas'!W194),'⚙️ Config'!$A$4:$B$13,2,0),"")</f>
        <v/>
      </c>
      <c r="U194" s="14" t="str">
        <f aca="false">IFERROR(VLOOKUP(TRIM('📥 Respostas'!X194),'⚙️ Config'!$A$4:$B$13,2,0),"")</f>
        <v/>
      </c>
      <c r="V194" s="14" t="str">
        <f aca="false">IFERROR(VLOOKUP(TRIM('📥 Respostas'!Y194),'⚙️ Config'!$A$4:$B$13,2,0),"")</f>
        <v/>
      </c>
      <c r="W194" s="14" t="str">
        <f aca="false">IFERROR(VLOOKUP(TRIM('📥 Respostas'!Z194),'⚙️ Config'!$A$4:$B$13,2,0),"")</f>
        <v/>
      </c>
      <c r="X194" s="14" t="str">
        <f aca="false">IFERROR(VLOOKUP(TRIM('📥 Respostas'!AA194),'⚙️ Config'!$A$4:$B$13,2,0),"")</f>
        <v/>
      </c>
      <c r="Y194" s="14" t="str">
        <f aca="false">IFERROR(VLOOKUP(TRIM('📥 Respostas'!AB194),'⚙️ Config'!$A$4:$B$13,2,0),"")</f>
        <v/>
      </c>
      <c r="Z194" s="14" t="str">
        <f aca="false">IFERROR(VLOOKUP(TRIM('📥 Respostas'!AC194),'⚙️ Config'!$A$4:$B$13,2,0),"")</f>
        <v/>
      </c>
      <c r="AA194" s="14" t="str">
        <f aca="false">IFERROR(VLOOKUP(TRIM('📥 Respostas'!AD194),'⚙️ Config'!$A$4:$B$13,2,0),"")</f>
        <v/>
      </c>
      <c r="AB194" s="14" t="str">
        <f aca="false">IFERROR(VLOOKUP(TRIM('📥 Respostas'!AE194),'⚙️ Config'!$A$4:$B$13,2,0),"")</f>
        <v/>
      </c>
      <c r="AC194" s="14" t="str">
        <f aca="false">IFERROR(VLOOKUP(TRIM('📥 Respostas'!AF194),'⚙️ Config'!$A$4:$B$13,2,0),"")</f>
        <v/>
      </c>
      <c r="AD194" s="14" t="str">
        <f aca="false">IFERROR(VLOOKUP(TRIM('📥 Respostas'!AG194),'⚙️ Config'!$A$4:$B$13,2,0),"")</f>
        <v/>
      </c>
      <c r="AE194" s="14" t="str">
        <f aca="false">IFERROR(VLOOKUP(TRIM('📥 Respostas'!AH194),'⚙️ Config'!$A$4:$B$13,2,0),"")</f>
        <v/>
      </c>
      <c r="AF194" s="14" t="str">
        <f aca="false">IFERROR(VLOOKUP(TRIM('📥 Respostas'!AI194),'⚙️ Config'!$C$4:$D$11,2,0),"")</f>
        <v/>
      </c>
      <c r="AG194" s="14" t="str">
        <f aca="false">IFERROR(VLOOKUP(TRIM('📥 Respostas'!AJ194),'⚙️ Config'!$A$4:$B$13,2,0),"")</f>
        <v/>
      </c>
      <c r="AH194" s="14" t="str">
        <f aca="false">IFERROR(VLOOKUP(TRIM('📥 Respostas'!AK194),'⚙️ Config'!$A$4:$B$13,2,0),"")</f>
        <v/>
      </c>
      <c r="AI194" s="14" t="str">
        <f aca="false">IFERROR(VLOOKUP(TRIM('📥 Respostas'!AL194),'⚙️ Config'!$A$4:$B$13,2,0),"")</f>
        <v/>
      </c>
      <c r="AJ194" s="14" t="str">
        <f aca="false">IFERROR(VLOOKUP(TRIM('📥 Respostas'!AM194),'⚙️ Config'!$A$4:$B$13,2,0),"")</f>
        <v/>
      </c>
      <c r="AK194" s="14" t="str">
        <f aca="false">IFERROR(VLOOKUP(TRIM('📥 Respostas'!AN194),'⚙️ Config'!$A$4:$B$13,2,0),"")</f>
        <v/>
      </c>
      <c r="AL194" s="14" t="str">
        <f aca="false">IFERROR(VLOOKUP(TRIM('📥 Respostas'!AO194),'⚙️ Config'!$A$4:$B$13,2,0),"")</f>
        <v/>
      </c>
      <c r="AM194" s="14" t="str">
        <f aca="false">IFERROR(VLOOKUP(TRIM('📥 Respostas'!AP194),'⚙️ Config'!$A$4:$B$13,2,0),"")</f>
        <v/>
      </c>
      <c r="AN194" s="14" t="str">
        <f aca="false">IFERROR(VLOOKUP(TRIM('📥 Respostas'!AQ194),'⚙️ Config'!$A$4:$B$13,2,0),"")</f>
        <v/>
      </c>
      <c r="AO194" s="14" t="str">
        <f aca="false">IFERROR(VLOOKUP(TRIM('📥 Respostas'!AR194),'⚙️ Config'!$A$4:$B$13,2,0),"")</f>
        <v/>
      </c>
      <c r="AP194" s="14" t="str">
        <f aca="false">IFERROR(VLOOKUP(TRIM('📥 Respostas'!AS194),'⚙️ Config'!$A$4:$B$13,2,0),"")</f>
        <v/>
      </c>
      <c r="AQ194" s="14" t="str">
        <f aca="false">IFERROR(VLOOKUP(TRIM('📥 Respostas'!AT194),'⚙️ Config'!$A$4:$B$13,2,0),"")</f>
        <v/>
      </c>
      <c r="AR194" s="14" t="str">
        <f aca="false">IFERROR(VLOOKUP(TRIM('📥 Respostas'!AU194),'⚙️ Config'!$A$4:$B$13,2,0),"")</f>
        <v/>
      </c>
    </row>
    <row r="195" customFormat="false" ht="15" hidden="false" customHeight="false" outlineLevel="0" collapsed="false">
      <c r="A195" s="15" t="str">
        <f aca="false">IF(ISBLANK('📥 Respostas'!D195),"",ROW()-3)</f>
        <v/>
      </c>
      <c r="B195" s="15" t="n">
        <f aca="false">'📥 Respostas'!D195</f>
        <v>0</v>
      </c>
      <c r="C195" s="5" t="n">
        <f aca="false">'📥 Respostas'!C195</f>
        <v>0</v>
      </c>
      <c r="D195" s="14" t="str">
        <f aca="false">IFERROR(VLOOKUP(TRIM('📥 Respostas'!G195),'⚙️ Config'!$A$4:$B$13,2,0),"")</f>
        <v/>
      </c>
      <c r="E195" s="14" t="str">
        <f aca="false">IFERROR(VLOOKUP(TRIM('📥 Respostas'!H195),'⚙️ Config'!$A$4:$B$13,2,0),"")</f>
        <v/>
      </c>
      <c r="F195" s="14" t="str">
        <f aca="false">IFERROR(VLOOKUP(TRIM('📥 Respostas'!I195),'⚙️ Config'!$A$4:$B$13,2,0),"")</f>
        <v/>
      </c>
      <c r="G195" s="14" t="str">
        <f aca="false">IFERROR(VLOOKUP(TRIM('📥 Respostas'!J195),'⚙️ Config'!$A$4:$B$13,2,0),"")</f>
        <v/>
      </c>
      <c r="H195" s="14" t="str">
        <f aca="false">IFERROR(VLOOKUP(TRIM('📥 Respostas'!K195),'⚙️ Config'!$A$4:$B$13,2,0),"")</f>
        <v/>
      </c>
      <c r="I195" s="14" t="str">
        <f aca="false">IFERROR(VLOOKUP(TRIM('📥 Respostas'!L195),'⚙️ Config'!$A$4:$B$13,2,0),"")</f>
        <v/>
      </c>
      <c r="J195" s="14" t="str">
        <f aca="false">IFERROR(VLOOKUP(TRIM('📥 Respostas'!M195),'⚙️ Config'!$A$4:$B$13,2,0),"")</f>
        <v/>
      </c>
      <c r="K195" s="14" t="str">
        <f aca="false">IFERROR(VLOOKUP(TRIM('📥 Respostas'!N195),'⚙️ Config'!$A$4:$B$13,2,0),"")</f>
        <v/>
      </c>
      <c r="L195" s="14" t="str">
        <f aca="false">IFERROR(VLOOKUP(TRIM('📥 Respostas'!O195),'⚙️ Config'!$A$4:$B$13,2,0),"")</f>
        <v/>
      </c>
      <c r="M195" s="14" t="str">
        <f aca="false">IFERROR(VLOOKUP(TRIM('📥 Respostas'!P195),'⚙️ Config'!$A$4:$B$13,2,0),"")</f>
        <v/>
      </c>
      <c r="N195" s="14" t="str">
        <f aca="false">IFERROR(VLOOKUP(TRIM('📥 Respostas'!Q195),'⚙️ Config'!$A$4:$B$13,2,0),"")</f>
        <v/>
      </c>
      <c r="O195" s="14" t="str">
        <f aca="false">IFERROR(VLOOKUP(TRIM('📥 Respostas'!R195),'⚙️ Config'!$A$4:$B$13,2,0),"")</f>
        <v/>
      </c>
      <c r="P195" s="14" t="str">
        <f aca="false">IFERROR(VLOOKUP(TRIM('📥 Respostas'!S195),'⚙️ Config'!$A$4:$B$13,2,0),"")</f>
        <v/>
      </c>
      <c r="Q195" s="14" t="str">
        <f aca="false">IFERROR(VLOOKUP(TRIM('📥 Respostas'!T195),'⚙️ Config'!$A$4:$B$13,2,0),"")</f>
        <v/>
      </c>
      <c r="R195" s="14" t="str">
        <f aca="false">IFERROR(VLOOKUP(TRIM('📥 Respostas'!U195),'⚙️ Config'!$A$4:$B$13,2,0),"")</f>
        <v/>
      </c>
      <c r="S195" s="14" t="str">
        <f aca="false">IFERROR(VLOOKUP(TRIM('📥 Respostas'!V195),'⚙️ Config'!$A$4:$B$13,2,0),"")</f>
        <v/>
      </c>
      <c r="T195" s="14" t="str">
        <f aca="false">IFERROR(VLOOKUP(TRIM('📥 Respostas'!W195),'⚙️ Config'!$A$4:$B$13,2,0),"")</f>
        <v/>
      </c>
      <c r="U195" s="14" t="str">
        <f aca="false">IFERROR(VLOOKUP(TRIM('📥 Respostas'!X195),'⚙️ Config'!$A$4:$B$13,2,0),"")</f>
        <v/>
      </c>
      <c r="V195" s="14" t="str">
        <f aca="false">IFERROR(VLOOKUP(TRIM('📥 Respostas'!Y195),'⚙️ Config'!$A$4:$B$13,2,0),"")</f>
        <v/>
      </c>
      <c r="W195" s="14" t="str">
        <f aca="false">IFERROR(VLOOKUP(TRIM('📥 Respostas'!Z195),'⚙️ Config'!$A$4:$B$13,2,0),"")</f>
        <v/>
      </c>
      <c r="X195" s="14" t="str">
        <f aca="false">IFERROR(VLOOKUP(TRIM('📥 Respostas'!AA195),'⚙️ Config'!$A$4:$B$13,2,0),"")</f>
        <v/>
      </c>
      <c r="Y195" s="14" t="str">
        <f aca="false">IFERROR(VLOOKUP(TRIM('📥 Respostas'!AB195),'⚙️ Config'!$A$4:$B$13,2,0),"")</f>
        <v/>
      </c>
      <c r="Z195" s="14" t="str">
        <f aca="false">IFERROR(VLOOKUP(TRIM('📥 Respostas'!AC195),'⚙️ Config'!$A$4:$B$13,2,0),"")</f>
        <v/>
      </c>
      <c r="AA195" s="14" t="str">
        <f aca="false">IFERROR(VLOOKUP(TRIM('📥 Respostas'!AD195),'⚙️ Config'!$A$4:$B$13,2,0),"")</f>
        <v/>
      </c>
      <c r="AB195" s="14" t="str">
        <f aca="false">IFERROR(VLOOKUP(TRIM('📥 Respostas'!AE195),'⚙️ Config'!$A$4:$B$13,2,0),"")</f>
        <v/>
      </c>
      <c r="AC195" s="14" t="str">
        <f aca="false">IFERROR(VLOOKUP(TRIM('📥 Respostas'!AF195),'⚙️ Config'!$A$4:$B$13,2,0),"")</f>
        <v/>
      </c>
      <c r="AD195" s="14" t="str">
        <f aca="false">IFERROR(VLOOKUP(TRIM('📥 Respostas'!AG195),'⚙️ Config'!$A$4:$B$13,2,0),"")</f>
        <v/>
      </c>
      <c r="AE195" s="14" t="str">
        <f aca="false">IFERROR(VLOOKUP(TRIM('📥 Respostas'!AH195),'⚙️ Config'!$A$4:$B$13,2,0),"")</f>
        <v/>
      </c>
      <c r="AF195" s="14" t="str">
        <f aca="false">IFERROR(VLOOKUP(TRIM('📥 Respostas'!AI195),'⚙️ Config'!$C$4:$D$11,2,0),"")</f>
        <v/>
      </c>
      <c r="AG195" s="14" t="str">
        <f aca="false">IFERROR(VLOOKUP(TRIM('📥 Respostas'!AJ195),'⚙️ Config'!$A$4:$B$13,2,0),"")</f>
        <v/>
      </c>
      <c r="AH195" s="14" t="str">
        <f aca="false">IFERROR(VLOOKUP(TRIM('📥 Respostas'!AK195),'⚙️ Config'!$A$4:$B$13,2,0),"")</f>
        <v/>
      </c>
      <c r="AI195" s="14" t="str">
        <f aca="false">IFERROR(VLOOKUP(TRIM('📥 Respostas'!AL195),'⚙️ Config'!$A$4:$B$13,2,0),"")</f>
        <v/>
      </c>
      <c r="AJ195" s="14" t="str">
        <f aca="false">IFERROR(VLOOKUP(TRIM('📥 Respostas'!AM195),'⚙️ Config'!$A$4:$B$13,2,0),"")</f>
        <v/>
      </c>
      <c r="AK195" s="14" t="str">
        <f aca="false">IFERROR(VLOOKUP(TRIM('📥 Respostas'!AN195),'⚙️ Config'!$A$4:$B$13,2,0),"")</f>
        <v/>
      </c>
      <c r="AL195" s="14" t="str">
        <f aca="false">IFERROR(VLOOKUP(TRIM('📥 Respostas'!AO195),'⚙️ Config'!$A$4:$B$13,2,0),"")</f>
        <v/>
      </c>
      <c r="AM195" s="14" t="str">
        <f aca="false">IFERROR(VLOOKUP(TRIM('📥 Respostas'!AP195),'⚙️ Config'!$A$4:$B$13,2,0),"")</f>
        <v/>
      </c>
      <c r="AN195" s="14" t="str">
        <f aca="false">IFERROR(VLOOKUP(TRIM('📥 Respostas'!AQ195),'⚙️ Config'!$A$4:$B$13,2,0),"")</f>
        <v/>
      </c>
      <c r="AO195" s="14" t="str">
        <f aca="false">IFERROR(VLOOKUP(TRIM('📥 Respostas'!AR195),'⚙️ Config'!$A$4:$B$13,2,0),"")</f>
        <v/>
      </c>
      <c r="AP195" s="14" t="str">
        <f aca="false">IFERROR(VLOOKUP(TRIM('📥 Respostas'!AS195),'⚙️ Config'!$A$4:$B$13,2,0),"")</f>
        <v/>
      </c>
      <c r="AQ195" s="14" t="str">
        <f aca="false">IFERROR(VLOOKUP(TRIM('📥 Respostas'!AT195),'⚙️ Config'!$A$4:$B$13,2,0),"")</f>
        <v/>
      </c>
      <c r="AR195" s="14" t="str">
        <f aca="false">IFERROR(VLOOKUP(TRIM('📥 Respostas'!AU195),'⚙️ Config'!$A$4:$B$13,2,0),"")</f>
        <v/>
      </c>
    </row>
    <row r="196" customFormat="false" ht="15" hidden="false" customHeight="false" outlineLevel="0" collapsed="false">
      <c r="A196" s="12" t="str">
        <f aca="false">IF(ISBLANK('📥 Respostas'!D196),"",ROW()-3)</f>
        <v/>
      </c>
      <c r="B196" s="12" t="n">
        <f aca="false">'📥 Respostas'!D196</f>
        <v>0</v>
      </c>
      <c r="C196" s="13" t="n">
        <f aca="false">'📥 Respostas'!C196</f>
        <v>0</v>
      </c>
      <c r="D196" s="14" t="str">
        <f aca="false">IFERROR(VLOOKUP(TRIM('📥 Respostas'!G196),'⚙️ Config'!$A$4:$B$13,2,0),"")</f>
        <v/>
      </c>
      <c r="E196" s="14" t="str">
        <f aca="false">IFERROR(VLOOKUP(TRIM('📥 Respostas'!H196),'⚙️ Config'!$A$4:$B$13,2,0),"")</f>
        <v/>
      </c>
      <c r="F196" s="14" t="str">
        <f aca="false">IFERROR(VLOOKUP(TRIM('📥 Respostas'!I196),'⚙️ Config'!$A$4:$B$13,2,0),"")</f>
        <v/>
      </c>
      <c r="G196" s="14" t="str">
        <f aca="false">IFERROR(VLOOKUP(TRIM('📥 Respostas'!J196),'⚙️ Config'!$A$4:$B$13,2,0),"")</f>
        <v/>
      </c>
      <c r="H196" s="14" t="str">
        <f aca="false">IFERROR(VLOOKUP(TRIM('📥 Respostas'!K196),'⚙️ Config'!$A$4:$B$13,2,0),"")</f>
        <v/>
      </c>
      <c r="I196" s="14" t="str">
        <f aca="false">IFERROR(VLOOKUP(TRIM('📥 Respostas'!L196),'⚙️ Config'!$A$4:$B$13,2,0),"")</f>
        <v/>
      </c>
      <c r="J196" s="14" t="str">
        <f aca="false">IFERROR(VLOOKUP(TRIM('📥 Respostas'!M196),'⚙️ Config'!$A$4:$B$13,2,0),"")</f>
        <v/>
      </c>
      <c r="K196" s="14" t="str">
        <f aca="false">IFERROR(VLOOKUP(TRIM('📥 Respostas'!N196),'⚙️ Config'!$A$4:$B$13,2,0),"")</f>
        <v/>
      </c>
      <c r="L196" s="14" t="str">
        <f aca="false">IFERROR(VLOOKUP(TRIM('📥 Respostas'!O196),'⚙️ Config'!$A$4:$B$13,2,0),"")</f>
        <v/>
      </c>
      <c r="M196" s="14" t="str">
        <f aca="false">IFERROR(VLOOKUP(TRIM('📥 Respostas'!P196),'⚙️ Config'!$A$4:$B$13,2,0),"")</f>
        <v/>
      </c>
      <c r="N196" s="14" t="str">
        <f aca="false">IFERROR(VLOOKUP(TRIM('📥 Respostas'!Q196),'⚙️ Config'!$A$4:$B$13,2,0),"")</f>
        <v/>
      </c>
      <c r="O196" s="14" t="str">
        <f aca="false">IFERROR(VLOOKUP(TRIM('📥 Respostas'!R196),'⚙️ Config'!$A$4:$B$13,2,0),"")</f>
        <v/>
      </c>
      <c r="P196" s="14" t="str">
        <f aca="false">IFERROR(VLOOKUP(TRIM('📥 Respostas'!S196),'⚙️ Config'!$A$4:$B$13,2,0),"")</f>
        <v/>
      </c>
      <c r="Q196" s="14" t="str">
        <f aca="false">IFERROR(VLOOKUP(TRIM('📥 Respostas'!T196),'⚙️ Config'!$A$4:$B$13,2,0),"")</f>
        <v/>
      </c>
      <c r="R196" s="14" t="str">
        <f aca="false">IFERROR(VLOOKUP(TRIM('📥 Respostas'!U196),'⚙️ Config'!$A$4:$B$13,2,0),"")</f>
        <v/>
      </c>
      <c r="S196" s="14" t="str">
        <f aca="false">IFERROR(VLOOKUP(TRIM('📥 Respostas'!V196),'⚙️ Config'!$A$4:$B$13,2,0),"")</f>
        <v/>
      </c>
      <c r="T196" s="14" t="str">
        <f aca="false">IFERROR(VLOOKUP(TRIM('📥 Respostas'!W196),'⚙️ Config'!$A$4:$B$13,2,0),"")</f>
        <v/>
      </c>
      <c r="U196" s="14" t="str">
        <f aca="false">IFERROR(VLOOKUP(TRIM('📥 Respostas'!X196),'⚙️ Config'!$A$4:$B$13,2,0),"")</f>
        <v/>
      </c>
      <c r="V196" s="14" t="str">
        <f aca="false">IFERROR(VLOOKUP(TRIM('📥 Respostas'!Y196),'⚙️ Config'!$A$4:$B$13,2,0),"")</f>
        <v/>
      </c>
      <c r="W196" s="14" t="str">
        <f aca="false">IFERROR(VLOOKUP(TRIM('📥 Respostas'!Z196),'⚙️ Config'!$A$4:$B$13,2,0),"")</f>
        <v/>
      </c>
      <c r="X196" s="14" t="str">
        <f aca="false">IFERROR(VLOOKUP(TRIM('📥 Respostas'!AA196),'⚙️ Config'!$A$4:$B$13,2,0),"")</f>
        <v/>
      </c>
      <c r="Y196" s="14" t="str">
        <f aca="false">IFERROR(VLOOKUP(TRIM('📥 Respostas'!AB196),'⚙️ Config'!$A$4:$B$13,2,0),"")</f>
        <v/>
      </c>
      <c r="Z196" s="14" t="str">
        <f aca="false">IFERROR(VLOOKUP(TRIM('📥 Respostas'!AC196),'⚙️ Config'!$A$4:$B$13,2,0),"")</f>
        <v/>
      </c>
      <c r="AA196" s="14" t="str">
        <f aca="false">IFERROR(VLOOKUP(TRIM('📥 Respostas'!AD196),'⚙️ Config'!$A$4:$B$13,2,0),"")</f>
        <v/>
      </c>
      <c r="AB196" s="14" t="str">
        <f aca="false">IFERROR(VLOOKUP(TRIM('📥 Respostas'!AE196),'⚙️ Config'!$A$4:$B$13,2,0),"")</f>
        <v/>
      </c>
      <c r="AC196" s="14" t="str">
        <f aca="false">IFERROR(VLOOKUP(TRIM('📥 Respostas'!AF196),'⚙️ Config'!$A$4:$B$13,2,0),"")</f>
        <v/>
      </c>
      <c r="AD196" s="14" t="str">
        <f aca="false">IFERROR(VLOOKUP(TRIM('📥 Respostas'!AG196),'⚙️ Config'!$A$4:$B$13,2,0),"")</f>
        <v/>
      </c>
      <c r="AE196" s="14" t="str">
        <f aca="false">IFERROR(VLOOKUP(TRIM('📥 Respostas'!AH196),'⚙️ Config'!$A$4:$B$13,2,0),"")</f>
        <v/>
      </c>
      <c r="AF196" s="14" t="str">
        <f aca="false">IFERROR(VLOOKUP(TRIM('📥 Respostas'!AI196),'⚙️ Config'!$C$4:$D$11,2,0),"")</f>
        <v/>
      </c>
      <c r="AG196" s="14" t="str">
        <f aca="false">IFERROR(VLOOKUP(TRIM('📥 Respostas'!AJ196),'⚙️ Config'!$A$4:$B$13,2,0),"")</f>
        <v/>
      </c>
      <c r="AH196" s="14" t="str">
        <f aca="false">IFERROR(VLOOKUP(TRIM('📥 Respostas'!AK196),'⚙️ Config'!$A$4:$B$13,2,0),"")</f>
        <v/>
      </c>
      <c r="AI196" s="14" t="str">
        <f aca="false">IFERROR(VLOOKUP(TRIM('📥 Respostas'!AL196),'⚙️ Config'!$A$4:$B$13,2,0),"")</f>
        <v/>
      </c>
      <c r="AJ196" s="14" t="str">
        <f aca="false">IFERROR(VLOOKUP(TRIM('📥 Respostas'!AM196),'⚙️ Config'!$A$4:$B$13,2,0),"")</f>
        <v/>
      </c>
      <c r="AK196" s="14" t="str">
        <f aca="false">IFERROR(VLOOKUP(TRIM('📥 Respostas'!AN196),'⚙️ Config'!$A$4:$B$13,2,0),"")</f>
        <v/>
      </c>
      <c r="AL196" s="14" t="str">
        <f aca="false">IFERROR(VLOOKUP(TRIM('📥 Respostas'!AO196),'⚙️ Config'!$A$4:$B$13,2,0),"")</f>
        <v/>
      </c>
      <c r="AM196" s="14" t="str">
        <f aca="false">IFERROR(VLOOKUP(TRIM('📥 Respostas'!AP196),'⚙️ Config'!$A$4:$B$13,2,0),"")</f>
        <v/>
      </c>
      <c r="AN196" s="14" t="str">
        <f aca="false">IFERROR(VLOOKUP(TRIM('📥 Respostas'!AQ196),'⚙️ Config'!$A$4:$B$13,2,0),"")</f>
        <v/>
      </c>
      <c r="AO196" s="14" t="str">
        <f aca="false">IFERROR(VLOOKUP(TRIM('📥 Respostas'!AR196),'⚙️ Config'!$A$4:$B$13,2,0),"")</f>
        <v/>
      </c>
      <c r="AP196" s="14" t="str">
        <f aca="false">IFERROR(VLOOKUP(TRIM('📥 Respostas'!AS196),'⚙️ Config'!$A$4:$B$13,2,0),"")</f>
        <v/>
      </c>
      <c r="AQ196" s="14" t="str">
        <f aca="false">IFERROR(VLOOKUP(TRIM('📥 Respostas'!AT196),'⚙️ Config'!$A$4:$B$13,2,0),"")</f>
        <v/>
      </c>
      <c r="AR196" s="14" t="str">
        <f aca="false">IFERROR(VLOOKUP(TRIM('📥 Respostas'!AU196),'⚙️ Config'!$A$4:$B$13,2,0),"")</f>
        <v/>
      </c>
    </row>
    <row r="197" customFormat="false" ht="15" hidden="false" customHeight="false" outlineLevel="0" collapsed="false">
      <c r="A197" s="15" t="str">
        <f aca="false">IF(ISBLANK('📥 Respostas'!D197),"",ROW()-3)</f>
        <v/>
      </c>
      <c r="B197" s="15" t="n">
        <f aca="false">'📥 Respostas'!D197</f>
        <v>0</v>
      </c>
      <c r="C197" s="5" t="n">
        <f aca="false">'📥 Respostas'!C197</f>
        <v>0</v>
      </c>
      <c r="D197" s="14" t="str">
        <f aca="false">IFERROR(VLOOKUP(TRIM('📥 Respostas'!G197),'⚙️ Config'!$A$4:$B$13,2,0),"")</f>
        <v/>
      </c>
      <c r="E197" s="14" t="str">
        <f aca="false">IFERROR(VLOOKUP(TRIM('📥 Respostas'!H197),'⚙️ Config'!$A$4:$B$13,2,0),"")</f>
        <v/>
      </c>
      <c r="F197" s="14" t="str">
        <f aca="false">IFERROR(VLOOKUP(TRIM('📥 Respostas'!I197),'⚙️ Config'!$A$4:$B$13,2,0),"")</f>
        <v/>
      </c>
      <c r="G197" s="14" t="str">
        <f aca="false">IFERROR(VLOOKUP(TRIM('📥 Respostas'!J197),'⚙️ Config'!$A$4:$B$13,2,0),"")</f>
        <v/>
      </c>
      <c r="H197" s="14" t="str">
        <f aca="false">IFERROR(VLOOKUP(TRIM('📥 Respostas'!K197),'⚙️ Config'!$A$4:$B$13,2,0),"")</f>
        <v/>
      </c>
      <c r="I197" s="14" t="str">
        <f aca="false">IFERROR(VLOOKUP(TRIM('📥 Respostas'!L197),'⚙️ Config'!$A$4:$B$13,2,0),"")</f>
        <v/>
      </c>
      <c r="J197" s="14" t="str">
        <f aca="false">IFERROR(VLOOKUP(TRIM('📥 Respostas'!M197),'⚙️ Config'!$A$4:$B$13,2,0),"")</f>
        <v/>
      </c>
      <c r="K197" s="14" t="str">
        <f aca="false">IFERROR(VLOOKUP(TRIM('📥 Respostas'!N197),'⚙️ Config'!$A$4:$B$13,2,0),"")</f>
        <v/>
      </c>
      <c r="L197" s="14" t="str">
        <f aca="false">IFERROR(VLOOKUP(TRIM('📥 Respostas'!O197),'⚙️ Config'!$A$4:$B$13,2,0),"")</f>
        <v/>
      </c>
      <c r="M197" s="14" t="str">
        <f aca="false">IFERROR(VLOOKUP(TRIM('📥 Respostas'!P197),'⚙️ Config'!$A$4:$B$13,2,0),"")</f>
        <v/>
      </c>
      <c r="N197" s="14" t="str">
        <f aca="false">IFERROR(VLOOKUP(TRIM('📥 Respostas'!Q197),'⚙️ Config'!$A$4:$B$13,2,0),"")</f>
        <v/>
      </c>
      <c r="O197" s="14" t="str">
        <f aca="false">IFERROR(VLOOKUP(TRIM('📥 Respostas'!R197),'⚙️ Config'!$A$4:$B$13,2,0),"")</f>
        <v/>
      </c>
      <c r="P197" s="14" t="str">
        <f aca="false">IFERROR(VLOOKUP(TRIM('📥 Respostas'!S197),'⚙️ Config'!$A$4:$B$13,2,0),"")</f>
        <v/>
      </c>
      <c r="Q197" s="14" t="str">
        <f aca="false">IFERROR(VLOOKUP(TRIM('📥 Respostas'!T197),'⚙️ Config'!$A$4:$B$13,2,0),"")</f>
        <v/>
      </c>
      <c r="R197" s="14" t="str">
        <f aca="false">IFERROR(VLOOKUP(TRIM('📥 Respostas'!U197),'⚙️ Config'!$A$4:$B$13,2,0),"")</f>
        <v/>
      </c>
      <c r="S197" s="14" t="str">
        <f aca="false">IFERROR(VLOOKUP(TRIM('📥 Respostas'!V197),'⚙️ Config'!$A$4:$B$13,2,0),"")</f>
        <v/>
      </c>
      <c r="T197" s="14" t="str">
        <f aca="false">IFERROR(VLOOKUP(TRIM('📥 Respostas'!W197),'⚙️ Config'!$A$4:$B$13,2,0),"")</f>
        <v/>
      </c>
      <c r="U197" s="14" t="str">
        <f aca="false">IFERROR(VLOOKUP(TRIM('📥 Respostas'!X197),'⚙️ Config'!$A$4:$B$13,2,0),"")</f>
        <v/>
      </c>
      <c r="V197" s="14" t="str">
        <f aca="false">IFERROR(VLOOKUP(TRIM('📥 Respostas'!Y197),'⚙️ Config'!$A$4:$B$13,2,0),"")</f>
        <v/>
      </c>
      <c r="W197" s="14" t="str">
        <f aca="false">IFERROR(VLOOKUP(TRIM('📥 Respostas'!Z197),'⚙️ Config'!$A$4:$B$13,2,0),"")</f>
        <v/>
      </c>
      <c r="X197" s="14" t="str">
        <f aca="false">IFERROR(VLOOKUP(TRIM('📥 Respostas'!AA197),'⚙️ Config'!$A$4:$B$13,2,0),"")</f>
        <v/>
      </c>
      <c r="Y197" s="14" t="str">
        <f aca="false">IFERROR(VLOOKUP(TRIM('📥 Respostas'!AB197),'⚙️ Config'!$A$4:$B$13,2,0),"")</f>
        <v/>
      </c>
      <c r="Z197" s="14" t="str">
        <f aca="false">IFERROR(VLOOKUP(TRIM('📥 Respostas'!AC197),'⚙️ Config'!$A$4:$B$13,2,0),"")</f>
        <v/>
      </c>
      <c r="AA197" s="14" t="str">
        <f aca="false">IFERROR(VLOOKUP(TRIM('📥 Respostas'!AD197),'⚙️ Config'!$A$4:$B$13,2,0),"")</f>
        <v/>
      </c>
      <c r="AB197" s="14" t="str">
        <f aca="false">IFERROR(VLOOKUP(TRIM('📥 Respostas'!AE197),'⚙️ Config'!$A$4:$B$13,2,0),"")</f>
        <v/>
      </c>
      <c r="AC197" s="14" t="str">
        <f aca="false">IFERROR(VLOOKUP(TRIM('📥 Respostas'!AF197),'⚙️ Config'!$A$4:$B$13,2,0),"")</f>
        <v/>
      </c>
      <c r="AD197" s="14" t="str">
        <f aca="false">IFERROR(VLOOKUP(TRIM('📥 Respostas'!AG197),'⚙️ Config'!$A$4:$B$13,2,0),"")</f>
        <v/>
      </c>
      <c r="AE197" s="14" t="str">
        <f aca="false">IFERROR(VLOOKUP(TRIM('📥 Respostas'!AH197),'⚙️ Config'!$A$4:$B$13,2,0),"")</f>
        <v/>
      </c>
      <c r="AF197" s="14" t="str">
        <f aca="false">IFERROR(VLOOKUP(TRIM('📥 Respostas'!AI197),'⚙️ Config'!$C$4:$D$11,2,0),"")</f>
        <v/>
      </c>
      <c r="AG197" s="14" t="str">
        <f aca="false">IFERROR(VLOOKUP(TRIM('📥 Respostas'!AJ197),'⚙️ Config'!$A$4:$B$13,2,0),"")</f>
        <v/>
      </c>
      <c r="AH197" s="14" t="str">
        <f aca="false">IFERROR(VLOOKUP(TRIM('📥 Respostas'!AK197),'⚙️ Config'!$A$4:$B$13,2,0),"")</f>
        <v/>
      </c>
      <c r="AI197" s="14" t="str">
        <f aca="false">IFERROR(VLOOKUP(TRIM('📥 Respostas'!AL197),'⚙️ Config'!$A$4:$B$13,2,0),"")</f>
        <v/>
      </c>
      <c r="AJ197" s="14" t="str">
        <f aca="false">IFERROR(VLOOKUP(TRIM('📥 Respostas'!AM197),'⚙️ Config'!$A$4:$B$13,2,0),"")</f>
        <v/>
      </c>
      <c r="AK197" s="14" t="str">
        <f aca="false">IFERROR(VLOOKUP(TRIM('📥 Respostas'!AN197),'⚙️ Config'!$A$4:$B$13,2,0),"")</f>
        <v/>
      </c>
      <c r="AL197" s="14" t="str">
        <f aca="false">IFERROR(VLOOKUP(TRIM('📥 Respostas'!AO197),'⚙️ Config'!$A$4:$B$13,2,0),"")</f>
        <v/>
      </c>
      <c r="AM197" s="14" t="str">
        <f aca="false">IFERROR(VLOOKUP(TRIM('📥 Respostas'!AP197),'⚙️ Config'!$A$4:$B$13,2,0),"")</f>
        <v/>
      </c>
      <c r="AN197" s="14" t="str">
        <f aca="false">IFERROR(VLOOKUP(TRIM('📥 Respostas'!AQ197),'⚙️ Config'!$A$4:$B$13,2,0),"")</f>
        <v/>
      </c>
      <c r="AO197" s="14" t="str">
        <f aca="false">IFERROR(VLOOKUP(TRIM('📥 Respostas'!AR197),'⚙️ Config'!$A$4:$B$13,2,0),"")</f>
        <v/>
      </c>
      <c r="AP197" s="14" t="str">
        <f aca="false">IFERROR(VLOOKUP(TRIM('📥 Respostas'!AS197),'⚙️ Config'!$A$4:$B$13,2,0),"")</f>
        <v/>
      </c>
      <c r="AQ197" s="14" t="str">
        <f aca="false">IFERROR(VLOOKUP(TRIM('📥 Respostas'!AT197),'⚙️ Config'!$A$4:$B$13,2,0),"")</f>
        <v/>
      </c>
      <c r="AR197" s="14" t="str">
        <f aca="false">IFERROR(VLOOKUP(TRIM('📥 Respostas'!AU197),'⚙️ Config'!$A$4:$B$13,2,0),"")</f>
        <v/>
      </c>
    </row>
    <row r="198" customFormat="false" ht="15" hidden="false" customHeight="false" outlineLevel="0" collapsed="false">
      <c r="A198" s="12" t="str">
        <f aca="false">IF(ISBLANK('📥 Respostas'!D198),"",ROW()-3)</f>
        <v/>
      </c>
      <c r="B198" s="12" t="n">
        <f aca="false">'📥 Respostas'!D198</f>
        <v>0</v>
      </c>
      <c r="C198" s="13" t="n">
        <f aca="false">'📥 Respostas'!C198</f>
        <v>0</v>
      </c>
      <c r="D198" s="14" t="str">
        <f aca="false">IFERROR(VLOOKUP(TRIM('📥 Respostas'!G198),'⚙️ Config'!$A$4:$B$13,2,0),"")</f>
        <v/>
      </c>
      <c r="E198" s="14" t="str">
        <f aca="false">IFERROR(VLOOKUP(TRIM('📥 Respostas'!H198),'⚙️ Config'!$A$4:$B$13,2,0),"")</f>
        <v/>
      </c>
      <c r="F198" s="14" t="str">
        <f aca="false">IFERROR(VLOOKUP(TRIM('📥 Respostas'!I198),'⚙️ Config'!$A$4:$B$13,2,0),"")</f>
        <v/>
      </c>
      <c r="G198" s="14" t="str">
        <f aca="false">IFERROR(VLOOKUP(TRIM('📥 Respostas'!J198),'⚙️ Config'!$A$4:$B$13,2,0),"")</f>
        <v/>
      </c>
      <c r="H198" s="14" t="str">
        <f aca="false">IFERROR(VLOOKUP(TRIM('📥 Respostas'!K198),'⚙️ Config'!$A$4:$B$13,2,0),"")</f>
        <v/>
      </c>
      <c r="I198" s="14" t="str">
        <f aca="false">IFERROR(VLOOKUP(TRIM('📥 Respostas'!L198),'⚙️ Config'!$A$4:$B$13,2,0),"")</f>
        <v/>
      </c>
      <c r="J198" s="14" t="str">
        <f aca="false">IFERROR(VLOOKUP(TRIM('📥 Respostas'!M198),'⚙️ Config'!$A$4:$B$13,2,0),"")</f>
        <v/>
      </c>
      <c r="K198" s="14" t="str">
        <f aca="false">IFERROR(VLOOKUP(TRIM('📥 Respostas'!N198),'⚙️ Config'!$A$4:$B$13,2,0),"")</f>
        <v/>
      </c>
      <c r="L198" s="14" t="str">
        <f aca="false">IFERROR(VLOOKUP(TRIM('📥 Respostas'!O198),'⚙️ Config'!$A$4:$B$13,2,0),"")</f>
        <v/>
      </c>
      <c r="M198" s="14" t="str">
        <f aca="false">IFERROR(VLOOKUP(TRIM('📥 Respostas'!P198),'⚙️ Config'!$A$4:$B$13,2,0),"")</f>
        <v/>
      </c>
      <c r="N198" s="14" t="str">
        <f aca="false">IFERROR(VLOOKUP(TRIM('📥 Respostas'!Q198),'⚙️ Config'!$A$4:$B$13,2,0),"")</f>
        <v/>
      </c>
      <c r="O198" s="14" t="str">
        <f aca="false">IFERROR(VLOOKUP(TRIM('📥 Respostas'!R198),'⚙️ Config'!$A$4:$B$13,2,0),"")</f>
        <v/>
      </c>
      <c r="P198" s="14" t="str">
        <f aca="false">IFERROR(VLOOKUP(TRIM('📥 Respostas'!S198),'⚙️ Config'!$A$4:$B$13,2,0),"")</f>
        <v/>
      </c>
      <c r="Q198" s="14" t="str">
        <f aca="false">IFERROR(VLOOKUP(TRIM('📥 Respostas'!T198),'⚙️ Config'!$A$4:$B$13,2,0),"")</f>
        <v/>
      </c>
      <c r="R198" s="14" t="str">
        <f aca="false">IFERROR(VLOOKUP(TRIM('📥 Respostas'!U198),'⚙️ Config'!$A$4:$B$13,2,0),"")</f>
        <v/>
      </c>
      <c r="S198" s="14" t="str">
        <f aca="false">IFERROR(VLOOKUP(TRIM('📥 Respostas'!V198),'⚙️ Config'!$A$4:$B$13,2,0),"")</f>
        <v/>
      </c>
      <c r="T198" s="14" t="str">
        <f aca="false">IFERROR(VLOOKUP(TRIM('📥 Respostas'!W198),'⚙️ Config'!$A$4:$B$13,2,0),"")</f>
        <v/>
      </c>
      <c r="U198" s="14" t="str">
        <f aca="false">IFERROR(VLOOKUP(TRIM('📥 Respostas'!X198),'⚙️ Config'!$A$4:$B$13,2,0),"")</f>
        <v/>
      </c>
      <c r="V198" s="14" t="str">
        <f aca="false">IFERROR(VLOOKUP(TRIM('📥 Respostas'!Y198),'⚙️ Config'!$A$4:$B$13,2,0),"")</f>
        <v/>
      </c>
      <c r="W198" s="14" t="str">
        <f aca="false">IFERROR(VLOOKUP(TRIM('📥 Respostas'!Z198),'⚙️ Config'!$A$4:$B$13,2,0),"")</f>
        <v/>
      </c>
      <c r="X198" s="14" t="str">
        <f aca="false">IFERROR(VLOOKUP(TRIM('📥 Respostas'!AA198),'⚙️ Config'!$A$4:$B$13,2,0),"")</f>
        <v/>
      </c>
      <c r="Y198" s="14" t="str">
        <f aca="false">IFERROR(VLOOKUP(TRIM('📥 Respostas'!AB198),'⚙️ Config'!$A$4:$B$13,2,0),"")</f>
        <v/>
      </c>
      <c r="Z198" s="14" t="str">
        <f aca="false">IFERROR(VLOOKUP(TRIM('📥 Respostas'!AC198),'⚙️ Config'!$A$4:$B$13,2,0),"")</f>
        <v/>
      </c>
      <c r="AA198" s="14" t="str">
        <f aca="false">IFERROR(VLOOKUP(TRIM('📥 Respostas'!AD198),'⚙️ Config'!$A$4:$B$13,2,0),"")</f>
        <v/>
      </c>
      <c r="AB198" s="14" t="str">
        <f aca="false">IFERROR(VLOOKUP(TRIM('📥 Respostas'!AE198),'⚙️ Config'!$A$4:$B$13,2,0),"")</f>
        <v/>
      </c>
      <c r="AC198" s="14" t="str">
        <f aca="false">IFERROR(VLOOKUP(TRIM('📥 Respostas'!AF198),'⚙️ Config'!$A$4:$B$13,2,0),"")</f>
        <v/>
      </c>
      <c r="AD198" s="14" t="str">
        <f aca="false">IFERROR(VLOOKUP(TRIM('📥 Respostas'!AG198),'⚙️ Config'!$A$4:$B$13,2,0),"")</f>
        <v/>
      </c>
      <c r="AE198" s="14" t="str">
        <f aca="false">IFERROR(VLOOKUP(TRIM('📥 Respostas'!AH198),'⚙️ Config'!$A$4:$B$13,2,0),"")</f>
        <v/>
      </c>
      <c r="AF198" s="14" t="str">
        <f aca="false">IFERROR(VLOOKUP(TRIM('📥 Respostas'!AI198),'⚙️ Config'!$C$4:$D$11,2,0),"")</f>
        <v/>
      </c>
      <c r="AG198" s="14" t="str">
        <f aca="false">IFERROR(VLOOKUP(TRIM('📥 Respostas'!AJ198),'⚙️ Config'!$A$4:$B$13,2,0),"")</f>
        <v/>
      </c>
      <c r="AH198" s="14" t="str">
        <f aca="false">IFERROR(VLOOKUP(TRIM('📥 Respostas'!AK198),'⚙️ Config'!$A$4:$B$13,2,0),"")</f>
        <v/>
      </c>
      <c r="AI198" s="14" t="str">
        <f aca="false">IFERROR(VLOOKUP(TRIM('📥 Respostas'!AL198),'⚙️ Config'!$A$4:$B$13,2,0),"")</f>
        <v/>
      </c>
      <c r="AJ198" s="14" t="str">
        <f aca="false">IFERROR(VLOOKUP(TRIM('📥 Respostas'!AM198),'⚙️ Config'!$A$4:$B$13,2,0),"")</f>
        <v/>
      </c>
      <c r="AK198" s="14" t="str">
        <f aca="false">IFERROR(VLOOKUP(TRIM('📥 Respostas'!AN198),'⚙️ Config'!$A$4:$B$13,2,0),"")</f>
        <v/>
      </c>
      <c r="AL198" s="14" t="str">
        <f aca="false">IFERROR(VLOOKUP(TRIM('📥 Respostas'!AO198),'⚙️ Config'!$A$4:$B$13,2,0),"")</f>
        <v/>
      </c>
      <c r="AM198" s="14" t="str">
        <f aca="false">IFERROR(VLOOKUP(TRIM('📥 Respostas'!AP198),'⚙️ Config'!$A$4:$B$13,2,0),"")</f>
        <v/>
      </c>
      <c r="AN198" s="14" t="str">
        <f aca="false">IFERROR(VLOOKUP(TRIM('📥 Respostas'!AQ198),'⚙️ Config'!$A$4:$B$13,2,0),"")</f>
        <v/>
      </c>
      <c r="AO198" s="14" t="str">
        <f aca="false">IFERROR(VLOOKUP(TRIM('📥 Respostas'!AR198),'⚙️ Config'!$A$4:$B$13,2,0),"")</f>
        <v/>
      </c>
      <c r="AP198" s="14" t="str">
        <f aca="false">IFERROR(VLOOKUP(TRIM('📥 Respostas'!AS198),'⚙️ Config'!$A$4:$B$13,2,0),"")</f>
        <v/>
      </c>
      <c r="AQ198" s="14" t="str">
        <f aca="false">IFERROR(VLOOKUP(TRIM('📥 Respostas'!AT198),'⚙️ Config'!$A$4:$B$13,2,0),"")</f>
        <v/>
      </c>
      <c r="AR198" s="14" t="str">
        <f aca="false">IFERROR(VLOOKUP(TRIM('📥 Respostas'!AU198),'⚙️ Config'!$A$4:$B$13,2,0),"")</f>
        <v/>
      </c>
    </row>
    <row r="199" customFormat="false" ht="15" hidden="false" customHeight="false" outlineLevel="0" collapsed="false">
      <c r="A199" s="15" t="str">
        <f aca="false">IF(ISBLANK('📥 Respostas'!D199),"",ROW()-3)</f>
        <v/>
      </c>
      <c r="B199" s="15" t="n">
        <f aca="false">'📥 Respostas'!D199</f>
        <v>0</v>
      </c>
      <c r="C199" s="5" t="n">
        <f aca="false">'📥 Respostas'!C199</f>
        <v>0</v>
      </c>
      <c r="D199" s="14" t="str">
        <f aca="false">IFERROR(VLOOKUP(TRIM('📥 Respostas'!G199),'⚙️ Config'!$A$4:$B$13,2,0),"")</f>
        <v/>
      </c>
      <c r="E199" s="14" t="str">
        <f aca="false">IFERROR(VLOOKUP(TRIM('📥 Respostas'!H199),'⚙️ Config'!$A$4:$B$13,2,0),"")</f>
        <v/>
      </c>
      <c r="F199" s="14" t="str">
        <f aca="false">IFERROR(VLOOKUP(TRIM('📥 Respostas'!I199),'⚙️ Config'!$A$4:$B$13,2,0),"")</f>
        <v/>
      </c>
      <c r="G199" s="14" t="str">
        <f aca="false">IFERROR(VLOOKUP(TRIM('📥 Respostas'!J199),'⚙️ Config'!$A$4:$B$13,2,0),"")</f>
        <v/>
      </c>
      <c r="H199" s="14" t="str">
        <f aca="false">IFERROR(VLOOKUP(TRIM('📥 Respostas'!K199),'⚙️ Config'!$A$4:$B$13,2,0),"")</f>
        <v/>
      </c>
      <c r="I199" s="14" t="str">
        <f aca="false">IFERROR(VLOOKUP(TRIM('📥 Respostas'!L199),'⚙️ Config'!$A$4:$B$13,2,0),"")</f>
        <v/>
      </c>
      <c r="J199" s="14" t="str">
        <f aca="false">IFERROR(VLOOKUP(TRIM('📥 Respostas'!M199),'⚙️ Config'!$A$4:$B$13,2,0),"")</f>
        <v/>
      </c>
      <c r="K199" s="14" t="str">
        <f aca="false">IFERROR(VLOOKUP(TRIM('📥 Respostas'!N199),'⚙️ Config'!$A$4:$B$13,2,0),"")</f>
        <v/>
      </c>
      <c r="L199" s="14" t="str">
        <f aca="false">IFERROR(VLOOKUP(TRIM('📥 Respostas'!O199),'⚙️ Config'!$A$4:$B$13,2,0),"")</f>
        <v/>
      </c>
      <c r="M199" s="14" t="str">
        <f aca="false">IFERROR(VLOOKUP(TRIM('📥 Respostas'!P199),'⚙️ Config'!$A$4:$B$13,2,0),"")</f>
        <v/>
      </c>
      <c r="N199" s="14" t="str">
        <f aca="false">IFERROR(VLOOKUP(TRIM('📥 Respostas'!Q199),'⚙️ Config'!$A$4:$B$13,2,0),"")</f>
        <v/>
      </c>
      <c r="O199" s="14" t="str">
        <f aca="false">IFERROR(VLOOKUP(TRIM('📥 Respostas'!R199),'⚙️ Config'!$A$4:$B$13,2,0),"")</f>
        <v/>
      </c>
      <c r="P199" s="14" t="str">
        <f aca="false">IFERROR(VLOOKUP(TRIM('📥 Respostas'!S199),'⚙️ Config'!$A$4:$B$13,2,0),"")</f>
        <v/>
      </c>
      <c r="Q199" s="14" t="str">
        <f aca="false">IFERROR(VLOOKUP(TRIM('📥 Respostas'!T199),'⚙️ Config'!$A$4:$B$13,2,0),"")</f>
        <v/>
      </c>
      <c r="R199" s="14" t="str">
        <f aca="false">IFERROR(VLOOKUP(TRIM('📥 Respostas'!U199),'⚙️ Config'!$A$4:$B$13,2,0),"")</f>
        <v/>
      </c>
      <c r="S199" s="14" t="str">
        <f aca="false">IFERROR(VLOOKUP(TRIM('📥 Respostas'!V199),'⚙️ Config'!$A$4:$B$13,2,0),"")</f>
        <v/>
      </c>
      <c r="T199" s="14" t="str">
        <f aca="false">IFERROR(VLOOKUP(TRIM('📥 Respostas'!W199),'⚙️ Config'!$A$4:$B$13,2,0),"")</f>
        <v/>
      </c>
      <c r="U199" s="14" t="str">
        <f aca="false">IFERROR(VLOOKUP(TRIM('📥 Respostas'!X199),'⚙️ Config'!$A$4:$B$13,2,0),"")</f>
        <v/>
      </c>
      <c r="V199" s="14" t="str">
        <f aca="false">IFERROR(VLOOKUP(TRIM('📥 Respostas'!Y199),'⚙️ Config'!$A$4:$B$13,2,0),"")</f>
        <v/>
      </c>
      <c r="W199" s="14" t="str">
        <f aca="false">IFERROR(VLOOKUP(TRIM('📥 Respostas'!Z199),'⚙️ Config'!$A$4:$B$13,2,0),"")</f>
        <v/>
      </c>
      <c r="X199" s="14" t="str">
        <f aca="false">IFERROR(VLOOKUP(TRIM('📥 Respostas'!AA199),'⚙️ Config'!$A$4:$B$13,2,0),"")</f>
        <v/>
      </c>
      <c r="Y199" s="14" t="str">
        <f aca="false">IFERROR(VLOOKUP(TRIM('📥 Respostas'!AB199),'⚙️ Config'!$A$4:$B$13,2,0),"")</f>
        <v/>
      </c>
      <c r="Z199" s="14" t="str">
        <f aca="false">IFERROR(VLOOKUP(TRIM('📥 Respostas'!AC199),'⚙️ Config'!$A$4:$B$13,2,0),"")</f>
        <v/>
      </c>
      <c r="AA199" s="14" t="str">
        <f aca="false">IFERROR(VLOOKUP(TRIM('📥 Respostas'!AD199),'⚙️ Config'!$A$4:$B$13,2,0),"")</f>
        <v/>
      </c>
      <c r="AB199" s="14" t="str">
        <f aca="false">IFERROR(VLOOKUP(TRIM('📥 Respostas'!AE199),'⚙️ Config'!$A$4:$B$13,2,0),"")</f>
        <v/>
      </c>
      <c r="AC199" s="14" t="str">
        <f aca="false">IFERROR(VLOOKUP(TRIM('📥 Respostas'!AF199),'⚙️ Config'!$A$4:$B$13,2,0),"")</f>
        <v/>
      </c>
      <c r="AD199" s="14" t="str">
        <f aca="false">IFERROR(VLOOKUP(TRIM('📥 Respostas'!AG199),'⚙️ Config'!$A$4:$B$13,2,0),"")</f>
        <v/>
      </c>
      <c r="AE199" s="14" t="str">
        <f aca="false">IFERROR(VLOOKUP(TRIM('📥 Respostas'!AH199),'⚙️ Config'!$A$4:$B$13,2,0),"")</f>
        <v/>
      </c>
      <c r="AF199" s="14" t="str">
        <f aca="false">IFERROR(VLOOKUP(TRIM('📥 Respostas'!AI199),'⚙️ Config'!$C$4:$D$11,2,0),"")</f>
        <v/>
      </c>
      <c r="AG199" s="14" t="str">
        <f aca="false">IFERROR(VLOOKUP(TRIM('📥 Respostas'!AJ199),'⚙️ Config'!$A$4:$B$13,2,0),"")</f>
        <v/>
      </c>
      <c r="AH199" s="14" t="str">
        <f aca="false">IFERROR(VLOOKUP(TRIM('📥 Respostas'!AK199),'⚙️ Config'!$A$4:$B$13,2,0),"")</f>
        <v/>
      </c>
      <c r="AI199" s="14" t="str">
        <f aca="false">IFERROR(VLOOKUP(TRIM('📥 Respostas'!AL199),'⚙️ Config'!$A$4:$B$13,2,0),"")</f>
        <v/>
      </c>
      <c r="AJ199" s="14" t="str">
        <f aca="false">IFERROR(VLOOKUP(TRIM('📥 Respostas'!AM199),'⚙️ Config'!$A$4:$B$13,2,0),"")</f>
        <v/>
      </c>
      <c r="AK199" s="14" t="str">
        <f aca="false">IFERROR(VLOOKUP(TRIM('📥 Respostas'!AN199),'⚙️ Config'!$A$4:$B$13,2,0),"")</f>
        <v/>
      </c>
      <c r="AL199" s="14" t="str">
        <f aca="false">IFERROR(VLOOKUP(TRIM('📥 Respostas'!AO199),'⚙️ Config'!$A$4:$B$13,2,0),"")</f>
        <v/>
      </c>
      <c r="AM199" s="14" t="str">
        <f aca="false">IFERROR(VLOOKUP(TRIM('📥 Respostas'!AP199),'⚙️ Config'!$A$4:$B$13,2,0),"")</f>
        <v/>
      </c>
      <c r="AN199" s="14" t="str">
        <f aca="false">IFERROR(VLOOKUP(TRIM('📥 Respostas'!AQ199),'⚙️ Config'!$A$4:$B$13,2,0),"")</f>
        <v/>
      </c>
      <c r="AO199" s="14" t="str">
        <f aca="false">IFERROR(VLOOKUP(TRIM('📥 Respostas'!AR199),'⚙️ Config'!$A$4:$B$13,2,0),"")</f>
        <v/>
      </c>
      <c r="AP199" s="14" t="str">
        <f aca="false">IFERROR(VLOOKUP(TRIM('📥 Respostas'!AS199),'⚙️ Config'!$A$4:$B$13,2,0),"")</f>
        <v/>
      </c>
      <c r="AQ199" s="14" t="str">
        <f aca="false">IFERROR(VLOOKUP(TRIM('📥 Respostas'!AT199),'⚙️ Config'!$A$4:$B$13,2,0),"")</f>
        <v/>
      </c>
      <c r="AR199" s="14" t="str">
        <f aca="false">IFERROR(VLOOKUP(TRIM('📥 Respostas'!AU199),'⚙️ Config'!$A$4:$B$13,2,0),"")</f>
        <v/>
      </c>
    </row>
    <row r="200" customFormat="false" ht="15" hidden="false" customHeight="false" outlineLevel="0" collapsed="false">
      <c r="A200" s="12" t="str">
        <f aca="false">IF(ISBLANK('📥 Respostas'!D200),"",ROW()-3)</f>
        <v/>
      </c>
      <c r="B200" s="12" t="n">
        <f aca="false">'📥 Respostas'!D200</f>
        <v>0</v>
      </c>
      <c r="C200" s="13" t="n">
        <f aca="false">'📥 Respostas'!C200</f>
        <v>0</v>
      </c>
      <c r="D200" s="14" t="str">
        <f aca="false">IFERROR(VLOOKUP(TRIM('📥 Respostas'!G200),'⚙️ Config'!$A$4:$B$13,2,0),"")</f>
        <v/>
      </c>
      <c r="E200" s="14" t="str">
        <f aca="false">IFERROR(VLOOKUP(TRIM('📥 Respostas'!H200),'⚙️ Config'!$A$4:$B$13,2,0),"")</f>
        <v/>
      </c>
      <c r="F200" s="14" t="str">
        <f aca="false">IFERROR(VLOOKUP(TRIM('📥 Respostas'!I200),'⚙️ Config'!$A$4:$B$13,2,0),"")</f>
        <v/>
      </c>
      <c r="G200" s="14" t="str">
        <f aca="false">IFERROR(VLOOKUP(TRIM('📥 Respostas'!J200),'⚙️ Config'!$A$4:$B$13,2,0),"")</f>
        <v/>
      </c>
      <c r="H200" s="14" t="str">
        <f aca="false">IFERROR(VLOOKUP(TRIM('📥 Respostas'!K200),'⚙️ Config'!$A$4:$B$13,2,0),"")</f>
        <v/>
      </c>
      <c r="I200" s="14" t="str">
        <f aca="false">IFERROR(VLOOKUP(TRIM('📥 Respostas'!L200),'⚙️ Config'!$A$4:$B$13,2,0),"")</f>
        <v/>
      </c>
      <c r="J200" s="14" t="str">
        <f aca="false">IFERROR(VLOOKUP(TRIM('📥 Respostas'!M200),'⚙️ Config'!$A$4:$B$13,2,0),"")</f>
        <v/>
      </c>
      <c r="K200" s="14" t="str">
        <f aca="false">IFERROR(VLOOKUP(TRIM('📥 Respostas'!N200),'⚙️ Config'!$A$4:$B$13,2,0),"")</f>
        <v/>
      </c>
      <c r="L200" s="14" t="str">
        <f aca="false">IFERROR(VLOOKUP(TRIM('📥 Respostas'!O200),'⚙️ Config'!$A$4:$B$13,2,0),"")</f>
        <v/>
      </c>
      <c r="M200" s="14" t="str">
        <f aca="false">IFERROR(VLOOKUP(TRIM('📥 Respostas'!P200),'⚙️ Config'!$A$4:$B$13,2,0),"")</f>
        <v/>
      </c>
      <c r="N200" s="14" t="str">
        <f aca="false">IFERROR(VLOOKUP(TRIM('📥 Respostas'!Q200),'⚙️ Config'!$A$4:$B$13,2,0),"")</f>
        <v/>
      </c>
      <c r="O200" s="14" t="str">
        <f aca="false">IFERROR(VLOOKUP(TRIM('📥 Respostas'!R200),'⚙️ Config'!$A$4:$B$13,2,0),"")</f>
        <v/>
      </c>
      <c r="P200" s="14" t="str">
        <f aca="false">IFERROR(VLOOKUP(TRIM('📥 Respostas'!S200),'⚙️ Config'!$A$4:$B$13,2,0),"")</f>
        <v/>
      </c>
      <c r="Q200" s="14" t="str">
        <f aca="false">IFERROR(VLOOKUP(TRIM('📥 Respostas'!T200),'⚙️ Config'!$A$4:$B$13,2,0),"")</f>
        <v/>
      </c>
      <c r="R200" s="14" t="str">
        <f aca="false">IFERROR(VLOOKUP(TRIM('📥 Respostas'!U200),'⚙️ Config'!$A$4:$B$13,2,0),"")</f>
        <v/>
      </c>
      <c r="S200" s="14" t="str">
        <f aca="false">IFERROR(VLOOKUP(TRIM('📥 Respostas'!V200),'⚙️ Config'!$A$4:$B$13,2,0),"")</f>
        <v/>
      </c>
      <c r="T200" s="14" t="str">
        <f aca="false">IFERROR(VLOOKUP(TRIM('📥 Respostas'!W200),'⚙️ Config'!$A$4:$B$13,2,0),"")</f>
        <v/>
      </c>
      <c r="U200" s="14" t="str">
        <f aca="false">IFERROR(VLOOKUP(TRIM('📥 Respostas'!X200),'⚙️ Config'!$A$4:$B$13,2,0),"")</f>
        <v/>
      </c>
      <c r="V200" s="14" t="str">
        <f aca="false">IFERROR(VLOOKUP(TRIM('📥 Respostas'!Y200),'⚙️ Config'!$A$4:$B$13,2,0),"")</f>
        <v/>
      </c>
      <c r="W200" s="14" t="str">
        <f aca="false">IFERROR(VLOOKUP(TRIM('📥 Respostas'!Z200),'⚙️ Config'!$A$4:$B$13,2,0),"")</f>
        <v/>
      </c>
      <c r="X200" s="14" t="str">
        <f aca="false">IFERROR(VLOOKUP(TRIM('📥 Respostas'!AA200),'⚙️ Config'!$A$4:$B$13,2,0),"")</f>
        <v/>
      </c>
      <c r="Y200" s="14" t="str">
        <f aca="false">IFERROR(VLOOKUP(TRIM('📥 Respostas'!AB200),'⚙️ Config'!$A$4:$B$13,2,0),"")</f>
        <v/>
      </c>
      <c r="Z200" s="14" t="str">
        <f aca="false">IFERROR(VLOOKUP(TRIM('📥 Respostas'!AC200),'⚙️ Config'!$A$4:$B$13,2,0),"")</f>
        <v/>
      </c>
      <c r="AA200" s="14" t="str">
        <f aca="false">IFERROR(VLOOKUP(TRIM('📥 Respostas'!AD200),'⚙️ Config'!$A$4:$B$13,2,0),"")</f>
        <v/>
      </c>
      <c r="AB200" s="14" t="str">
        <f aca="false">IFERROR(VLOOKUP(TRIM('📥 Respostas'!AE200),'⚙️ Config'!$A$4:$B$13,2,0),"")</f>
        <v/>
      </c>
      <c r="AC200" s="14" t="str">
        <f aca="false">IFERROR(VLOOKUP(TRIM('📥 Respostas'!AF200),'⚙️ Config'!$A$4:$B$13,2,0),"")</f>
        <v/>
      </c>
      <c r="AD200" s="14" t="str">
        <f aca="false">IFERROR(VLOOKUP(TRIM('📥 Respostas'!AG200),'⚙️ Config'!$A$4:$B$13,2,0),"")</f>
        <v/>
      </c>
      <c r="AE200" s="14" t="str">
        <f aca="false">IFERROR(VLOOKUP(TRIM('📥 Respostas'!AH200),'⚙️ Config'!$A$4:$B$13,2,0),"")</f>
        <v/>
      </c>
      <c r="AF200" s="14" t="str">
        <f aca="false">IFERROR(VLOOKUP(TRIM('📥 Respostas'!AI200),'⚙️ Config'!$C$4:$D$11,2,0),"")</f>
        <v/>
      </c>
      <c r="AG200" s="14" t="str">
        <f aca="false">IFERROR(VLOOKUP(TRIM('📥 Respostas'!AJ200),'⚙️ Config'!$A$4:$B$13,2,0),"")</f>
        <v/>
      </c>
      <c r="AH200" s="14" t="str">
        <f aca="false">IFERROR(VLOOKUP(TRIM('📥 Respostas'!AK200),'⚙️ Config'!$A$4:$B$13,2,0),"")</f>
        <v/>
      </c>
      <c r="AI200" s="14" t="str">
        <f aca="false">IFERROR(VLOOKUP(TRIM('📥 Respostas'!AL200),'⚙️ Config'!$A$4:$B$13,2,0),"")</f>
        <v/>
      </c>
      <c r="AJ200" s="14" t="str">
        <f aca="false">IFERROR(VLOOKUP(TRIM('📥 Respostas'!AM200),'⚙️ Config'!$A$4:$B$13,2,0),"")</f>
        <v/>
      </c>
      <c r="AK200" s="14" t="str">
        <f aca="false">IFERROR(VLOOKUP(TRIM('📥 Respostas'!AN200),'⚙️ Config'!$A$4:$B$13,2,0),"")</f>
        <v/>
      </c>
      <c r="AL200" s="14" t="str">
        <f aca="false">IFERROR(VLOOKUP(TRIM('📥 Respostas'!AO200),'⚙️ Config'!$A$4:$B$13,2,0),"")</f>
        <v/>
      </c>
      <c r="AM200" s="14" t="str">
        <f aca="false">IFERROR(VLOOKUP(TRIM('📥 Respostas'!AP200),'⚙️ Config'!$A$4:$B$13,2,0),"")</f>
        <v/>
      </c>
      <c r="AN200" s="14" t="str">
        <f aca="false">IFERROR(VLOOKUP(TRIM('📥 Respostas'!AQ200),'⚙️ Config'!$A$4:$B$13,2,0),"")</f>
        <v/>
      </c>
      <c r="AO200" s="14" t="str">
        <f aca="false">IFERROR(VLOOKUP(TRIM('📥 Respostas'!AR200),'⚙️ Config'!$A$4:$B$13,2,0),"")</f>
        <v/>
      </c>
      <c r="AP200" s="14" t="str">
        <f aca="false">IFERROR(VLOOKUP(TRIM('📥 Respostas'!AS200),'⚙️ Config'!$A$4:$B$13,2,0),"")</f>
        <v/>
      </c>
      <c r="AQ200" s="14" t="str">
        <f aca="false">IFERROR(VLOOKUP(TRIM('📥 Respostas'!AT200),'⚙️ Config'!$A$4:$B$13,2,0),"")</f>
        <v/>
      </c>
      <c r="AR200" s="14" t="str">
        <f aca="false">IFERROR(VLOOKUP(TRIM('📥 Respostas'!AU200),'⚙️ Config'!$A$4:$B$13,2,0),"")</f>
        <v/>
      </c>
    </row>
    <row r="201" customFormat="false" ht="15" hidden="false" customHeight="false" outlineLevel="0" collapsed="false">
      <c r="A201" s="15" t="str">
        <f aca="false">IF(ISBLANK('📥 Respostas'!D201),"",ROW()-3)</f>
        <v/>
      </c>
      <c r="B201" s="15" t="n">
        <f aca="false">'📥 Respostas'!D201</f>
        <v>0</v>
      </c>
      <c r="C201" s="5" t="n">
        <f aca="false">'📥 Respostas'!C201</f>
        <v>0</v>
      </c>
      <c r="D201" s="14" t="str">
        <f aca="false">IFERROR(VLOOKUP(TRIM('📥 Respostas'!G201),'⚙️ Config'!$A$4:$B$13,2,0),"")</f>
        <v/>
      </c>
      <c r="E201" s="14" t="str">
        <f aca="false">IFERROR(VLOOKUP(TRIM('📥 Respostas'!H201),'⚙️ Config'!$A$4:$B$13,2,0),"")</f>
        <v/>
      </c>
      <c r="F201" s="14" t="str">
        <f aca="false">IFERROR(VLOOKUP(TRIM('📥 Respostas'!I201),'⚙️ Config'!$A$4:$B$13,2,0),"")</f>
        <v/>
      </c>
      <c r="G201" s="14" t="str">
        <f aca="false">IFERROR(VLOOKUP(TRIM('📥 Respostas'!J201),'⚙️ Config'!$A$4:$B$13,2,0),"")</f>
        <v/>
      </c>
      <c r="H201" s="14" t="str">
        <f aca="false">IFERROR(VLOOKUP(TRIM('📥 Respostas'!K201),'⚙️ Config'!$A$4:$B$13,2,0),"")</f>
        <v/>
      </c>
      <c r="I201" s="14" t="str">
        <f aca="false">IFERROR(VLOOKUP(TRIM('📥 Respostas'!L201),'⚙️ Config'!$A$4:$B$13,2,0),"")</f>
        <v/>
      </c>
      <c r="J201" s="14" t="str">
        <f aca="false">IFERROR(VLOOKUP(TRIM('📥 Respostas'!M201),'⚙️ Config'!$A$4:$B$13,2,0),"")</f>
        <v/>
      </c>
      <c r="K201" s="14" t="str">
        <f aca="false">IFERROR(VLOOKUP(TRIM('📥 Respostas'!N201),'⚙️ Config'!$A$4:$B$13,2,0),"")</f>
        <v/>
      </c>
      <c r="L201" s="14" t="str">
        <f aca="false">IFERROR(VLOOKUP(TRIM('📥 Respostas'!O201),'⚙️ Config'!$A$4:$B$13,2,0),"")</f>
        <v/>
      </c>
      <c r="M201" s="14" t="str">
        <f aca="false">IFERROR(VLOOKUP(TRIM('📥 Respostas'!P201),'⚙️ Config'!$A$4:$B$13,2,0),"")</f>
        <v/>
      </c>
      <c r="N201" s="14" t="str">
        <f aca="false">IFERROR(VLOOKUP(TRIM('📥 Respostas'!Q201),'⚙️ Config'!$A$4:$B$13,2,0),"")</f>
        <v/>
      </c>
      <c r="O201" s="14" t="str">
        <f aca="false">IFERROR(VLOOKUP(TRIM('📥 Respostas'!R201),'⚙️ Config'!$A$4:$B$13,2,0),"")</f>
        <v/>
      </c>
      <c r="P201" s="14" t="str">
        <f aca="false">IFERROR(VLOOKUP(TRIM('📥 Respostas'!S201),'⚙️ Config'!$A$4:$B$13,2,0),"")</f>
        <v/>
      </c>
      <c r="Q201" s="14" t="str">
        <f aca="false">IFERROR(VLOOKUP(TRIM('📥 Respostas'!T201),'⚙️ Config'!$A$4:$B$13,2,0),"")</f>
        <v/>
      </c>
      <c r="R201" s="14" t="str">
        <f aca="false">IFERROR(VLOOKUP(TRIM('📥 Respostas'!U201),'⚙️ Config'!$A$4:$B$13,2,0),"")</f>
        <v/>
      </c>
      <c r="S201" s="14" t="str">
        <f aca="false">IFERROR(VLOOKUP(TRIM('📥 Respostas'!V201),'⚙️ Config'!$A$4:$B$13,2,0),"")</f>
        <v/>
      </c>
      <c r="T201" s="14" t="str">
        <f aca="false">IFERROR(VLOOKUP(TRIM('📥 Respostas'!W201),'⚙️ Config'!$A$4:$B$13,2,0),"")</f>
        <v/>
      </c>
      <c r="U201" s="14" t="str">
        <f aca="false">IFERROR(VLOOKUP(TRIM('📥 Respostas'!X201),'⚙️ Config'!$A$4:$B$13,2,0),"")</f>
        <v/>
      </c>
      <c r="V201" s="14" t="str">
        <f aca="false">IFERROR(VLOOKUP(TRIM('📥 Respostas'!Y201),'⚙️ Config'!$A$4:$B$13,2,0),"")</f>
        <v/>
      </c>
      <c r="W201" s="14" t="str">
        <f aca="false">IFERROR(VLOOKUP(TRIM('📥 Respostas'!Z201),'⚙️ Config'!$A$4:$B$13,2,0),"")</f>
        <v/>
      </c>
      <c r="X201" s="14" t="str">
        <f aca="false">IFERROR(VLOOKUP(TRIM('📥 Respostas'!AA201),'⚙️ Config'!$A$4:$B$13,2,0),"")</f>
        <v/>
      </c>
      <c r="Y201" s="14" t="str">
        <f aca="false">IFERROR(VLOOKUP(TRIM('📥 Respostas'!AB201),'⚙️ Config'!$A$4:$B$13,2,0),"")</f>
        <v/>
      </c>
      <c r="Z201" s="14" t="str">
        <f aca="false">IFERROR(VLOOKUP(TRIM('📥 Respostas'!AC201),'⚙️ Config'!$A$4:$B$13,2,0),"")</f>
        <v/>
      </c>
      <c r="AA201" s="14" t="str">
        <f aca="false">IFERROR(VLOOKUP(TRIM('📥 Respostas'!AD201),'⚙️ Config'!$A$4:$B$13,2,0),"")</f>
        <v/>
      </c>
      <c r="AB201" s="14" t="str">
        <f aca="false">IFERROR(VLOOKUP(TRIM('📥 Respostas'!AE201),'⚙️ Config'!$A$4:$B$13,2,0),"")</f>
        <v/>
      </c>
      <c r="AC201" s="14" t="str">
        <f aca="false">IFERROR(VLOOKUP(TRIM('📥 Respostas'!AF201),'⚙️ Config'!$A$4:$B$13,2,0),"")</f>
        <v/>
      </c>
      <c r="AD201" s="14" t="str">
        <f aca="false">IFERROR(VLOOKUP(TRIM('📥 Respostas'!AG201),'⚙️ Config'!$A$4:$B$13,2,0),"")</f>
        <v/>
      </c>
      <c r="AE201" s="14" t="str">
        <f aca="false">IFERROR(VLOOKUP(TRIM('📥 Respostas'!AH201),'⚙️ Config'!$A$4:$B$13,2,0),"")</f>
        <v/>
      </c>
      <c r="AF201" s="14" t="str">
        <f aca="false">IFERROR(VLOOKUP(TRIM('📥 Respostas'!AI201),'⚙️ Config'!$C$4:$D$11,2,0),"")</f>
        <v/>
      </c>
      <c r="AG201" s="14" t="str">
        <f aca="false">IFERROR(VLOOKUP(TRIM('📥 Respostas'!AJ201),'⚙️ Config'!$A$4:$B$13,2,0),"")</f>
        <v/>
      </c>
      <c r="AH201" s="14" t="str">
        <f aca="false">IFERROR(VLOOKUP(TRIM('📥 Respostas'!AK201),'⚙️ Config'!$A$4:$B$13,2,0),"")</f>
        <v/>
      </c>
      <c r="AI201" s="14" t="str">
        <f aca="false">IFERROR(VLOOKUP(TRIM('📥 Respostas'!AL201),'⚙️ Config'!$A$4:$B$13,2,0),"")</f>
        <v/>
      </c>
      <c r="AJ201" s="14" t="str">
        <f aca="false">IFERROR(VLOOKUP(TRIM('📥 Respostas'!AM201),'⚙️ Config'!$A$4:$B$13,2,0),"")</f>
        <v/>
      </c>
      <c r="AK201" s="14" t="str">
        <f aca="false">IFERROR(VLOOKUP(TRIM('📥 Respostas'!AN201),'⚙️ Config'!$A$4:$B$13,2,0),"")</f>
        <v/>
      </c>
      <c r="AL201" s="14" t="str">
        <f aca="false">IFERROR(VLOOKUP(TRIM('📥 Respostas'!AO201),'⚙️ Config'!$A$4:$B$13,2,0),"")</f>
        <v/>
      </c>
      <c r="AM201" s="14" t="str">
        <f aca="false">IFERROR(VLOOKUP(TRIM('📥 Respostas'!AP201),'⚙️ Config'!$A$4:$B$13,2,0),"")</f>
        <v/>
      </c>
      <c r="AN201" s="14" t="str">
        <f aca="false">IFERROR(VLOOKUP(TRIM('📥 Respostas'!AQ201),'⚙️ Config'!$A$4:$B$13,2,0),"")</f>
        <v/>
      </c>
      <c r="AO201" s="14" t="str">
        <f aca="false">IFERROR(VLOOKUP(TRIM('📥 Respostas'!AR201),'⚙️ Config'!$A$4:$B$13,2,0),"")</f>
        <v/>
      </c>
      <c r="AP201" s="14" t="str">
        <f aca="false">IFERROR(VLOOKUP(TRIM('📥 Respostas'!AS201),'⚙️ Config'!$A$4:$B$13,2,0),"")</f>
        <v/>
      </c>
      <c r="AQ201" s="14" t="str">
        <f aca="false">IFERROR(VLOOKUP(TRIM('📥 Respostas'!AT201),'⚙️ Config'!$A$4:$B$13,2,0),"")</f>
        <v/>
      </c>
      <c r="AR201" s="14" t="str">
        <f aca="false">IFERROR(VLOOKUP(TRIM('📥 Respostas'!AU201),'⚙️ Config'!$A$4:$B$13,2,0),"")</f>
        <v/>
      </c>
    </row>
    <row r="202" customFormat="false" ht="15" hidden="false" customHeight="false" outlineLevel="0" collapsed="false">
      <c r="A202" s="12" t="str">
        <f aca="false">IF(ISBLANK('📥 Respostas'!D202),"",ROW()-3)</f>
        <v/>
      </c>
      <c r="B202" s="12" t="n">
        <f aca="false">'📥 Respostas'!D202</f>
        <v>0</v>
      </c>
      <c r="C202" s="13" t="n">
        <f aca="false">'📥 Respostas'!C202</f>
        <v>0</v>
      </c>
      <c r="D202" s="14" t="str">
        <f aca="false">IFERROR(VLOOKUP(TRIM('📥 Respostas'!G202),'⚙️ Config'!$A$4:$B$13,2,0),"")</f>
        <v/>
      </c>
      <c r="E202" s="14" t="str">
        <f aca="false">IFERROR(VLOOKUP(TRIM('📥 Respostas'!H202),'⚙️ Config'!$A$4:$B$13,2,0),"")</f>
        <v/>
      </c>
      <c r="F202" s="14" t="str">
        <f aca="false">IFERROR(VLOOKUP(TRIM('📥 Respostas'!I202),'⚙️ Config'!$A$4:$B$13,2,0),"")</f>
        <v/>
      </c>
      <c r="G202" s="14" t="str">
        <f aca="false">IFERROR(VLOOKUP(TRIM('📥 Respostas'!J202),'⚙️ Config'!$A$4:$B$13,2,0),"")</f>
        <v/>
      </c>
      <c r="H202" s="14" t="str">
        <f aca="false">IFERROR(VLOOKUP(TRIM('📥 Respostas'!K202),'⚙️ Config'!$A$4:$B$13,2,0),"")</f>
        <v/>
      </c>
      <c r="I202" s="14" t="str">
        <f aca="false">IFERROR(VLOOKUP(TRIM('📥 Respostas'!L202),'⚙️ Config'!$A$4:$B$13,2,0),"")</f>
        <v/>
      </c>
      <c r="J202" s="14" t="str">
        <f aca="false">IFERROR(VLOOKUP(TRIM('📥 Respostas'!M202),'⚙️ Config'!$A$4:$B$13,2,0),"")</f>
        <v/>
      </c>
      <c r="K202" s="14" t="str">
        <f aca="false">IFERROR(VLOOKUP(TRIM('📥 Respostas'!N202),'⚙️ Config'!$A$4:$B$13,2,0),"")</f>
        <v/>
      </c>
      <c r="L202" s="14" t="str">
        <f aca="false">IFERROR(VLOOKUP(TRIM('📥 Respostas'!O202),'⚙️ Config'!$A$4:$B$13,2,0),"")</f>
        <v/>
      </c>
      <c r="M202" s="14" t="str">
        <f aca="false">IFERROR(VLOOKUP(TRIM('📥 Respostas'!P202),'⚙️ Config'!$A$4:$B$13,2,0),"")</f>
        <v/>
      </c>
      <c r="N202" s="14" t="str">
        <f aca="false">IFERROR(VLOOKUP(TRIM('📥 Respostas'!Q202),'⚙️ Config'!$A$4:$B$13,2,0),"")</f>
        <v/>
      </c>
      <c r="O202" s="14" t="str">
        <f aca="false">IFERROR(VLOOKUP(TRIM('📥 Respostas'!R202),'⚙️ Config'!$A$4:$B$13,2,0),"")</f>
        <v/>
      </c>
      <c r="P202" s="14" t="str">
        <f aca="false">IFERROR(VLOOKUP(TRIM('📥 Respostas'!S202),'⚙️ Config'!$A$4:$B$13,2,0),"")</f>
        <v/>
      </c>
      <c r="Q202" s="14" t="str">
        <f aca="false">IFERROR(VLOOKUP(TRIM('📥 Respostas'!T202),'⚙️ Config'!$A$4:$B$13,2,0),"")</f>
        <v/>
      </c>
      <c r="R202" s="14" t="str">
        <f aca="false">IFERROR(VLOOKUP(TRIM('📥 Respostas'!U202),'⚙️ Config'!$A$4:$B$13,2,0),"")</f>
        <v/>
      </c>
      <c r="S202" s="14" t="str">
        <f aca="false">IFERROR(VLOOKUP(TRIM('📥 Respostas'!V202),'⚙️ Config'!$A$4:$B$13,2,0),"")</f>
        <v/>
      </c>
      <c r="T202" s="14" t="str">
        <f aca="false">IFERROR(VLOOKUP(TRIM('📥 Respostas'!W202),'⚙️ Config'!$A$4:$B$13,2,0),"")</f>
        <v/>
      </c>
      <c r="U202" s="14" t="str">
        <f aca="false">IFERROR(VLOOKUP(TRIM('📥 Respostas'!X202),'⚙️ Config'!$A$4:$B$13,2,0),"")</f>
        <v/>
      </c>
      <c r="V202" s="14" t="str">
        <f aca="false">IFERROR(VLOOKUP(TRIM('📥 Respostas'!Y202),'⚙️ Config'!$A$4:$B$13,2,0),"")</f>
        <v/>
      </c>
      <c r="W202" s="14" t="str">
        <f aca="false">IFERROR(VLOOKUP(TRIM('📥 Respostas'!Z202),'⚙️ Config'!$A$4:$B$13,2,0),"")</f>
        <v/>
      </c>
      <c r="X202" s="14" t="str">
        <f aca="false">IFERROR(VLOOKUP(TRIM('📥 Respostas'!AA202),'⚙️ Config'!$A$4:$B$13,2,0),"")</f>
        <v/>
      </c>
      <c r="Y202" s="14" t="str">
        <f aca="false">IFERROR(VLOOKUP(TRIM('📥 Respostas'!AB202),'⚙️ Config'!$A$4:$B$13,2,0),"")</f>
        <v/>
      </c>
      <c r="Z202" s="14" t="str">
        <f aca="false">IFERROR(VLOOKUP(TRIM('📥 Respostas'!AC202),'⚙️ Config'!$A$4:$B$13,2,0),"")</f>
        <v/>
      </c>
      <c r="AA202" s="14" t="str">
        <f aca="false">IFERROR(VLOOKUP(TRIM('📥 Respostas'!AD202),'⚙️ Config'!$A$4:$B$13,2,0),"")</f>
        <v/>
      </c>
      <c r="AB202" s="14" t="str">
        <f aca="false">IFERROR(VLOOKUP(TRIM('📥 Respostas'!AE202),'⚙️ Config'!$A$4:$B$13,2,0),"")</f>
        <v/>
      </c>
      <c r="AC202" s="14" t="str">
        <f aca="false">IFERROR(VLOOKUP(TRIM('📥 Respostas'!AF202),'⚙️ Config'!$A$4:$B$13,2,0),"")</f>
        <v/>
      </c>
      <c r="AD202" s="14" t="str">
        <f aca="false">IFERROR(VLOOKUP(TRIM('📥 Respostas'!AG202),'⚙️ Config'!$A$4:$B$13,2,0),"")</f>
        <v/>
      </c>
      <c r="AE202" s="14" t="str">
        <f aca="false">IFERROR(VLOOKUP(TRIM('📥 Respostas'!AH202),'⚙️ Config'!$A$4:$B$13,2,0),"")</f>
        <v/>
      </c>
      <c r="AF202" s="14" t="str">
        <f aca="false">IFERROR(VLOOKUP(TRIM('📥 Respostas'!AI202),'⚙️ Config'!$C$4:$D$11,2,0),"")</f>
        <v/>
      </c>
      <c r="AG202" s="14" t="str">
        <f aca="false">IFERROR(VLOOKUP(TRIM('📥 Respostas'!AJ202),'⚙️ Config'!$A$4:$B$13,2,0),"")</f>
        <v/>
      </c>
      <c r="AH202" s="14" t="str">
        <f aca="false">IFERROR(VLOOKUP(TRIM('📥 Respostas'!AK202),'⚙️ Config'!$A$4:$B$13,2,0),"")</f>
        <v/>
      </c>
      <c r="AI202" s="14" t="str">
        <f aca="false">IFERROR(VLOOKUP(TRIM('📥 Respostas'!AL202),'⚙️ Config'!$A$4:$B$13,2,0),"")</f>
        <v/>
      </c>
      <c r="AJ202" s="14" t="str">
        <f aca="false">IFERROR(VLOOKUP(TRIM('📥 Respostas'!AM202),'⚙️ Config'!$A$4:$B$13,2,0),"")</f>
        <v/>
      </c>
      <c r="AK202" s="14" t="str">
        <f aca="false">IFERROR(VLOOKUP(TRIM('📥 Respostas'!AN202),'⚙️ Config'!$A$4:$B$13,2,0),"")</f>
        <v/>
      </c>
      <c r="AL202" s="14" t="str">
        <f aca="false">IFERROR(VLOOKUP(TRIM('📥 Respostas'!AO202),'⚙️ Config'!$A$4:$B$13,2,0),"")</f>
        <v/>
      </c>
      <c r="AM202" s="14" t="str">
        <f aca="false">IFERROR(VLOOKUP(TRIM('📥 Respostas'!AP202),'⚙️ Config'!$A$4:$B$13,2,0),"")</f>
        <v/>
      </c>
      <c r="AN202" s="14" t="str">
        <f aca="false">IFERROR(VLOOKUP(TRIM('📥 Respostas'!AQ202),'⚙️ Config'!$A$4:$B$13,2,0),"")</f>
        <v/>
      </c>
      <c r="AO202" s="14" t="str">
        <f aca="false">IFERROR(VLOOKUP(TRIM('📥 Respostas'!AR202),'⚙️ Config'!$A$4:$B$13,2,0),"")</f>
        <v/>
      </c>
      <c r="AP202" s="14" t="str">
        <f aca="false">IFERROR(VLOOKUP(TRIM('📥 Respostas'!AS202),'⚙️ Config'!$A$4:$B$13,2,0),"")</f>
        <v/>
      </c>
      <c r="AQ202" s="14" t="str">
        <f aca="false">IFERROR(VLOOKUP(TRIM('📥 Respostas'!AT202),'⚙️ Config'!$A$4:$B$13,2,0),"")</f>
        <v/>
      </c>
      <c r="AR202" s="14" t="str">
        <f aca="false">IFERROR(VLOOKUP(TRIM('📥 Respostas'!AU202),'⚙️ Config'!$A$4:$B$13,2,0),"")</f>
        <v/>
      </c>
    </row>
    <row r="203" customFormat="false" ht="15" hidden="false" customHeight="false" outlineLevel="0" collapsed="false">
      <c r="A203" s="15" t="str">
        <f aca="false">IF(ISBLANK('📥 Respostas'!D203),"",ROW()-3)</f>
        <v/>
      </c>
      <c r="B203" s="15" t="n">
        <f aca="false">'📥 Respostas'!D203</f>
        <v>0</v>
      </c>
      <c r="C203" s="5" t="n">
        <f aca="false">'📥 Respostas'!C203</f>
        <v>0</v>
      </c>
      <c r="D203" s="14" t="str">
        <f aca="false">IFERROR(VLOOKUP(TRIM('📥 Respostas'!G203),'⚙️ Config'!$A$4:$B$13,2,0),"")</f>
        <v/>
      </c>
      <c r="E203" s="14" t="str">
        <f aca="false">IFERROR(VLOOKUP(TRIM('📥 Respostas'!H203),'⚙️ Config'!$A$4:$B$13,2,0),"")</f>
        <v/>
      </c>
      <c r="F203" s="14" t="str">
        <f aca="false">IFERROR(VLOOKUP(TRIM('📥 Respostas'!I203),'⚙️ Config'!$A$4:$B$13,2,0),"")</f>
        <v/>
      </c>
      <c r="G203" s="14" t="str">
        <f aca="false">IFERROR(VLOOKUP(TRIM('📥 Respostas'!J203),'⚙️ Config'!$A$4:$B$13,2,0),"")</f>
        <v/>
      </c>
      <c r="H203" s="14" t="str">
        <f aca="false">IFERROR(VLOOKUP(TRIM('📥 Respostas'!K203),'⚙️ Config'!$A$4:$B$13,2,0),"")</f>
        <v/>
      </c>
      <c r="I203" s="14" t="str">
        <f aca="false">IFERROR(VLOOKUP(TRIM('📥 Respostas'!L203),'⚙️ Config'!$A$4:$B$13,2,0),"")</f>
        <v/>
      </c>
      <c r="J203" s="14" t="str">
        <f aca="false">IFERROR(VLOOKUP(TRIM('📥 Respostas'!M203),'⚙️ Config'!$A$4:$B$13,2,0),"")</f>
        <v/>
      </c>
      <c r="K203" s="14" t="str">
        <f aca="false">IFERROR(VLOOKUP(TRIM('📥 Respostas'!N203),'⚙️ Config'!$A$4:$B$13,2,0),"")</f>
        <v/>
      </c>
      <c r="L203" s="14" t="str">
        <f aca="false">IFERROR(VLOOKUP(TRIM('📥 Respostas'!O203),'⚙️ Config'!$A$4:$B$13,2,0),"")</f>
        <v/>
      </c>
      <c r="M203" s="14" t="str">
        <f aca="false">IFERROR(VLOOKUP(TRIM('📥 Respostas'!P203),'⚙️ Config'!$A$4:$B$13,2,0),"")</f>
        <v/>
      </c>
      <c r="N203" s="14" t="str">
        <f aca="false">IFERROR(VLOOKUP(TRIM('📥 Respostas'!Q203),'⚙️ Config'!$A$4:$B$13,2,0),"")</f>
        <v/>
      </c>
      <c r="O203" s="14" t="str">
        <f aca="false">IFERROR(VLOOKUP(TRIM('📥 Respostas'!R203),'⚙️ Config'!$A$4:$B$13,2,0),"")</f>
        <v/>
      </c>
      <c r="P203" s="14" t="str">
        <f aca="false">IFERROR(VLOOKUP(TRIM('📥 Respostas'!S203),'⚙️ Config'!$A$4:$B$13,2,0),"")</f>
        <v/>
      </c>
      <c r="Q203" s="14" t="str">
        <f aca="false">IFERROR(VLOOKUP(TRIM('📥 Respostas'!T203),'⚙️ Config'!$A$4:$B$13,2,0),"")</f>
        <v/>
      </c>
      <c r="R203" s="14" t="str">
        <f aca="false">IFERROR(VLOOKUP(TRIM('📥 Respostas'!U203),'⚙️ Config'!$A$4:$B$13,2,0),"")</f>
        <v/>
      </c>
      <c r="S203" s="14" t="str">
        <f aca="false">IFERROR(VLOOKUP(TRIM('📥 Respostas'!V203),'⚙️ Config'!$A$4:$B$13,2,0),"")</f>
        <v/>
      </c>
      <c r="T203" s="14" t="str">
        <f aca="false">IFERROR(VLOOKUP(TRIM('📥 Respostas'!W203),'⚙️ Config'!$A$4:$B$13,2,0),"")</f>
        <v/>
      </c>
      <c r="U203" s="14" t="str">
        <f aca="false">IFERROR(VLOOKUP(TRIM('📥 Respostas'!X203),'⚙️ Config'!$A$4:$B$13,2,0),"")</f>
        <v/>
      </c>
      <c r="V203" s="14" t="str">
        <f aca="false">IFERROR(VLOOKUP(TRIM('📥 Respostas'!Y203),'⚙️ Config'!$A$4:$B$13,2,0),"")</f>
        <v/>
      </c>
      <c r="W203" s="14" t="str">
        <f aca="false">IFERROR(VLOOKUP(TRIM('📥 Respostas'!Z203),'⚙️ Config'!$A$4:$B$13,2,0),"")</f>
        <v/>
      </c>
      <c r="X203" s="14" t="str">
        <f aca="false">IFERROR(VLOOKUP(TRIM('📥 Respostas'!AA203),'⚙️ Config'!$A$4:$B$13,2,0),"")</f>
        <v/>
      </c>
      <c r="Y203" s="14" t="str">
        <f aca="false">IFERROR(VLOOKUP(TRIM('📥 Respostas'!AB203),'⚙️ Config'!$A$4:$B$13,2,0),"")</f>
        <v/>
      </c>
      <c r="Z203" s="14" t="str">
        <f aca="false">IFERROR(VLOOKUP(TRIM('📥 Respostas'!AC203),'⚙️ Config'!$A$4:$B$13,2,0),"")</f>
        <v/>
      </c>
      <c r="AA203" s="14" t="str">
        <f aca="false">IFERROR(VLOOKUP(TRIM('📥 Respostas'!AD203),'⚙️ Config'!$A$4:$B$13,2,0),"")</f>
        <v/>
      </c>
      <c r="AB203" s="14" t="str">
        <f aca="false">IFERROR(VLOOKUP(TRIM('📥 Respostas'!AE203),'⚙️ Config'!$A$4:$B$13,2,0),"")</f>
        <v/>
      </c>
      <c r="AC203" s="14" t="str">
        <f aca="false">IFERROR(VLOOKUP(TRIM('📥 Respostas'!AF203),'⚙️ Config'!$A$4:$B$13,2,0),"")</f>
        <v/>
      </c>
      <c r="AD203" s="14" t="str">
        <f aca="false">IFERROR(VLOOKUP(TRIM('📥 Respostas'!AG203),'⚙️ Config'!$A$4:$B$13,2,0),"")</f>
        <v/>
      </c>
      <c r="AE203" s="14" t="str">
        <f aca="false">IFERROR(VLOOKUP(TRIM('📥 Respostas'!AH203),'⚙️ Config'!$A$4:$B$13,2,0),"")</f>
        <v/>
      </c>
      <c r="AF203" s="14" t="str">
        <f aca="false">IFERROR(VLOOKUP(TRIM('📥 Respostas'!AI203),'⚙️ Config'!$C$4:$D$11,2,0),"")</f>
        <v/>
      </c>
      <c r="AG203" s="14" t="str">
        <f aca="false">IFERROR(VLOOKUP(TRIM('📥 Respostas'!AJ203),'⚙️ Config'!$A$4:$B$13,2,0),"")</f>
        <v/>
      </c>
      <c r="AH203" s="14" t="str">
        <f aca="false">IFERROR(VLOOKUP(TRIM('📥 Respostas'!AK203),'⚙️ Config'!$A$4:$B$13,2,0),"")</f>
        <v/>
      </c>
      <c r="AI203" s="14" t="str">
        <f aca="false">IFERROR(VLOOKUP(TRIM('📥 Respostas'!AL203),'⚙️ Config'!$A$4:$B$13,2,0),"")</f>
        <v/>
      </c>
      <c r="AJ203" s="14" t="str">
        <f aca="false">IFERROR(VLOOKUP(TRIM('📥 Respostas'!AM203),'⚙️ Config'!$A$4:$B$13,2,0),"")</f>
        <v/>
      </c>
      <c r="AK203" s="14" t="str">
        <f aca="false">IFERROR(VLOOKUP(TRIM('📥 Respostas'!AN203),'⚙️ Config'!$A$4:$B$13,2,0),"")</f>
        <v/>
      </c>
      <c r="AL203" s="14" t="str">
        <f aca="false">IFERROR(VLOOKUP(TRIM('📥 Respostas'!AO203),'⚙️ Config'!$A$4:$B$13,2,0),"")</f>
        <v/>
      </c>
      <c r="AM203" s="14" t="str">
        <f aca="false">IFERROR(VLOOKUP(TRIM('📥 Respostas'!AP203),'⚙️ Config'!$A$4:$B$13,2,0),"")</f>
        <v/>
      </c>
      <c r="AN203" s="14" t="str">
        <f aca="false">IFERROR(VLOOKUP(TRIM('📥 Respostas'!AQ203),'⚙️ Config'!$A$4:$B$13,2,0),"")</f>
        <v/>
      </c>
      <c r="AO203" s="14" t="str">
        <f aca="false">IFERROR(VLOOKUP(TRIM('📥 Respostas'!AR203),'⚙️ Config'!$A$4:$B$13,2,0),"")</f>
        <v/>
      </c>
      <c r="AP203" s="14" t="str">
        <f aca="false">IFERROR(VLOOKUP(TRIM('📥 Respostas'!AS203),'⚙️ Config'!$A$4:$B$13,2,0),"")</f>
        <v/>
      </c>
      <c r="AQ203" s="14" t="str">
        <f aca="false">IFERROR(VLOOKUP(TRIM('📥 Respostas'!AT203),'⚙️ Config'!$A$4:$B$13,2,0),"")</f>
        <v/>
      </c>
      <c r="AR203" s="14" t="str">
        <f aca="false">IFERROR(VLOOKUP(TRIM('📥 Respostas'!AU203),'⚙️ Config'!$A$4:$B$13,2,0),"")</f>
        <v/>
      </c>
    </row>
  </sheetData>
  <mergeCells count="2">
    <mergeCell ref="A1:AT1"/>
    <mergeCell ref="A2:A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9" min="7" style="0" width="12"/>
  </cols>
  <sheetData>
    <row r="1" customFormat="false" ht="25.5" hidden="false" customHeight="true" outlineLevel="0" collapsed="false">
      <c r="A1" s="1" t="s">
        <v>210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211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A4" s="16" t="s">
        <v>212</v>
      </c>
      <c r="B4" s="16"/>
      <c r="C4" s="17" t="s">
        <v>213</v>
      </c>
      <c r="D4" s="17"/>
      <c r="E4" s="17"/>
      <c r="F4" s="17"/>
      <c r="G4" s="17"/>
      <c r="H4" s="17"/>
      <c r="I4" s="17"/>
    </row>
    <row r="5" customFormat="false" ht="15" hidden="false" customHeight="false" outlineLevel="0" collapsed="false">
      <c r="A5" s="18" t="s">
        <v>214</v>
      </c>
      <c r="B5" s="9"/>
    </row>
    <row r="6" customFormat="false" ht="15" hidden="false" customHeight="false" outlineLevel="0" collapsed="false">
      <c r="A6" s="18" t="s">
        <v>215</v>
      </c>
      <c r="B6" s="9"/>
    </row>
    <row r="7" customFormat="false" ht="15" hidden="false" customHeight="false" outlineLevel="0" collapsed="false">
      <c r="A7" s="18"/>
      <c r="B7" s="9"/>
    </row>
    <row r="8" customFormat="false" ht="15" hidden="false" customHeight="false" outlineLevel="0" collapsed="false">
      <c r="A8" s="18"/>
      <c r="B8" s="9"/>
    </row>
    <row r="9" customFormat="false" ht="15" hidden="false" customHeight="false" outlineLevel="0" collapsed="false">
      <c r="A9" s="18"/>
      <c r="B9" s="9"/>
    </row>
    <row r="10" customFormat="false" ht="15" hidden="false" customHeight="false" outlineLevel="0" collapsed="false">
      <c r="A10" s="18"/>
      <c r="B10" s="9"/>
    </row>
    <row r="11" customFormat="false" ht="15" hidden="false" customHeight="false" outlineLevel="0" collapsed="false">
      <c r="A11" s="18"/>
      <c r="B11" s="9"/>
    </row>
    <row r="12" customFormat="false" ht="15" hidden="false" customHeight="false" outlineLevel="0" collapsed="false">
      <c r="A12" s="18"/>
      <c r="B12" s="9"/>
    </row>
    <row r="13" customFormat="false" ht="18" hidden="false" customHeight="true" outlineLevel="0" collapsed="false">
      <c r="A13" s="19" t="s">
        <v>216</v>
      </c>
      <c r="B13" s="19"/>
      <c r="C13" s="19"/>
      <c r="D13" s="19"/>
      <c r="E13" s="19"/>
      <c r="F13" s="19"/>
      <c r="G13" s="19"/>
      <c r="H13" s="19"/>
      <c r="I13" s="19"/>
    </row>
    <row r="14" customFormat="false" ht="27.75" hidden="false" customHeight="true" outlineLevel="0" collapsed="false">
      <c r="A14" s="7" t="s">
        <v>5</v>
      </c>
      <c r="B14" s="7" t="s">
        <v>217</v>
      </c>
      <c r="C14" s="7" t="s">
        <v>218</v>
      </c>
      <c r="D14" s="7" t="s">
        <v>219</v>
      </c>
      <c r="E14" s="7" t="s">
        <v>220</v>
      </c>
      <c r="F14" s="7" t="s">
        <v>221</v>
      </c>
      <c r="G14" s="7" t="s">
        <v>222</v>
      </c>
      <c r="H14" s="7" t="s">
        <v>223</v>
      </c>
      <c r="I14" s="7" t="s">
        <v>224</v>
      </c>
    </row>
    <row r="15" customFormat="false" ht="15" hidden="false" customHeight="false" outlineLevel="0" collapsed="false">
      <c r="A15" s="13" t="str">
        <f aca="false">$A$5</f>
        <v>Operacional</v>
      </c>
      <c r="B15" s="20" t="s">
        <v>61</v>
      </c>
      <c r="C15" s="12" t="n">
        <f aca="false">COUNTIF('🔢 Cálculo'!$B$4:$B$203,$A$5)</f>
        <v>0</v>
      </c>
      <c r="D15" s="21" t="n">
        <f aca="false">IFERROR((IFERROR(AVERAGEIF('🔢 Cálculo'!$B$4:$B$203,$A$5,'🔢 Cálculo'!$D$4:$D$203),0)+IFERROR(AVERAGEIF('🔢 Cálculo'!$B$4:$B$203,$A$5,'🔢 Cálculo'!$E$4:$E$203),0)+IFERROR(AVERAGEIF('🔢 Cálculo'!$B$4:$B$203,$A$5,'🔢 Cálculo'!$F$4:$F$203),0)+IFERROR(AVERAGEIF('🔢 Cálculo'!$B$4:$B$203,$A$5,'🔢 Cálculo'!$G$4:$G$203),0)+IFERROR(AVERAGEIF('🔢 Cálculo'!$B$4:$B$203,$A$5,'🔢 Cálculo'!$H$4:$H$203),0)+IFERROR(AVERAGEIF('🔢 Cálculo'!$B$4:$B$203,$A$5,'🔢 Cálculo'!$I$4:$I$203),0))/6,"")</f>
        <v>0</v>
      </c>
      <c r="E15" s="22" t="n">
        <f aca="false">IFERROR((IFERROR((AVERAGEIF('🔢 Cálculo'!$B$4:$B$203,$A$5,'🔢 Cálculo'!$D$4:$D$203)-1)/4*100,0)+IFERROR((AVERAGEIF('🔢 Cálculo'!$B$4:$B$203,$A$5,'🔢 Cálculo'!$E$4:$E$203)-1)/4*100,0)+IFERROR((AVERAGEIF('🔢 Cálculo'!$B$4:$B$203,$A$5,'🔢 Cálculo'!$F$4:$F$203)-1)/4*100,0)+IFERROR((AVERAGEIF('🔢 Cálculo'!$B$4:$B$203,$A$5,'🔢 Cálculo'!$G$4:$G$203)-1)/4*100,0)+IFERROR((AVERAGEIF('🔢 Cálculo'!$B$4:$B$203,$A$5,'🔢 Cálculo'!$H$4:$H$203)-1)/4*100,0)+IFERROR((AVERAGEIF('🔢 Cálculo'!$B$4:$B$203,$A$5,'🔢 Cálculo'!$I$4:$I$203)-1)/4*100,0))/6,"")</f>
        <v>0</v>
      </c>
      <c r="F15" s="12" t="str">
        <f aca="false">IFERROR(IF(E15="","",IF(E15&lt;25,"Baixo",IF(E15&lt;50,"Moderado",IF(E15&lt;75,"Alto","Crítico")))),"N/A")</f>
        <v>Baixo</v>
      </c>
      <c r="G15" s="12" t="str">
        <f aca="false">IF(F15="Crítico","🔴 AÇÃO IMEDIATA","")</f>
        <v/>
      </c>
      <c r="H15" s="12" t="str">
        <f aca="false">IF(F15="Alto","🟠 PRIORITÁRIO","")</f>
        <v/>
      </c>
      <c r="I15" s="12" t="str">
        <f aca="false">IF(F15="Moderado","⚠️ PLANEJAR","")</f>
        <v/>
      </c>
    </row>
    <row r="16" customFormat="false" ht="15" hidden="false" customHeight="false" outlineLevel="0" collapsed="false">
      <c r="A16" s="13" t="str">
        <f aca="false">$A$5</f>
        <v>Operacional</v>
      </c>
      <c r="B16" s="20" t="s">
        <v>87</v>
      </c>
      <c r="C16" s="12" t="n">
        <f aca="false">COUNTIF('🔢 Cálculo'!$B$4:$B$203,$A$5)</f>
        <v>0</v>
      </c>
      <c r="D16" s="21" t="n">
        <f aca="false">IFERROR((IFERROR(AVERAGEIF('🔢 Cálculo'!$B$4:$B$203,$A$5,'🔢 Cálculo'!$J$4:$J$203),0)+IFERROR(AVERAGEIF('🔢 Cálculo'!$B$4:$B$203,$A$5,'🔢 Cálculo'!$K$4:$K$203),0)+IFERROR(AVERAGEIF('🔢 Cálculo'!$B$4:$B$203,$A$5,'🔢 Cálculo'!$L$4:$L$203),0)+IFERROR(AVERAGEIF('🔢 Cálculo'!$B$4:$B$203,$A$5,'🔢 Cálculo'!$M$4:$M$203),0)+IFERROR(AVERAGEIF('🔢 Cálculo'!$B$4:$B$203,$A$5,'🔢 Cálculo'!$N$4:$N$203),0)+IFERROR(AVERAGEIF('🔢 Cálculo'!$B$4:$B$203,$A$5,'🔢 Cálculo'!$O$4:$O$203),0))/6,"")</f>
        <v>0</v>
      </c>
      <c r="E16" s="22" t="n">
        <f aca="false">IFERROR((IFERROR((5-AVERAGEIF('🔢 Cálculo'!$B$4:$B$203,$A$5,'🔢 Cálculo'!$J$4:$J$203))/4*100,0)+IFERROR((5-AVERAGEIF('🔢 Cálculo'!$B$4:$B$203,$A$5,'🔢 Cálculo'!$K$4:$K$203))/4*100,0)+IFERROR((5-AVERAGEIF('🔢 Cálculo'!$B$4:$B$203,$A$5,'🔢 Cálculo'!$L$4:$L$203))/4*100,0)+IFERROR((5-AVERAGEIF('🔢 Cálculo'!$B$4:$B$203,$A$5,'🔢 Cálculo'!$M$4:$M$203))/4*100,0)+IFERROR((5-AVERAGEIF('🔢 Cálculo'!$B$4:$B$203,$A$5,'🔢 Cálculo'!$N$4:$N$203))/4*100,0)+IFERROR((5-AVERAGEIF('🔢 Cálculo'!$B$4:$B$203,$A$5,'🔢 Cálculo'!$O$4:$O$203))/4*100,0))/6,"")</f>
        <v>0</v>
      </c>
      <c r="F16" s="12" t="str">
        <f aca="false">IFERROR(IF(E16="","",IF(E16&lt;25,"Baixo",IF(E16&lt;50,"Moderado",IF(E16&lt;75,"Alto","Crítico")))),"N/A")</f>
        <v>Baixo</v>
      </c>
      <c r="G16" s="12" t="str">
        <f aca="false">IF(F16="Crítico","🔴 AÇÃO IMEDIATA","")</f>
        <v/>
      </c>
      <c r="H16" s="12" t="str">
        <f aca="false">IF(F16="Alto","🟠 PRIORITÁRIO","")</f>
        <v/>
      </c>
      <c r="I16" s="12" t="str">
        <f aca="false">IF(F16="Moderado","⚠️ PLANEJAR","")</f>
        <v/>
      </c>
    </row>
    <row r="17" customFormat="false" ht="15" hidden="false" customHeight="false" outlineLevel="0" collapsed="false">
      <c r="A17" s="13" t="str">
        <f aca="false">$A$5</f>
        <v>Operacional</v>
      </c>
      <c r="B17" s="20" t="s">
        <v>103</v>
      </c>
      <c r="C17" s="12" t="n">
        <f aca="false">COUNTIF('🔢 Cálculo'!$B$4:$B$203,$A$5)</f>
        <v>0</v>
      </c>
      <c r="D17" s="21" t="n">
        <f aca="false">IFERROR((IFERROR(AVERAGEIF('🔢 Cálculo'!$B$4:$B$203,$A$5,'🔢 Cálculo'!$P$4:$P$203),0)+IFERROR(AVERAGEIF('🔢 Cálculo'!$B$4:$B$203,$A$5,'🔢 Cálculo'!$Q$4:$Q$203),0)+IFERROR(AVERAGEIF('🔢 Cálculo'!$B$4:$B$203,$A$5,'🔢 Cálculo'!$R$4:$R$203),0)+IFERROR(AVERAGEIF('🔢 Cálculo'!$B$4:$B$203,$A$5,'🔢 Cálculo'!$S$4:$S$203),0)+IFERROR(AVERAGEIF('🔢 Cálculo'!$B$4:$B$203,$A$5,'🔢 Cálculo'!$T$4:$T$203),0)+IFERROR(AVERAGEIF('🔢 Cálculo'!$B$4:$B$203,$A$5,'🔢 Cálculo'!$U$4:$U$203),0))/6,"")</f>
        <v>0</v>
      </c>
      <c r="E17" s="22" t="n">
        <f aca="false">IFERROR((IFERROR((5-AVERAGEIF('🔢 Cálculo'!$B$4:$B$203,$A$5,'🔢 Cálculo'!$P$4:$P$203))/4*100,0)+IFERROR((5-AVERAGEIF('🔢 Cálculo'!$B$4:$B$203,$A$5,'🔢 Cálculo'!$Q$4:$Q$203))/4*100,0)+IFERROR((5-AVERAGEIF('🔢 Cálculo'!$B$4:$B$203,$A$5,'🔢 Cálculo'!$R$4:$R$203))/4*100,0)+IFERROR((5-AVERAGEIF('🔢 Cálculo'!$B$4:$B$203,$A$5,'🔢 Cálculo'!$S$4:$S$203))/4*100,0)+IFERROR((5-AVERAGEIF('🔢 Cálculo'!$B$4:$B$203,$A$5,'🔢 Cálculo'!$T$4:$T$203))/4*100,0)+IFERROR((5-AVERAGEIF('🔢 Cálculo'!$B$4:$B$203,$A$5,'🔢 Cálculo'!$U$4:$U$203))/4*100,0))/6,"")</f>
        <v>0</v>
      </c>
      <c r="F17" s="12" t="str">
        <f aca="false">IFERROR(IF(E17="","",IF(E17&lt;25,"Baixo",IF(E17&lt;50,"Moderado",IF(E17&lt;75,"Alto","Crítico")))),"N/A")</f>
        <v>Baixo</v>
      </c>
      <c r="G17" s="12" t="str">
        <f aca="false">IF(F17="Crítico","🔴 AÇÃO IMEDIATA","")</f>
        <v/>
      </c>
      <c r="H17" s="12" t="str">
        <f aca="false">IF(F17="Alto","🟠 PRIORITÁRIO","")</f>
        <v/>
      </c>
      <c r="I17" s="12" t="str">
        <f aca="false">IF(F17="Moderado","⚠️ PLANEJAR","")</f>
        <v/>
      </c>
    </row>
    <row r="18" customFormat="false" ht="15" hidden="false" customHeight="false" outlineLevel="0" collapsed="false">
      <c r="A18" s="13" t="str">
        <f aca="false">$A$5</f>
        <v>Operacional</v>
      </c>
      <c r="B18" s="20" t="s">
        <v>116</v>
      </c>
      <c r="C18" s="12" t="n">
        <f aca="false">COUNTIF('🔢 Cálculo'!$B$4:$B$203,$A$5)</f>
        <v>0</v>
      </c>
      <c r="D18" s="21" t="n">
        <f aca="false">IFERROR((IFERROR(AVERAGEIF('🔢 Cálculo'!$B$4:$B$203,$A$5,'🔢 Cálculo'!$V$4:$V$203),0)+IFERROR(AVERAGEIF('🔢 Cálculo'!$B$4:$B$203,$A$5,'🔢 Cálculo'!$W$4:$W$203),0)+IFERROR(AVERAGEIF('🔢 Cálculo'!$B$4:$B$203,$A$5,'🔢 Cálculo'!$X$4:$X$203),0)+IFERROR(AVERAGEIF('🔢 Cálculo'!$B$4:$B$203,$A$5,'🔢 Cálculo'!$Y$4:$Y$203),0)+IFERROR(AVERAGEIF('🔢 Cálculo'!$B$4:$B$203,$A$5,'🔢 Cálculo'!$Z$4:$Z$203),0))/5,"")</f>
        <v>0</v>
      </c>
      <c r="E18" s="22" t="n">
        <f aca="false">IFERROR((IFERROR((5-AVERAGEIF('🔢 Cálculo'!$B$4:$B$203,$A$5,'🔢 Cálculo'!$V$4:$V$203))/4*100,0)+IFERROR((5-AVERAGEIF('🔢 Cálculo'!$B$4:$B$203,$A$5,'🔢 Cálculo'!$W$4:$W$203))/4*100,0)+IFERROR((5-AVERAGEIF('🔢 Cálculo'!$B$4:$B$203,$A$5,'🔢 Cálculo'!$X$4:$X$203))/4*100,0)+IFERROR((5-AVERAGEIF('🔢 Cálculo'!$B$4:$B$203,$A$5,'🔢 Cálculo'!$Y$4:$Y$203))/4*100,0)+IFERROR((5-AVERAGEIF('🔢 Cálculo'!$B$4:$B$203,$A$5,'🔢 Cálculo'!$Z$4:$Z$203))/4*100,0))/5,"")</f>
        <v>0</v>
      </c>
      <c r="F18" s="12" t="str">
        <f aca="false">IFERROR(IF(E18="","",IF(E18&lt;25,"Baixo",IF(E18&lt;50,"Moderado",IF(E18&lt;75,"Alto","Crítico")))),"N/A")</f>
        <v>Baixo</v>
      </c>
      <c r="G18" s="12" t="str">
        <f aca="false">IF(F18="Crítico","🔴 AÇÃO IMEDIATA","")</f>
        <v/>
      </c>
      <c r="H18" s="12" t="str">
        <f aca="false">IF(F18="Alto","🟠 PRIORITÁRIO","")</f>
        <v/>
      </c>
      <c r="I18" s="12" t="str">
        <f aca="false">IF(F18="Moderado","⚠️ PLANEJAR","")</f>
        <v/>
      </c>
    </row>
    <row r="19" customFormat="false" ht="15" hidden="false" customHeight="false" outlineLevel="0" collapsed="false">
      <c r="A19" s="13" t="str">
        <f aca="false">$A$5</f>
        <v>Operacional</v>
      </c>
      <c r="B19" s="20" t="s">
        <v>127</v>
      </c>
      <c r="C19" s="12" t="n">
        <f aca="false">COUNTIF('🔢 Cálculo'!$B$4:$B$203,$A$5)</f>
        <v>0</v>
      </c>
      <c r="D19" s="21" t="n">
        <f aca="false">IFERROR((IFERROR(AVERAGEIF('🔢 Cálculo'!$B$4:$B$203,$A$5,'🔢 Cálculo'!$AA$4:$AA$203),0)+IFERROR(AVERAGEIF('🔢 Cálculo'!$B$4:$B$203,$A$5,'🔢 Cálculo'!$AB$4:$AB$203),0)+IFERROR(AVERAGEIF('🔢 Cálculo'!$B$4:$B$203,$A$5,'🔢 Cálculo'!$AC$4:$AC$203),0)+IFERROR(AVERAGEIF('🔢 Cálculo'!$B$4:$B$203,$A$5,'🔢 Cálculo'!$AD$4:$AD$203),0)+IFERROR(AVERAGEIF('🔢 Cálculo'!$B$4:$B$203,$A$5,'🔢 Cálculo'!$AE$4:$AE$203),0))/5,"")</f>
        <v>0</v>
      </c>
      <c r="E19" s="22" t="n">
        <f aca="false">IFERROR((IFERROR((5-AVERAGEIF('🔢 Cálculo'!$B$4:$B$203,$A$5,'🔢 Cálculo'!$AA$4:$AA$203))/4*100,0)+IFERROR((5-AVERAGEIF('🔢 Cálculo'!$B$4:$B$203,$A$5,'🔢 Cálculo'!$AB$4:$AB$203))/4*100,0)+IFERROR((5-AVERAGEIF('🔢 Cálculo'!$B$4:$B$203,$A$5,'🔢 Cálculo'!$AC$4:$AC$203))/4*100,0)+IFERROR((5-AVERAGEIF('🔢 Cálculo'!$B$4:$B$203,$A$5,'🔢 Cálculo'!$AD$4:$AD$203))/4*100,0)+IFERROR((AVERAGEIF('🔢 Cálculo'!$B$4:$B$203,$A$5,'🔢 Cálculo'!$AE$4:$AE$203)-1)/4*100,0))/5,"")</f>
        <v>0</v>
      </c>
      <c r="F19" s="12" t="str">
        <f aca="false">IFERROR(IF(E19="","",IF(E19&lt;25,"Baixo",IF(E19&lt;50,"Moderado",IF(E19&lt;75,"Alto","Crítico")))),"N/A")</f>
        <v>Baixo</v>
      </c>
      <c r="G19" s="12" t="str">
        <f aca="false">IF(F19="Crítico","🔴 AÇÃO IMEDIATA","")</f>
        <v/>
      </c>
      <c r="H19" s="12" t="str">
        <f aca="false">IF(F19="Alto","🟠 PRIORITÁRIO","")</f>
        <v/>
      </c>
      <c r="I19" s="12" t="str">
        <f aca="false">IF(F19="Moderado","⚠️ PLANEJAR","")</f>
        <v/>
      </c>
    </row>
    <row r="20" customFormat="false" ht="15" hidden="false" customHeight="false" outlineLevel="0" collapsed="false">
      <c r="A20" s="13" t="str">
        <f aca="false">$A$5</f>
        <v>Operacional</v>
      </c>
      <c r="B20" s="20" t="s">
        <v>138</v>
      </c>
      <c r="C20" s="12" t="n">
        <f aca="false">COUNTIF('🔢 Cálculo'!$B$4:$B$203,$A$5)</f>
        <v>0</v>
      </c>
      <c r="D20" s="21" t="n">
        <f aca="false">IFERROR((IFERROR(AVERAGEIF('🔢 Cálculo'!$B$4:$B$203,$A$5,'🔢 Cálculo'!$AF$4:$AF$203),0)+IFERROR(AVERAGEIF('🔢 Cálculo'!$B$4:$B$203,$A$5,'🔢 Cálculo'!$AG$4:$AG$203),0)+IFERROR(AVERAGEIF('🔢 Cálculo'!$B$4:$B$203,$A$5,'🔢 Cálculo'!$AH$4:$AH$203),0)+IFERROR(AVERAGEIF('🔢 Cálculo'!$B$4:$B$203,$A$5,'🔢 Cálculo'!$AI$4:$AI$203),0)+IFERROR(AVERAGEIF('🔢 Cálculo'!$B$4:$B$203,$A$5,'🔢 Cálculo'!$AJ$4:$AJ$203),0)+IFERROR(AVERAGEIF('🔢 Cálculo'!$B$4:$B$203,$A$5,'🔢 Cálculo'!$AK$4:$AK$203),0)+IFERROR(AVERAGEIF('🔢 Cálculo'!$B$4:$B$203,$A$5,'🔢 Cálculo'!$AL$4:$AL$203),0)+IFERROR(AVERAGEIF('🔢 Cálculo'!$B$4:$B$203,$A$5,'🔢 Cálculo'!$AM$4:$AM$203),0)+IFERROR(AVERAGEIF('🔢 Cálculo'!$B$4:$B$203,$A$5,'🔢 Cálculo'!$AN$4:$AN$203),0))/9,"")</f>
        <v>0</v>
      </c>
      <c r="E20" s="22" t="n">
        <f aca="false">IFERROR((IFERROR((5-AVERAGEIF('🔢 Cálculo'!$B$4:$B$203,$A$5,'🔢 Cálculo'!$AF$4:$AF$203))/4*100,0)+IFERROR((AVERAGEIF('🔢 Cálculo'!$B$4:$B$203,$A$5,'🔢 Cálculo'!$AG$4:$AG$203)-1)/4*100,0)+IFERROR((AVERAGEIF('🔢 Cálculo'!$B$4:$B$203,$A$5,'🔢 Cálculo'!$AH$4:$AH$203)-1)/4*100,0)+IFERROR((AVERAGEIF('🔢 Cálculo'!$B$4:$B$203,$A$5,'🔢 Cálculo'!$AI$4:$AI$203)-1)/4*100,0)+IFERROR((AVERAGEIF('🔢 Cálculo'!$B$4:$B$203,$A$5,'🔢 Cálculo'!$AJ$4:$AJ$203)-1)/4*100,0)+IFERROR((AVERAGEIF('🔢 Cálculo'!$B$4:$B$203,$A$5,'🔢 Cálculo'!$AK$4:$AK$203)-1)/4*100,0)+IFERROR((AVERAGEIF('🔢 Cálculo'!$B$4:$B$203,$A$5,'🔢 Cálculo'!$AL$4:$AL$203)-1)/4*100,0)+IFERROR((AVERAGEIF('🔢 Cálculo'!$B$4:$B$203,$A$5,'🔢 Cálculo'!$AM$4:$AM$203)-1)/4*100,0)+IFERROR((AVERAGEIF('🔢 Cálculo'!$B$4:$B$203,$A$5,'🔢 Cálculo'!$AN$4:$AN$203)-1)/4*100,0))/9,"")</f>
        <v>0</v>
      </c>
      <c r="F20" s="12" t="str">
        <f aca="false">IFERROR(IF(E20="","",IF(E20&lt;25,"Baixo",IF(E20&lt;50,"Moderado",IF(E20&lt;75,"Alto","Crítico")))),"N/A")</f>
        <v>Baixo</v>
      </c>
      <c r="G20" s="12" t="str">
        <f aca="false">IF(F20="Crítico","🔴 AÇÃO IMEDIATA","")</f>
        <v/>
      </c>
      <c r="H20" s="12" t="str">
        <f aca="false">IF(F20="Alto","🟠 PRIORITÁRIO","")</f>
        <v/>
      </c>
      <c r="I20" s="12" t="str">
        <f aca="false">IF(F20="Moderado","⚠️ PLANEJAR","")</f>
        <v/>
      </c>
    </row>
    <row r="21" customFormat="false" ht="15" hidden="false" customHeight="false" outlineLevel="0" collapsed="false">
      <c r="A21" s="13" t="str">
        <f aca="false">$A$5</f>
        <v>Operacional</v>
      </c>
      <c r="B21" s="20" t="s">
        <v>157</v>
      </c>
      <c r="C21" s="12" t="n">
        <f aca="false">COUNTIF('🔢 Cálculo'!$B$4:$B$203,$A$5)</f>
        <v>0</v>
      </c>
      <c r="D21" s="21" t="n">
        <f aca="false">IFERROR((IFERROR(AVERAGEIF('🔢 Cálculo'!$B$4:$B$203,$A$5,'🔢 Cálculo'!$AO$4:$AO$203),0)+IFERROR(AVERAGEIF('🔢 Cálculo'!$B$4:$B$203,$A$5,'🔢 Cálculo'!$AP$4:$AP$203),0)+IFERROR(AVERAGEIF('🔢 Cálculo'!$B$4:$B$203,$A$5,'🔢 Cálculo'!$AQ$4:$AQ$203),0)+IFERROR(AVERAGEIF('🔢 Cálculo'!$B$4:$B$203,$A$5,'🔢 Cálculo'!$AR$4:$AR$203),0))/4,"")</f>
        <v>0</v>
      </c>
      <c r="E21" s="22" t="n">
        <f aca="false">IFERROR((IFERROR((AVERAGEIF('🔢 Cálculo'!$B$4:$B$203,$A$5,'🔢 Cálculo'!$AO$4:$AO$203)-1)/4*100,0)+IFERROR((AVERAGEIF('🔢 Cálculo'!$B$4:$B$203,$A$5,'🔢 Cálculo'!$AP$4:$AP$203)-1)/4*100,0)+IFERROR((AVERAGEIF('🔢 Cálculo'!$B$4:$B$203,$A$5,'🔢 Cálculo'!$AQ$4:$AQ$203)-1)/4*100,0)+IFERROR((AVERAGEIF('🔢 Cálculo'!$B$4:$B$203,$A$5,'🔢 Cálculo'!$AR$4:$AR$203)-1)/4*100,0))/4,"")</f>
        <v>0</v>
      </c>
      <c r="F21" s="12" t="str">
        <f aca="false">IFERROR(IF(E21="","",IF(E21&lt;25,"Baixo",IF(E21&lt;50,"Moderado",IF(E21&lt;75,"Alto","Crítico")))),"N/A")</f>
        <v>Baixo</v>
      </c>
      <c r="G21" s="12" t="str">
        <f aca="false">IF(F21="Crítico","🔴 AÇÃO IMEDIATA","")</f>
        <v/>
      </c>
      <c r="H21" s="12" t="str">
        <f aca="false">IF(F21="Alto","🟠 PRIORITÁRIO","")</f>
        <v/>
      </c>
      <c r="I21" s="12" t="str">
        <f aca="false">IF(F21="Moderado","⚠️ PLANEJAR","")</f>
        <v/>
      </c>
    </row>
    <row r="22" customFormat="false" ht="15" hidden="false" customHeight="false" outlineLevel="0" collapsed="false">
      <c r="A22" s="5" t="str">
        <f aca="false">$A$6</f>
        <v>Administrativo / Técnico</v>
      </c>
      <c r="B22" s="23" t="s">
        <v>61</v>
      </c>
      <c r="C22" s="15" t="n">
        <f aca="false">COUNTIF('🔢 Cálculo'!$B$4:$B$203,$A$6)</f>
        <v>0</v>
      </c>
      <c r="D22" s="24" t="n">
        <f aca="false">IFERROR((IFERROR(AVERAGEIF('🔢 Cálculo'!$B$4:$B$203,$A$6,'🔢 Cálculo'!$D$4:$D$203),0)+IFERROR(AVERAGEIF('🔢 Cálculo'!$B$4:$B$203,$A$6,'🔢 Cálculo'!$E$4:$E$203),0)+IFERROR(AVERAGEIF('🔢 Cálculo'!$B$4:$B$203,$A$6,'🔢 Cálculo'!$F$4:$F$203),0)+IFERROR(AVERAGEIF('🔢 Cálculo'!$B$4:$B$203,$A$6,'🔢 Cálculo'!$G$4:$G$203),0)+IFERROR(AVERAGEIF('🔢 Cálculo'!$B$4:$B$203,$A$6,'🔢 Cálculo'!$H$4:$H$203),0)+IFERROR(AVERAGEIF('🔢 Cálculo'!$B$4:$B$203,$A$6,'🔢 Cálculo'!$I$4:$I$203),0))/6,"")</f>
        <v>0</v>
      </c>
      <c r="E22" s="25" t="n">
        <f aca="false">IFERROR((IFERROR((AVERAGEIF('🔢 Cálculo'!$B$4:$B$203,$A$6,'🔢 Cálculo'!$D$4:$D$203)-1)/4*100,0)+IFERROR((AVERAGEIF('🔢 Cálculo'!$B$4:$B$203,$A$6,'🔢 Cálculo'!$E$4:$E$203)-1)/4*100,0)+IFERROR((AVERAGEIF('🔢 Cálculo'!$B$4:$B$203,$A$6,'🔢 Cálculo'!$F$4:$F$203)-1)/4*100,0)+IFERROR((AVERAGEIF('🔢 Cálculo'!$B$4:$B$203,$A$6,'🔢 Cálculo'!$G$4:$G$203)-1)/4*100,0)+IFERROR((AVERAGEIF('🔢 Cálculo'!$B$4:$B$203,$A$6,'🔢 Cálculo'!$H$4:$H$203)-1)/4*100,0)+IFERROR((AVERAGEIF('🔢 Cálculo'!$B$4:$B$203,$A$6,'🔢 Cálculo'!$I$4:$I$203)-1)/4*100,0))/6,"")</f>
        <v>0</v>
      </c>
      <c r="F22" s="15" t="str">
        <f aca="false">IFERROR(IF(E22="","",IF(E22&lt;25,"Baixo",IF(E22&lt;50,"Moderado",IF(E22&lt;75,"Alto","Crítico")))),"N/A")</f>
        <v>Baixo</v>
      </c>
      <c r="G22" s="15" t="str">
        <f aca="false">IF(F22="Crítico","🔴 AÇÃO IMEDIATA","")</f>
        <v/>
      </c>
      <c r="H22" s="15" t="str">
        <f aca="false">IF(F22="Alto","🟠 PRIORITÁRIO","")</f>
        <v/>
      </c>
      <c r="I22" s="15" t="str">
        <f aca="false">IF(F22="Moderado","⚠️ PLANEJAR","")</f>
        <v/>
      </c>
    </row>
    <row r="23" customFormat="false" ht="15" hidden="false" customHeight="false" outlineLevel="0" collapsed="false">
      <c r="A23" s="5" t="str">
        <f aca="false">$A$6</f>
        <v>Administrativo / Técnico</v>
      </c>
      <c r="B23" s="23" t="s">
        <v>87</v>
      </c>
      <c r="C23" s="15" t="n">
        <f aca="false">COUNTIF('🔢 Cálculo'!$B$4:$B$203,$A$6)</f>
        <v>0</v>
      </c>
      <c r="D23" s="24" t="n">
        <f aca="false">IFERROR((IFERROR(AVERAGEIF('🔢 Cálculo'!$B$4:$B$203,$A$6,'🔢 Cálculo'!$J$4:$J$203),0)+IFERROR(AVERAGEIF('🔢 Cálculo'!$B$4:$B$203,$A$6,'🔢 Cálculo'!$K$4:$K$203),0)+IFERROR(AVERAGEIF('🔢 Cálculo'!$B$4:$B$203,$A$6,'🔢 Cálculo'!$L$4:$L$203),0)+IFERROR(AVERAGEIF('🔢 Cálculo'!$B$4:$B$203,$A$6,'🔢 Cálculo'!$M$4:$M$203),0)+IFERROR(AVERAGEIF('🔢 Cálculo'!$B$4:$B$203,$A$6,'🔢 Cálculo'!$N$4:$N$203),0)+IFERROR(AVERAGEIF('🔢 Cálculo'!$B$4:$B$203,$A$6,'🔢 Cálculo'!$O$4:$O$203),0))/6,"")</f>
        <v>0</v>
      </c>
      <c r="E23" s="25" t="n">
        <f aca="false">IFERROR((IFERROR((5-AVERAGEIF('🔢 Cálculo'!$B$4:$B$203,$A$6,'🔢 Cálculo'!$J$4:$J$203))/4*100,0)+IFERROR((5-AVERAGEIF('🔢 Cálculo'!$B$4:$B$203,$A$6,'🔢 Cálculo'!$K$4:$K$203))/4*100,0)+IFERROR((5-AVERAGEIF('🔢 Cálculo'!$B$4:$B$203,$A$6,'🔢 Cálculo'!$L$4:$L$203))/4*100,0)+IFERROR((5-AVERAGEIF('🔢 Cálculo'!$B$4:$B$203,$A$6,'🔢 Cálculo'!$M$4:$M$203))/4*100,0)+IFERROR((5-AVERAGEIF('🔢 Cálculo'!$B$4:$B$203,$A$6,'🔢 Cálculo'!$N$4:$N$203))/4*100,0)+IFERROR((5-AVERAGEIF('🔢 Cálculo'!$B$4:$B$203,$A$6,'🔢 Cálculo'!$O$4:$O$203))/4*100,0))/6,"")</f>
        <v>0</v>
      </c>
      <c r="F23" s="15" t="str">
        <f aca="false">IFERROR(IF(E23="","",IF(E23&lt;25,"Baixo",IF(E23&lt;50,"Moderado",IF(E23&lt;75,"Alto","Crítico")))),"N/A")</f>
        <v>Baixo</v>
      </c>
      <c r="G23" s="15" t="str">
        <f aca="false">IF(F23="Crítico","🔴 AÇÃO IMEDIATA","")</f>
        <v/>
      </c>
      <c r="H23" s="15" t="str">
        <f aca="false">IF(F23="Alto","🟠 PRIORITÁRIO","")</f>
        <v/>
      </c>
      <c r="I23" s="15" t="str">
        <f aca="false">IF(F23="Moderado","⚠️ PLANEJAR","")</f>
        <v/>
      </c>
    </row>
    <row r="24" customFormat="false" ht="15" hidden="false" customHeight="false" outlineLevel="0" collapsed="false">
      <c r="A24" s="5" t="str">
        <f aca="false">$A$6</f>
        <v>Administrativo / Técnico</v>
      </c>
      <c r="B24" s="23" t="s">
        <v>103</v>
      </c>
      <c r="C24" s="15" t="n">
        <f aca="false">COUNTIF('🔢 Cálculo'!$B$4:$B$203,$A$6)</f>
        <v>0</v>
      </c>
      <c r="D24" s="24" t="n">
        <f aca="false">IFERROR((IFERROR(AVERAGEIF('🔢 Cálculo'!$B$4:$B$203,$A$6,'🔢 Cálculo'!$P$4:$P$203),0)+IFERROR(AVERAGEIF('🔢 Cálculo'!$B$4:$B$203,$A$6,'🔢 Cálculo'!$Q$4:$Q$203),0)+IFERROR(AVERAGEIF('🔢 Cálculo'!$B$4:$B$203,$A$6,'🔢 Cálculo'!$R$4:$R$203),0)+IFERROR(AVERAGEIF('🔢 Cálculo'!$B$4:$B$203,$A$6,'🔢 Cálculo'!$S$4:$S$203),0)+IFERROR(AVERAGEIF('🔢 Cálculo'!$B$4:$B$203,$A$6,'🔢 Cálculo'!$T$4:$T$203),0)+IFERROR(AVERAGEIF('🔢 Cálculo'!$B$4:$B$203,$A$6,'🔢 Cálculo'!$U$4:$U$203),0))/6,"")</f>
        <v>0</v>
      </c>
      <c r="E24" s="25" t="n">
        <f aca="false">IFERROR((IFERROR((5-AVERAGEIF('🔢 Cálculo'!$B$4:$B$203,$A$6,'🔢 Cálculo'!$P$4:$P$203))/4*100,0)+IFERROR((5-AVERAGEIF('🔢 Cálculo'!$B$4:$B$203,$A$6,'🔢 Cálculo'!$Q$4:$Q$203))/4*100,0)+IFERROR((5-AVERAGEIF('🔢 Cálculo'!$B$4:$B$203,$A$6,'🔢 Cálculo'!$R$4:$R$203))/4*100,0)+IFERROR((5-AVERAGEIF('🔢 Cálculo'!$B$4:$B$203,$A$6,'🔢 Cálculo'!$S$4:$S$203))/4*100,0)+IFERROR((5-AVERAGEIF('🔢 Cálculo'!$B$4:$B$203,$A$6,'🔢 Cálculo'!$T$4:$T$203))/4*100,0)+IFERROR((5-AVERAGEIF('🔢 Cálculo'!$B$4:$B$203,$A$6,'🔢 Cálculo'!$U$4:$U$203))/4*100,0))/6,"")</f>
        <v>0</v>
      </c>
      <c r="F24" s="15" t="str">
        <f aca="false">IFERROR(IF(E24="","",IF(E24&lt;25,"Baixo",IF(E24&lt;50,"Moderado",IF(E24&lt;75,"Alto","Crítico")))),"N/A")</f>
        <v>Baixo</v>
      </c>
      <c r="G24" s="15" t="str">
        <f aca="false">IF(F24="Crítico","🔴 AÇÃO IMEDIATA","")</f>
        <v/>
      </c>
      <c r="H24" s="15" t="str">
        <f aca="false">IF(F24="Alto","🟠 PRIORITÁRIO","")</f>
        <v/>
      </c>
      <c r="I24" s="15" t="str">
        <f aca="false">IF(F24="Moderado","⚠️ PLANEJAR","")</f>
        <v/>
      </c>
    </row>
    <row r="25" customFormat="false" ht="15" hidden="false" customHeight="false" outlineLevel="0" collapsed="false">
      <c r="A25" s="5" t="str">
        <f aca="false">$A$6</f>
        <v>Administrativo / Técnico</v>
      </c>
      <c r="B25" s="23" t="s">
        <v>116</v>
      </c>
      <c r="C25" s="15" t="n">
        <f aca="false">COUNTIF('🔢 Cálculo'!$B$4:$B$203,$A$6)</f>
        <v>0</v>
      </c>
      <c r="D25" s="24" t="n">
        <f aca="false">IFERROR((IFERROR(AVERAGEIF('🔢 Cálculo'!$B$4:$B$203,$A$6,'🔢 Cálculo'!$V$4:$V$203),0)+IFERROR(AVERAGEIF('🔢 Cálculo'!$B$4:$B$203,$A$6,'🔢 Cálculo'!$W$4:$W$203),0)+IFERROR(AVERAGEIF('🔢 Cálculo'!$B$4:$B$203,$A$6,'🔢 Cálculo'!$X$4:$X$203),0)+IFERROR(AVERAGEIF('🔢 Cálculo'!$B$4:$B$203,$A$6,'🔢 Cálculo'!$Y$4:$Y$203),0)+IFERROR(AVERAGEIF('🔢 Cálculo'!$B$4:$B$203,$A$6,'🔢 Cálculo'!$Z$4:$Z$203),0))/5,"")</f>
        <v>0</v>
      </c>
      <c r="E25" s="25" t="n">
        <f aca="false">IFERROR((IFERROR((5-AVERAGEIF('🔢 Cálculo'!$B$4:$B$203,$A$6,'🔢 Cálculo'!$V$4:$V$203))/4*100,0)+IFERROR((5-AVERAGEIF('🔢 Cálculo'!$B$4:$B$203,$A$6,'🔢 Cálculo'!$W$4:$W$203))/4*100,0)+IFERROR((5-AVERAGEIF('🔢 Cálculo'!$B$4:$B$203,$A$6,'🔢 Cálculo'!$X$4:$X$203))/4*100,0)+IFERROR((5-AVERAGEIF('🔢 Cálculo'!$B$4:$B$203,$A$6,'🔢 Cálculo'!$Y$4:$Y$203))/4*100,0)+IFERROR((5-AVERAGEIF('🔢 Cálculo'!$B$4:$B$203,$A$6,'🔢 Cálculo'!$Z$4:$Z$203))/4*100,0))/5,"")</f>
        <v>0</v>
      </c>
      <c r="F25" s="15" t="str">
        <f aca="false">IFERROR(IF(E25="","",IF(E25&lt;25,"Baixo",IF(E25&lt;50,"Moderado",IF(E25&lt;75,"Alto","Crítico")))),"N/A")</f>
        <v>Baixo</v>
      </c>
      <c r="G25" s="15" t="str">
        <f aca="false">IF(F25="Crítico","🔴 AÇÃO IMEDIATA","")</f>
        <v/>
      </c>
      <c r="H25" s="15" t="str">
        <f aca="false">IF(F25="Alto","🟠 PRIORITÁRIO","")</f>
        <v/>
      </c>
      <c r="I25" s="15" t="str">
        <f aca="false">IF(F25="Moderado","⚠️ PLANEJAR","")</f>
        <v/>
      </c>
    </row>
    <row r="26" customFormat="false" ht="15" hidden="false" customHeight="false" outlineLevel="0" collapsed="false">
      <c r="A26" s="5" t="str">
        <f aca="false">$A$6</f>
        <v>Administrativo / Técnico</v>
      </c>
      <c r="B26" s="23" t="s">
        <v>127</v>
      </c>
      <c r="C26" s="15" t="n">
        <f aca="false">COUNTIF('🔢 Cálculo'!$B$4:$B$203,$A$6)</f>
        <v>0</v>
      </c>
      <c r="D26" s="24" t="n">
        <f aca="false">IFERROR((IFERROR(AVERAGEIF('🔢 Cálculo'!$B$4:$B$203,$A$6,'🔢 Cálculo'!$AA$4:$AA$203),0)+IFERROR(AVERAGEIF('🔢 Cálculo'!$B$4:$B$203,$A$6,'🔢 Cálculo'!$AB$4:$AB$203),0)+IFERROR(AVERAGEIF('🔢 Cálculo'!$B$4:$B$203,$A$6,'🔢 Cálculo'!$AC$4:$AC$203),0)+IFERROR(AVERAGEIF('🔢 Cálculo'!$B$4:$B$203,$A$6,'🔢 Cálculo'!$AD$4:$AD$203),0)+IFERROR(AVERAGEIF('🔢 Cálculo'!$B$4:$B$203,$A$6,'🔢 Cálculo'!$AE$4:$AE$203),0))/5,"")</f>
        <v>0</v>
      </c>
      <c r="E26" s="25" t="n">
        <f aca="false">IFERROR((IFERROR((5-AVERAGEIF('🔢 Cálculo'!$B$4:$B$203,$A$6,'🔢 Cálculo'!$AA$4:$AA$203))/4*100,0)+IFERROR((5-AVERAGEIF('🔢 Cálculo'!$B$4:$B$203,$A$6,'🔢 Cálculo'!$AB$4:$AB$203))/4*100,0)+IFERROR((5-AVERAGEIF('🔢 Cálculo'!$B$4:$B$203,$A$6,'🔢 Cálculo'!$AC$4:$AC$203))/4*100,0)+IFERROR((5-AVERAGEIF('🔢 Cálculo'!$B$4:$B$203,$A$6,'🔢 Cálculo'!$AD$4:$AD$203))/4*100,0)+IFERROR((AVERAGEIF('🔢 Cálculo'!$B$4:$B$203,$A$6,'🔢 Cálculo'!$AE$4:$AE$203)-1)/4*100,0))/5,"")</f>
        <v>0</v>
      </c>
      <c r="F26" s="15" t="str">
        <f aca="false">IFERROR(IF(E26="","",IF(E26&lt;25,"Baixo",IF(E26&lt;50,"Moderado",IF(E26&lt;75,"Alto","Crítico")))),"N/A")</f>
        <v>Baixo</v>
      </c>
      <c r="G26" s="15" t="str">
        <f aca="false">IF(F26="Crítico","🔴 AÇÃO IMEDIATA","")</f>
        <v/>
      </c>
      <c r="H26" s="15" t="str">
        <f aca="false">IF(F26="Alto","🟠 PRIORITÁRIO","")</f>
        <v/>
      </c>
      <c r="I26" s="15" t="str">
        <f aca="false">IF(F26="Moderado","⚠️ PLANEJAR","")</f>
        <v/>
      </c>
    </row>
    <row r="27" customFormat="false" ht="15" hidden="false" customHeight="false" outlineLevel="0" collapsed="false">
      <c r="A27" s="5" t="str">
        <f aca="false">$A$6</f>
        <v>Administrativo / Técnico</v>
      </c>
      <c r="B27" s="23" t="s">
        <v>138</v>
      </c>
      <c r="C27" s="15" t="n">
        <f aca="false">COUNTIF('🔢 Cálculo'!$B$4:$B$203,$A$6)</f>
        <v>0</v>
      </c>
      <c r="D27" s="24" t="n">
        <f aca="false">IFERROR((IFERROR(AVERAGEIF('🔢 Cálculo'!$B$4:$B$203,$A$6,'🔢 Cálculo'!$AF$4:$AF$203),0)+IFERROR(AVERAGEIF('🔢 Cálculo'!$B$4:$B$203,$A$6,'🔢 Cálculo'!$AG$4:$AG$203),0)+IFERROR(AVERAGEIF('🔢 Cálculo'!$B$4:$B$203,$A$6,'🔢 Cálculo'!$AH$4:$AH$203),0)+IFERROR(AVERAGEIF('🔢 Cálculo'!$B$4:$B$203,$A$6,'🔢 Cálculo'!$AI$4:$AI$203),0)+IFERROR(AVERAGEIF('🔢 Cálculo'!$B$4:$B$203,$A$6,'🔢 Cálculo'!$AJ$4:$AJ$203),0)+IFERROR(AVERAGEIF('🔢 Cálculo'!$B$4:$B$203,$A$6,'🔢 Cálculo'!$AK$4:$AK$203),0)+IFERROR(AVERAGEIF('🔢 Cálculo'!$B$4:$B$203,$A$6,'🔢 Cálculo'!$AL$4:$AL$203),0)+IFERROR(AVERAGEIF('🔢 Cálculo'!$B$4:$B$203,$A$6,'🔢 Cálculo'!$AM$4:$AM$203),0)+IFERROR(AVERAGEIF('🔢 Cálculo'!$B$4:$B$203,$A$6,'🔢 Cálculo'!$AN$4:$AN$203),0))/9,"")</f>
        <v>0</v>
      </c>
      <c r="E27" s="25" t="n">
        <f aca="false">IFERROR((IFERROR((5-AVERAGEIF('🔢 Cálculo'!$B$4:$B$203,$A$6,'🔢 Cálculo'!$AF$4:$AF$203))/4*100,0)+IFERROR((AVERAGEIF('🔢 Cálculo'!$B$4:$B$203,$A$6,'🔢 Cálculo'!$AG$4:$AG$203)-1)/4*100,0)+IFERROR((AVERAGEIF('🔢 Cálculo'!$B$4:$B$203,$A$6,'🔢 Cálculo'!$AH$4:$AH$203)-1)/4*100,0)+IFERROR((AVERAGEIF('🔢 Cálculo'!$B$4:$B$203,$A$6,'🔢 Cálculo'!$AI$4:$AI$203)-1)/4*100,0)+IFERROR((AVERAGEIF('🔢 Cálculo'!$B$4:$B$203,$A$6,'🔢 Cálculo'!$AJ$4:$AJ$203)-1)/4*100,0)+IFERROR((AVERAGEIF('🔢 Cálculo'!$B$4:$B$203,$A$6,'🔢 Cálculo'!$AK$4:$AK$203)-1)/4*100,0)+IFERROR((AVERAGEIF('🔢 Cálculo'!$B$4:$B$203,$A$6,'🔢 Cálculo'!$AL$4:$AL$203)-1)/4*100,0)+IFERROR((AVERAGEIF('🔢 Cálculo'!$B$4:$B$203,$A$6,'🔢 Cálculo'!$AM$4:$AM$203)-1)/4*100,0)+IFERROR((AVERAGEIF('🔢 Cálculo'!$B$4:$B$203,$A$6,'🔢 Cálculo'!$AN$4:$AN$203)-1)/4*100,0))/9,"")</f>
        <v>0</v>
      </c>
      <c r="F27" s="15" t="str">
        <f aca="false">IFERROR(IF(E27="","",IF(E27&lt;25,"Baixo",IF(E27&lt;50,"Moderado",IF(E27&lt;75,"Alto","Crítico")))),"N/A")</f>
        <v>Baixo</v>
      </c>
      <c r="G27" s="15" t="str">
        <f aca="false">IF(F27="Crítico","🔴 AÇÃO IMEDIATA","")</f>
        <v/>
      </c>
      <c r="H27" s="15" t="str">
        <f aca="false">IF(F27="Alto","🟠 PRIORITÁRIO","")</f>
        <v/>
      </c>
      <c r="I27" s="15" t="str">
        <f aca="false">IF(F27="Moderado","⚠️ PLANEJAR","")</f>
        <v/>
      </c>
    </row>
    <row r="28" customFormat="false" ht="15" hidden="false" customHeight="false" outlineLevel="0" collapsed="false">
      <c r="A28" s="5" t="str">
        <f aca="false">$A$6</f>
        <v>Administrativo / Técnico</v>
      </c>
      <c r="B28" s="23" t="s">
        <v>157</v>
      </c>
      <c r="C28" s="15" t="n">
        <f aca="false">COUNTIF('🔢 Cálculo'!$B$4:$B$203,$A$6)</f>
        <v>0</v>
      </c>
      <c r="D28" s="24" t="n">
        <f aca="false">IFERROR((IFERROR(AVERAGEIF('🔢 Cálculo'!$B$4:$B$203,$A$6,'🔢 Cálculo'!$AO$4:$AO$203),0)+IFERROR(AVERAGEIF('🔢 Cálculo'!$B$4:$B$203,$A$6,'🔢 Cálculo'!$AP$4:$AP$203),0)+IFERROR(AVERAGEIF('🔢 Cálculo'!$B$4:$B$203,$A$6,'🔢 Cálculo'!$AQ$4:$AQ$203),0)+IFERROR(AVERAGEIF('🔢 Cálculo'!$B$4:$B$203,$A$6,'🔢 Cálculo'!$AR$4:$AR$203),0))/4,"")</f>
        <v>0</v>
      </c>
      <c r="E28" s="25" t="n">
        <f aca="false">IFERROR((IFERROR((AVERAGEIF('🔢 Cálculo'!$B$4:$B$203,$A$6,'🔢 Cálculo'!$AO$4:$AO$203)-1)/4*100,0)+IFERROR((AVERAGEIF('🔢 Cálculo'!$B$4:$B$203,$A$6,'🔢 Cálculo'!$AP$4:$AP$203)-1)/4*100,0)+IFERROR((AVERAGEIF('🔢 Cálculo'!$B$4:$B$203,$A$6,'🔢 Cálculo'!$AQ$4:$AQ$203)-1)/4*100,0)+IFERROR((AVERAGEIF('🔢 Cálculo'!$B$4:$B$203,$A$6,'🔢 Cálculo'!$AR$4:$AR$203)-1)/4*100,0))/4,"")</f>
        <v>0</v>
      </c>
      <c r="F28" s="15" t="str">
        <f aca="false">IFERROR(IF(E28="","",IF(E28&lt;25,"Baixo",IF(E28&lt;50,"Moderado",IF(E28&lt;75,"Alto","Crítico")))),"N/A")</f>
        <v>Baixo</v>
      </c>
      <c r="G28" s="15" t="str">
        <f aca="false">IF(F28="Crítico","🔴 AÇÃO IMEDIATA","")</f>
        <v/>
      </c>
      <c r="H28" s="15" t="str">
        <f aca="false">IF(F28="Alto","🟠 PRIORITÁRIO","")</f>
        <v/>
      </c>
      <c r="I28" s="15" t="str">
        <f aca="false">IF(F28="Moderado","⚠️ PLANEJAR","")</f>
        <v/>
      </c>
    </row>
    <row r="29" customFormat="false" ht="15" hidden="false" customHeight="false" outlineLevel="0" collapsed="false">
      <c r="A29" s="13" t="n">
        <f aca="false">$A$7</f>
        <v>0</v>
      </c>
      <c r="B29" s="20" t="s">
        <v>61</v>
      </c>
      <c r="C29" s="12" t="n">
        <f aca="false">COUNTIF('🔢 Cálculo'!$B$4:$B$203,$A$7)</f>
        <v>200</v>
      </c>
      <c r="D29" s="21" t="n">
        <f aca="false">IFERROR((IFERROR(AVERAGEIF('🔢 Cálculo'!$B$4:$B$203,$A$7,'🔢 Cálculo'!$D$4:$D$203),0)+IFERROR(AVERAGEIF('🔢 Cálculo'!$B$4:$B$203,$A$7,'🔢 Cálculo'!$E$4:$E$203),0)+IFERROR(AVERAGEIF('🔢 Cálculo'!$B$4:$B$203,$A$7,'🔢 Cálculo'!$F$4:$F$203),0)+IFERROR(AVERAGEIF('🔢 Cálculo'!$B$4:$B$203,$A$7,'🔢 Cálculo'!$G$4:$G$203),0)+IFERROR(AVERAGEIF('🔢 Cálculo'!$B$4:$B$203,$A$7,'🔢 Cálculo'!$H$4:$H$203),0)+IFERROR(AVERAGEIF('🔢 Cálculo'!$B$4:$B$203,$A$7,'🔢 Cálculo'!$I$4:$I$203),0))/6,"")</f>
        <v>0</v>
      </c>
      <c r="E29" s="22" t="n">
        <f aca="false">IFERROR((IFERROR((AVERAGEIF('🔢 Cálculo'!$B$4:$B$203,$A$7,'🔢 Cálculo'!$D$4:$D$203)-1)/4*100,0)+IFERROR((AVERAGEIF('🔢 Cálculo'!$B$4:$B$203,$A$7,'🔢 Cálculo'!$E$4:$E$203)-1)/4*100,0)+IFERROR((AVERAGEIF('🔢 Cálculo'!$B$4:$B$203,$A$7,'🔢 Cálculo'!$F$4:$F$203)-1)/4*100,0)+IFERROR((AVERAGEIF('🔢 Cálculo'!$B$4:$B$203,$A$7,'🔢 Cálculo'!$G$4:$G$203)-1)/4*100,0)+IFERROR((AVERAGEIF('🔢 Cálculo'!$B$4:$B$203,$A$7,'🔢 Cálculo'!$H$4:$H$203)-1)/4*100,0)+IFERROR((AVERAGEIF('🔢 Cálculo'!$B$4:$B$203,$A$7,'🔢 Cálculo'!$I$4:$I$203)-1)/4*100,0))/6,"")</f>
        <v>0</v>
      </c>
      <c r="F29" s="12" t="str">
        <f aca="false">IFERROR(IF(E29="","",IF(E29&lt;25,"Baixo",IF(E29&lt;50,"Moderado",IF(E29&lt;75,"Alto","Crítico")))),"N/A")</f>
        <v>Baixo</v>
      </c>
      <c r="G29" s="12" t="str">
        <f aca="false">IF(F29="Crítico","🔴 AÇÃO IMEDIATA","")</f>
        <v/>
      </c>
      <c r="H29" s="12" t="str">
        <f aca="false">IF(F29="Alto","🟠 PRIORITÁRIO","")</f>
        <v/>
      </c>
      <c r="I29" s="12" t="str">
        <f aca="false">IF(F29="Moderado","⚠️ PLANEJAR","")</f>
        <v/>
      </c>
    </row>
    <row r="30" customFormat="false" ht="15" hidden="false" customHeight="false" outlineLevel="0" collapsed="false">
      <c r="A30" s="13" t="n">
        <f aca="false">$A$7</f>
        <v>0</v>
      </c>
      <c r="B30" s="20" t="s">
        <v>87</v>
      </c>
      <c r="C30" s="12" t="n">
        <f aca="false">COUNTIF('🔢 Cálculo'!$B$4:$B$203,$A$7)</f>
        <v>200</v>
      </c>
      <c r="D30" s="21" t="n">
        <f aca="false">IFERROR((IFERROR(AVERAGEIF('🔢 Cálculo'!$B$4:$B$203,$A$7,'🔢 Cálculo'!$J$4:$J$203),0)+IFERROR(AVERAGEIF('🔢 Cálculo'!$B$4:$B$203,$A$7,'🔢 Cálculo'!$K$4:$K$203),0)+IFERROR(AVERAGEIF('🔢 Cálculo'!$B$4:$B$203,$A$7,'🔢 Cálculo'!$L$4:$L$203),0)+IFERROR(AVERAGEIF('🔢 Cálculo'!$B$4:$B$203,$A$7,'🔢 Cálculo'!$M$4:$M$203),0)+IFERROR(AVERAGEIF('🔢 Cálculo'!$B$4:$B$203,$A$7,'🔢 Cálculo'!$N$4:$N$203),0)+IFERROR(AVERAGEIF('🔢 Cálculo'!$B$4:$B$203,$A$7,'🔢 Cálculo'!$O$4:$O$203),0))/6,"")</f>
        <v>0</v>
      </c>
      <c r="E30" s="22" t="n">
        <f aca="false">IFERROR((IFERROR((5-AVERAGEIF('🔢 Cálculo'!$B$4:$B$203,$A$7,'🔢 Cálculo'!$J$4:$J$203))/4*100,0)+IFERROR((5-AVERAGEIF('🔢 Cálculo'!$B$4:$B$203,$A$7,'🔢 Cálculo'!$K$4:$K$203))/4*100,0)+IFERROR((5-AVERAGEIF('🔢 Cálculo'!$B$4:$B$203,$A$7,'🔢 Cálculo'!$L$4:$L$203))/4*100,0)+IFERROR((5-AVERAGEIF('🔢 Cálculo'!$B$4:$B$203,$A$7,'🔢 Cálculo'!$M$4:$M$203))/4*100,0)+IFERROR((5-AVERAGEIF('🔢 Cálculo'!$B$4:$B$203,$A$7,'🔢 Cálculo'!$N$4:$N$203))/4*100,0)+IFERROR((5-AVERAGEIF('🔢 Cálculo'!$B$4:$B$203,$A$7,'🔢 Cálculo'!$O$4:$O$203))/4*100,0))/6,"")</f>
        <v>0</v>
      </c>
      <c r="F30" s="12" t="str">
        <f aca="false">IFERROR(IF(E30="","",IF(E30&lt;25,"Baixo",IF(E30&lt;50,"Moderado",IF(E30&lt;75,"Alto","Crítico")))),"N/A")</f>
        <v>Baixo</v>
      </c>
      <c r="G30" s="12" t="str">
        <f aca="false">IF(F30="Crítico","🔴 AÇÃO IMEDIATA","")</f>
        <v/>
      </c>
      <c r="H30" s="12" t="str">
        <f aca="false">IF(F30="Alto","🟠 PRIORITÁRIO","")</f>
        <v/>
      </c>
      <c r="I30" s="12" t="str">
        <f aca="false">IF(F30="Moderado","⚠️ PLANEJAR","")</f>
        <v/>
      </c>
    </row>
    <row r="31" customFormat="false" ht="15" hidden="false" customHeight="false" outlineLevel="0" collapsed="false">
      <c r="A31" s="13" t="n">
        <f aca="false">$A$7</f>
        <v>0</v>
      </c>
      <c r="B31" s="20" t="s">
        <v>103</v>
      </c>
      <c r="C31" s="12" t="n">
        <f aca="false">COUNTIF('🔢 Cálculo'!$B$4:$B$203,$A$7)</f>
        <v>200</v>
      </c>
      <c r="D31" s="21" t="n">
        <f aca="false">IFERROR((IFERROR(AVERAGEIF('🔢 Cálculo'!$B$4:$B$203,$A$7,'🔢 Cálculo'!$P$4:$P$203),0)+IFERROR(AVERAGEIF('🔢 Cálculo'!$B$4:$B$203,$A$7,'🔢 Cálculo'!$Q$4:$Q$203),0)+IFERROR(AVERAGEIF('🔢 Cálculo'!$B$4:$B$203,$A$7,'🔢 Cálculo'!$R$4:$R$203),0)+IFERROR(AVERAGEIF('🔢 Cálculo'!$B$4:$B$203,$A$7,'🔢 Cálculo'!$S$4:$S$203),0)+IFERROR(AVERAGEIF('🔢 Cálculo'!$B$4:$B$203,$A$7,'🔢 Cálculo'!$T$4:$T$203),0)+IFERROR(AVERAGEIF('🔢 Cálculo'!$B$4:$B$203,$A$7,'🔢 Cálculo'!$U$4:$U$203),0))/6,"")</f>
        <v>0</v>
      </c>
      <c r="E31" s="22" t="n">
        <f aca="false">IFERROR((IFERROR((5-AVERAGEIF('🔢 Cálculo'!$B$4:$B$203,$A$7,'🔢 Cálculo'!$P$4:$P$203))/4*100,0)+IFERROR((5-AVERAGEIF('🔢 Cálculo'!$B$4:$B$203,$A$7,'🔢 Cálculo'!$Q$4:$Q$203))/4*100,0)+IFERROR((5-AVERAGEIF('🔢 Cálculo'!$B$4:$B$203,$A$7,'🔢 Cálculo'!$R$4:$R$203))/4*100,0)+IFERROR((5-AVERAGEIF('🔢 Cálculo'!$B$4:$B$203,$A$7,'🔢 Cálculo'!$S$4:$S$203))/4*100,0)+IFERROR((5-AVERAGEIF('🔢 Cálculo'!$B$4:$B$203,$A$7,'🔢 Cálculo'!$T$4:$T$203))/4*100,0)+IFERROR((5-AVERAGEIF('🔢 Cálculo'!$B$4:$B$203,$A$7,'🔢 Cálculo'!$U$4:$U$203))/4*100,0))/6,"")</f>
        <v>0</v>
      </c>
      <c r="F31" s="12" t="str">
        <f aca="false">IFERROR(IF(E31="","",IF(E31&lt;25,"Baixo",IF(E31&lt;50,"Moderado",IF(E31&lt;75,"Alto","Crítico")))),"N/A")</f>
        <v>Baixo</v>
      </c>
      <c r="G31" s="12" t="str">
        <f aca="false">IF(F31="Crítico","🔴 AÇÃO IMEDIATA","")</f>
        <v/>
      </c>
      <c r="H31" s="12" t="str">
        <f aca="false">IF(F31="Alto","🟠 PRIORITÁRIO","")</f>
        <v/>
      </c>
      <c r="I31" s="12" t="str">
        <f aca="false">IF(F31="Moderado","⚠️ PLANEJAR","")</f>
        <v/>
      </c>
    </row>
    <row r="32" customFormat="false" ht="15" hidden="false" customHeight="false" outlineLevel="0" collapsed="false">
      <c r="A32" s="13" t="n">
        <f aca="false">$A$7</f>
        <v>0</v>
      </c>
      <c r="B32" s="20" t="s">
        <v>116</v>
      </c>
      <c r="C32" s="12" t="n">
        <f aca="false">COUNTIF('🔢 Cálculo'!$B$4:$B$203,$A$7)</f>
        <v>200</v>
      </c>
      <c r="D32" s="21" t="n">
        <f aca="false">IFERROR((IFERROR(AVERAGEIF('🔢 Cálculo'!$B$4:$B$203,$A$7,'🔢 Cálculo'!$V$4:$V$203),0)+IFERROR(AVERAGEIF('🔢 Cálculo'!$B$4:$B$203,$A$7,'🔢 Cálculo'!$W$4:$W$203),0)+IFERROR(AVERAGEIF('🔢 Cálculo'!$B$4:$B$203,$A$7,'🔢 Cálculo'!$X$4:$X$203),0)+IFERROR(AVERAGEIF('🔢 Cálculo'!$B$4:$B$203,$A$7,'🔢 Cálculo'!$Y$4:$Y$203),0)+IFERROR(AVERAGEIF('🔢 Cálculo'!$B$4:$B$203,$A$7,'🔢 Cálculo'!$Z$4:$Z$203),0))/5,"")</f>
        <v>0</v>
      </c>
      <c r="E32" s="22" t="n">
        <f aca="false">IFERROR((IFERROR((5-AVERAGEIF('🔢 Cálculo'!$B$4:$B$203,$A$7,'🔢 Cálculo'!$V$4:$V$203))/4*100,0)+IFERROR((5-AVERAGEIF('🔢 Cálculo'!$B$4:$B$203,$A$7,'🔢 Cálculo'!$W$4:$W$203))/4*100,0)+IFERROR((5-AVERAGEIF('🔢 Cálculo'!$B$4:$B$203,$A$7,'🔢 Cálculo'!$X$4:$X$203))/4*100,0)+IFERROR((5-AVERAGEIF('🔢 Cálculo'!$B$4:$B$203,$A$7,'🔢 Cálculo'!$Y$4:$Y$203))/4*100,0)+IFERROR((5-AVERAGEIF('🔢 Cálculo'!$B$4:$B$203,$A$7,'🔢 Cálculo'!$Z$4:$Z$203))/4*100,0))/5,"")</f>
        <v>0</v>
      </c>
      <c r="F32" s="12" t="str">
        <f aca="false">IFERROR(IF(E32="","",IF(E32&lt;25,"Baixo",IF(E32&lt;50,"Moderado",IF(E32&lt;75,"Alto","Crítico")))),"N/A")</f>
        <v>Baixo</v>
      </c>
      <c r="G32" s="12" t="str">
        <f aca="false">IF(F32="Crítico","🔴 AÇÃO IMEDIATA","")</f>
        <v/>
      </c>
      <c r="H32" s="12" t="str">
        <f aca="false">IF(F32="Alto","🟠 PRIORITÁRIO","")</f>
        <v/>
      </c>
      <c r="I32" s="12" t="str">
        <f aca="false">IF(F32="Moderado","⚠️ PLANEJAR","")</f>
        <v/>
      </c>
    </row>
    <row r="33" customFormat="false" ht="15" hidden="false" customHeight="false" outlineLevel="0" collapsed="false">
      <c r="A33" s="13" t="n">
        <f aca="false">$A$7</f>
        <v>0</v>
      </c>
      <c r="B33" s="20" t="s">
        <v>127</v>
      </c>
      <c r="C33" s="12" t="n">
        <f aca="false">COUNTIF('🔢 Cálculo'!$B$4:$B$203,$A$7)</f>
        <v>200</v>
      </c>
      <c r="D33" s="21" t="n">
        <f aca="false">IFERROR((IFERROR(AVERAGEIF('🔢 Cálculo'!$B$4:$B$203,$A$7,'🔢 Cálculo'!$AA$4:$AA$203),0)+IFERROR(AVERAGEIF('🔢 Cálculo'!$B$4:$B$203,$A$7,'🔢 Cálculo'!$AB$4:$AB$203),0)+IFERROR(AVERAGEIF('🔢 Cálculo'!$B$4:$B$203,$A$7,'🔢 Cálculo'!$AC$4:$AC$203),0)+IFERROR(AVERAGEIF('🔢 Cálculo'!$B$4:$B$203,$A$7,'🔢 Cálculo'!$AD$4:$AD$203),0)+IFERROR(AVERAGEIF('🔢 Cálculo'!$B$4:$B$203,$A$7,'🔢 Cálculo'!$AE$4:$AE$203),0))/5,"")</f>
        <v>0</v>
      </c>
      <c r="E33" s="22" t="n">
        <f aca="false">IFERROR((IFERROR((5-AVERAGEIF('🔢 Cálculo'!$B$4:$B$203,$A$7,'🔢 Cálculo'!$AA$4:$AA$203))/4*100,0)+IFERROR((5-AVERAGEIF('🔢 Cálculo'!$B$4:$B$203,$A$7,'🔢 Cálculo'!$AB$4:$AB$203))/4*100,0)+IFERROR((5-AVERAGEIF('🔢 Cálculo'!$B$4:$B$203,$A$7,'🔢 Cálculo'!$AC$4:$AC$203))/4*100,0)+IFERROR((5-AVERAGEIF('🔢 Cálculo'!$B$4:$B$203,$A$7,'🔢 Cálculo'!$AD$4:$AD$203))/4*100,0)+IFERROR((AVERAGEIF('🔢 Cálculo'!$B$4:$B$203,$A$7,'🔢 Cálculo'!$AE$4:$AE$203)-1)/4*100,0))/5,"")</f>
        <v>0</v>
      </c>
      <c r="F33" s="12" t="str">
        <f aca="false">IFERROR(IF(E33="","",IF(E33&lt;25,"Baixo",IF(E33&lt;50,"Moderado",IF(E33&lt;75,"Alto","Crítico")))),"N/A")</f>
        <v>Baixo</v>
      </c>
      <c r="G33" s="12" t="str">
        <f aca="false">IF(F33="Crítico","🔴 AÇÃO IMEDIATA","")</f>
        <v/>
      </c>
      <c r="H33" s="12" t="str">
        <f aca="false">IF(F33="Alto","🟠 PRIORITÁRIO","")</f>
        <v/>
      </c>
      <c r="I33" s="12" t="str">
        <f aca="false">IF(F33="Moderado","⚠️ PLANEJAR","")</f>
        <v/>
      </c>
    </row>
    <row r="34" customFormat="false" ht="15" hidden="false" customHeight="false" outlineLevel="0" collapsed="false">
      <c r="A34" s="13" t="n">
        <f aca="false">$A$7</f>
        <v>0</v>
      </c>
      <c r="B34" s="20" t="s">
        <v>138</v>
      </c>
      <c r="C34" s="12" t="n">
        <f aca="false">COUNTIF('🔢 Cálculo'!$B$4:$B$203,$A$7)</f>
        <v>200</v>
      </c>
      <c r="D34" s="21" t="n">
        <f aca="false">IFERROR((IFERROR(AVERAGEIF('🔢 Cálculo'!$B$4:$B$203,$A$7,'🔢 Cálculo'!$AF$4:$AF$203),0)+IFERROR(AVERAGEIF('🔢 Cálculo'!$B$4:$B$203,$A$7,'🔢 Cálculo'!$AG$4:$AG$203),0)+IFERROR(AVERAGEIF('🔢 Cálculo'!$B$4:$B$203,$A$7,'🔢 Cálculo'!$AH$4:$AH$203),0)+IFERROR(AVERAGEIF('🔢 Cálculo'!$B$4:$B$203,$A$7,'🔢 Cálculo'!$AI$4:$AI$203),0)+IFERROR(AVERAGEIF('🔢 Cálculo'!$B$4:$B$203,$A$7,'🔢 Cálculo'!$AJ$4:$AJ$203),0)+IFERROR(AVERAGEIF('🔢 Cálculo'!$B$4:$B$203,$A$7,'🔢 Cálculo'!$AK$4:$AK$203),0)+IFERROR(AVERAGEIF('🔢 Cálculo'!$B$4:$B$203,$A$7,'🔢 Cálculo'!$AL$4:$AL$203),0)+IFERROR(AVERAGEIF('🔢 Cálculo'!$B$4:$B$203,$A$7,'🔢 Cálculo'!$AM$4:$AM$203),0)+IFERROR(AVERAGEIF('🔢 Cálculo'!$B$4:$B$203,$A$7,'🔢 Cálculo'!$AN$4:$AN$203),0))/9,"")</f>
        <v>0</v>
      </c>
      <c r="E34" s="22" t="n">
        <f aca="false">IFERROR((IFERROR((5-AVERAGEIF('🔢 Cálculo'!$B$4:$B$203,$A$7,'🔢 Cálculo'!$AF$4:$AF$203))/4*100,0)+IFERROR((AVERAGEIF('🔢 Cálculo'!$B$4:$B$203,$A$7,'🔢 Cálculo'!$AG$4:$AG$203)-1)/4*100,0)+IFERROR((AVERAGEIF('🔢 Cálculo'!$B$4:$B$203,$A$7,'🔢 Cálculo'!$AH$4:$AH$203)-1)/4*100,0)+IFERROR((AVERAGEIF('🔢 Cálculo'!$B$4:$B$203,$A$7,'🔢 Cálculo'!$AI$4:$AI$203)-1)/4*100,0)+IFERROR((AVERAGEIF('🔢 Cálculo'!$B$4:$B$203,$A$7,'🔢 Cálculo'!$AJ$4:$AJ$203)-1)/4*100,0)+IFERROR((AVERAGEIF('🔢 Cálculo'!$B$4:$B$203,$A$7,'🔢 Cálculo'!$AK$4:$AK$203)-1)/4*100,0)+IFERROR((AVERAGEIF('🔢 Cálculo'!$B$4:$B$203,$A$7,'🔢 Cálculo'!$AL$4:$AL$203)-1)/4*100,0)+IFERROR((AVERAGEIF('🔢 Cálculo'!$B$4:$B$203,$A$7,'🔢 Cálculo'!$AM$4:$AM$203)-1)/4*100,0)+IFERROR((AVERAGEIF('🔢 Cálculo'!$B$4:$B$203,$A$7,'🔢 Cálculo'!$AN$4:$AN$203)-1)/4*100,0))/9,"")</f>
        <v>0</v>
      </c>
      <c r="F34" s="12" t="str">
        <f aca="false">IFERROR(IF(E34="","",IF(E34&lt;25,"Baixo",IF(E34&lt;50,"Moderado",IF(E34&lt;75,"Alto","Crítico")))),"N/A")</f>
        <v>Baixo</v>
      </c>
      <c r="G34" s="12" t="str">
        <f aca="false">IF(F34="Crítico","🔴 AÇÃO IMEDIATA","")</f>
        <v/>
      </c>
      <c r="H34" s="12" t="str">
        <f aca="false">IF(F34="Alto","🟠 PRIORITÁRIO","")</f>
        <v/>
      </c>
      <c r="I34" s="12" t="str">
        <f aca="false">IF(F34="Moderado","⚠️ PLANEJAR","")</f>
        <v/>
      </c>
    </row>
    <row r="35" customFormat="false" ht="15" hidden="false" customHeight="false" outlineLevel="0" collapsed="false">
      <c r="A35" s="13" t="n">
        <f aca="false">$A$7</f>
        <v>0</v>
      </c>
      <c r="B35" s="20" t="s">
        <v>157</v>
      </c>
      <c r="C35" s="12" t="n">
        <f aca="false">COUNTIF('🔢 Cálculo'!$B$4:$B$203,$A$7)</f>
        <v>200</v>
      </c>
      <c r="D35" s="21" t="n">
        <f aca="false">IFERROR((IFERROR(AVERAGEIF('🔢 Cálculo'!$B$4:$B$203,$A$7,'🔢 Cálculo'!$AO$4:$AO$203),0)+IFERROR(AVERAGEIF('🔢 Cálculo'!$B$4:$B$203,$A$7,'🔢 Cálculo'!$AP$4:$AP$203),0)+IFERROR(AVERAGEIF('🔢 Cálculo'!$B$4:$B$203,$A$7,'🔢 Cálculo'!$AQ$4:$AQ$203),0)+IFERROR(AVERAGEIF('🔢 Cálculo'!$B$4:$B$203,$A$7,'🔢 Cálculo'!$AR$4:$AR$203),0))/4,"")</f>
        <v>0</v>
      </c>
      <c r="E35" s="22" t="n">
        <f aca="false">IFERROR((IFERROR((AVERAGEIF('🔢 Cálculo'!$B$4:$B$203,$A$7,'🔢 Cálculo'!$AO$4:$AO$203)-1)/4*100,0)+IFERROR((AVERAGEIF('🔢 Cálculo'!$B$4:$B$203,$A$7,'🔢 Cálculo'!$AP$4:$AP$203)-1)/4*100,0)+IFERROR((AVERAGEIF('🔢 Cálculo'!$B$4:$B$203,$A$7,'🔢 Cálculo'!$AQ$4:$AQ$203)-1)/4*100,0)+IFERROR((AVERAGEIF('🔢 Cálculo'!$B$4:$B$203,$A$7,'🔢 Cálculo'!$AR$4:$AR$203)-1)/4*100,0))/4,"")</f>
        <v>0</v>
      </c>
      <c r="F35" s="12" t="str">
        <f aca="false">IFERROR(IF(E35="","",IF(E35&lt;25,"Baixo",IF(E35&lt;50,"Moderado",IF(E35&lt;75,"Alto","Crítico")))),"N/A")</f>
        <v>Baixo</v>
      </c>
      <c r="G35" s="12" t="str">
        <f aca="false">IF(F35="Crítico","🔴 AÇÃO IMEDIATA","")</f>
        <v/>
      </c>
      <c r="H35" s="12" t="str">
        <f aca="false">IF(F35="Alto","🟠 PRIORITÁRIO","")</f>
        <v/>
      </c>
      <c r="I35" s="12" t="str">
        <f aca="false">IF(F35="Moderado","⚠️ PLANEJAR","")</f>
        <v/>
      </c>
    </row>
    <row r="36" customFormat="false" ht="15" hidden="false" customHeight="false" outlineLevel="0" collapsed="false">
      <c r="A36" s="5" t="n">
        <f aca="false">$A$8</f>
        <v>0</v>
      </c>
      <c r="B36" s="23" t="s">
        <v>61</v>
      </c>
      <c r="C36" s="15" t="n">
        <f aca="false">COUNTIF('🔢 Cálculo'!$B$4:$B$203,$A$8)</f>
        <v>200</v>
      </c>
      <c r="D36" s="24" t="n">
        <f aca="false">IFERROR((IFERROR(AVERAGEIF('🔢 Cálculo'!$B$4:$B$203,$A$8,'🔢 Cálculo'!$D$4:$D$203),0)+IFERROR(AVERAGEIF('🔢 Cálculo'!$B$4:$B$203,$A$8,'🔢 Cálculo'!$E$4:$E$203),0)+IFERROR(AVERAGEIF('🔢 Cálculo'!$B$4:$B$203,$A$8,'🔢 Cálculo'!$F$4:$F$203),0)+IFERROR(AVERAGEIF('🔢 Cálculo'!$B$4:$B$203,$A$8,'🔢 Cálculo'!$G$4:$G$203),0)+IFERROR(AVERAGEIF('🔢 Cálculo'!$B$4:$B$203,$A$8,'🔢 Cálculo'!$H$4:$H$203),0)+IFERROR(AVERAGEIF('🔢 Cálculo'!$B$4:$B$203,$A$8,'🔢 Cálculo'!$I$4:$I$203),0))/6,"")</f>
        <v>0</v>
      </c>
      <c r="E36" s="25" t="n">
        <f aca="false">IFERROR((IFERROR((AVERAGEIF('🔢 Cálculo'!$B$4:$B$203,$A$8,'🔢 Cálculo'!$D$4:$D$203)-1)/4*100,0)+IFERROR((AVERAGEIF('🔢 Cálculo'!$B$4:$B$203,$A$8,'🔢 Cálculo'!$E$4:$E$203)-1)/4*100,0)+IFERROR((AVERAGEIF('🔢 Cálculo'!$B$4:$B$203,$A$8,'🔢 Cálculo'!$F$4:$F$203)-1)/4*100,0)+IFERROR((AVERAGEIF('🔢 Cálculo'!$B$4:$B$203,$A$8,'🔢 Cálculo'!$G$4:$G$203)-1)/4*100,0)+IFERROR((AVERAGEIF('🔢 Cálculo'!$B$4:$B$203,$A$8,'🔢 Cálculo'!$H$4:$H$203)-1)/4*100,0)+IFERROR((AVERAGEIF('🔢 Cálculo'!$B$4:$B$203,$A$8,'🔢 Cálculo'!$I$4:$I$203)-1)/4*100,0))/6,"")</f>
        <v>0</v>
      </c>
      <c r="F36" s="15" t="str">
        <f aca="false">IFERROR(IF(E36="","",IF(E36&lt;25,"Baixo",IF(E36&lt;50,"Moderado",IF(E36&lt;75,"Alto","Crítico")))),"N/A")</f>
        <v>Baixo</v>
      </c>
      <c r="G36" s="15" t="str">
        <f aca="false">IF(F36="Crítico","🔴 AÇÃO IMEDIATA","")</f>
        <v/>
      </c>
      <c r="H36" s="15" t="str">
        <f aca="false">IF(F36="Alto","🟠 PRIORITÁRIO","")</f>
        <v/>
      </c>
      <c r="I36" s="15" t="str">
        <f aca="false">IF(F36="Moderado","⚠️ PLANEJAR","")</f>
        <v/>
      </c>
    </row>
    <row r="37" customFormat="false" ht="15" hidden="false" customHeight="false" outlineLevel="0" collapsed="false">
      <c r="A37" s="5" t="n">
        <f aca="false">$A$8</f>
        <v>0</v>
      </c>
      <c r="B37" s="23" t="s">
        <v>87</v>
      </c>
      <c r="C37" s="15" t="n">
        <f aca="false">COUNTIF('🔢 Cálculo'!$B$4:$B$203,$A$8)</f>
        <v>200</v>
      </c>
      <c r="D37" s="24" t="n">
        <f aca="false">IFERROR((IFERROR(AVERAGEIF('🔢 Cálculo'!$B$4:$B$203,$A$8,'🔢 Cálculo'!$J$4:$J$203),0)+IFERROR(AVERAGEIF('🔢 Cálculo'!$B$4:$B$203,$A$8,'🔢 Cálculo'!$K$4:$K$203),0)+IFERROR(AVERAGEIF('🔢 Cálculo'!$B$4:$B$203,$A$8,'🔢 Cálculo'!$L$4:$L$203),0)+IFERROR(AVERAGEIF('🔢 Cálculo'!$B$4:$B$203,$A$8,'🔢 Cálculo'!$M$4:$M$203),0)+IFERROR(AVERAGEIF('🔢 Cálculo'!$B$4:$B$203,$A$8,'🔢 Cálculo'!$N$4:$N$203),0)+IFERROR(AVERAGEIF('🔢 Cálculo'!$B$4:$B$203,$A$8,'🔢 Cálculo'!$O$4:$O$203),0))/6,"")</f>
        <v>0</v>
      </c>
      <c r="E37" s="25" t="n">
        <f aca="false">IFERROR((IFERROR((5-AVERAGEIF('🔢 Cálculo'!$B$4:$B$203,$A$8,'🔢 Cálculo'!$J$4:$J$203))/4*100,0)+IFERROR((5-AVERAGEIF('🔢 Cálculo'!$B$4:$B$203,$A$8,'🔢 Cálculo'!$K$4:$K$203))/4*100,0)+IFERROR((5-AVERAGEIF('🔢 Cálculo'!$B$4:$B$203,$A$8,'🔢 Cálculo'!$L$4:$L$203))/4*100,0)+IFERROR((5-AVERAGEIF('🔢 Cálculo'!$B$4:$B$203,$A$8,'🔢 Cálculo'!$M$4:$M$203))/4*100,0)+IFERROR((5-AVERAGEIF('🔢 Cálculo'!$B$4:$B$203,$A$8,'🔢 Cálculo'!$N$4:$N$203))/4*100,0)+IFERROR((5-AVERAGEIF('🔢 Cálculo'!$B$4:$B$203,$A$8,'🔢 Cálculo'!$O$4:$O$203))/4*100,0))/6,"")</f>
        <v>0</v>
      </c>
      <c r="F37" s="15" t="str">
        <f aca="false">IFERROR(IF(E37="","",IF(E37&lt;25,"Baixo",IF(E37&lt;50,"Moderado",IF(E37&lt;75,"Alto","Crítico")))),"N/A")</f>
        <v>Baixo</v>
      </c>
      <c r="G37" s="15" t="str">
        <f aca="false">IF(F37="Crítico","🔴 AÇÃO IMEDIATA","")</f>
        <v/>
      </c>
      <c r="H37" s="15" t="str">
        <f aca="false">IF(F37="Alto","🟠 PRIORITÁRIO","")</f>
        <v/>
      </c>
      <c r="I37" s="15" t="str">
        <f aca="false">IF(F37="Moderado","⚠️ PLANEJAR","")</f>
        <v/>
      </c>
    </row>
    <row r="38" customFormat="false" ht="15" hidden="false" customHeight="false" outlineLevel="0" collapsed="false">
      <c r="A38" s="5" t="n">
        <f aca="false">$A$8</f>
        <v>0</v>
      </c>
      <c r="B38" s="23" t="s">
        <v>103</v>
      </c>
      <c r="C38" s="15" t="n">
        <f aca="false">COUNTIF('🔢 Cálculo'!$B$4:$B$203,$A$8)</f>
        <v>200</v>
      </c>
      <c r="D38" s="24" t="n">
        <f aca="false">IFERROR((IFERROR(AVERAGEIF('🔢 Cálculo'!$B$4:$B$203,$A$8,'🔢 Cálculo'!$P$4:$P$203),0)+IFERROR(AVERAGEIF('🔢 Cálculo'!$B$4:$B$203,$A$8,'🔢 Cálculo'!$Q$4:$Q$203),0)+IFERROR(AVERAGEIF('🔢 Cálculo'!$B$4:$B$203,$A$8,'🔢 Cálculo'!$R$4:$R$203),0)+IFERROR(AVERAGEIF('🔢 Cálculo'!$B$4:$B$203,$A$8,'🔢 Cálculo'!$S$4:$S$203),0)+IFERROR(AVERAGEIF('🔢 Cálculo'!$B$4:$B$203,$A$8,'🔢 Cálculo'!$T$4:$T$203),0)+IFERROR(AVERAGEIF('🔢 Cálculo'!$B$4:$B$203,$A$8,'🔢 Cálculo'!$U$4:$U$203),0))/6,"")</f>
        <v>0</v>
      </c>
      <c r="E38" s="25" t="n">
        <f aca="false">IFERROR((IFERROR((5-AVERAGEIF('🔢 Cálculo'!$B$4:$B$203,$A$8,'🔢 Cálculo'!$P$4:$P$203))/4*100,0)+IFERROR((5-AVERAGEIF('🔢 Cálculo'!$B$4:$B$203,$A$8,'🔢 Cálculo'!$Q$4:$Q$203))/4*100,0)+IFERROR((5-AVERAGEIF('🔢 Cálculo'!$B$4:$B$203,$A$8,'🔢 Cálculo'!$R$4:$R$203))/4*100,0)+IFERROR((5-AVERAGEIF('🔢 Cálculo'!$B$4:$B$203,$A$8,'🔢 Cálculo'!$S$4:$S$203))/4*100,0)+IFERROR((5-AVERAGEIF('🔢 Cálculo'!$B$4:$B$203,$A$8,'🔢 Cálculo'!$T$4:$T$203))/4*100,0)+IFERROR((5-AVERAGEIF('🔢 Cálculo'!$B$4:$B$203,$A$8,'🔢 Cálculo'!$U$4:$U$203))/4*100,0))/6,"")</f>
        <v>0</v>
      </c>
      <c r="F38" s="15" t="str">
        <f aca="false">IFERROR(IF(E38="","",IF(E38&lt;25,"Baixo",IF(E38&lt;50,"Moderado",IF(E38&lt;75,"Alto","Crítico")))),"N/A")</f>
        <v>Baixo</v>
      </c>
      <c r="G38" s="15" t="str">
        <f aca="false">IF(F38="Crítico","🔴 AÇÃO IMEDIATA","")</f>
        <v/>
      </c>
      <c r="H38" s="15" t="str">
        <f aca="false">IF(F38="Alto","🟠 PRIORITÁRIO","")</f>
        <v/>
      </c>
      <c r="I38" s="15" t="str">
        <f aca="false">IF(F38="Moderado","⚠️ PLANEJAR","")</f>
        <v/>
      </c>
    </row>
    <row r="39" customFormat="false" ht="15" hidden="false" customHeight="false" outlineLevel="0" collapsed="false">
      <c r="A39" s="5" t="n">
        <f aca="false">$A$8</f>
        <v>0</v>
      </c>
      <c r="B39" s="23" t="s">
        <v>116</v>
      </c>
      <c r="C39" s="15" t="n">
        <f aca="false">COUNTIF('🔢 Cálculo'!$B$4:$B$203,$A$8)</f>
        <v>200</v>
      </c>
      <c r="D39" s="24" t="n">
        <f aca="false">IFERROR((IFERROR(AVERAGEIF('🔢 Cálculo'!$B$4:$B$203,$A$8,'🔢 Cálculo'!$V$4:$V$203),0)+IFERROR(AVERAGEIF('🔢 Cálculo'!$B$4:$B$203,$A$8,'🔢 Cálculo'!$W$4:$W$203),0)+IFERROR(AVERAGEIF('🔢 Cálculo'!$B$4:$B$203,$A$8,'🔢 Cálculo'!$X$4:$X$203),0)+IFERROR(AVERAGEIF('🔢 Cálculo'!$B$4:$B$203,$A$8,'🔢 Cálculo'!$Y$4:$Y$203),0)+IFERROR(AVERAGEIF('🔢 Cálculo'!$B$4:$B$203,$A$8,'🔢 Cálculo'!$Z$4:$Z$203),0))/5,"")</f>
        <v>0</v>
      </c>
      <c r="E39" s="25" t="n">
        <f aca="false">IFERROR((IFERROR((5-AVERAGEIF('🔢 Cálculo'!$B$4:$B$203,$A$8,'🔢 Cálculo'!$V$4:$V$203))/4*100,0)+IFERROR((5-AVERAGEIF('🔢 Cálculo'!$B$4:$B$203,$A$8,'🔢 Cálculo'!$W$4:$W$203))/4*100,0)+IFERROR((5-AVERAGEIF('🔢 Cálculo'!$B$4:$B$203,$A$8,'🔢 Cálculo'!$X$4:$X$203))/4*100,0)+IFERROR((5-AVERAGEIF('🔢 Cálculo'!$B$4:$B$203,$A$8,'🔢 Cálculo'!$Y$4:$Y$203))/4*100,0)+IFERROR((5-AVERAGEIF('🔢 Cálculo'!$B$4:$B$203,$A$8,'🔢 Cálculo'!$Z$4:$Z$203))/4*100,0))/5,"")</f>
        <v>0</v>
      </c>
      <c r="F39" s="15" t="str">
        <f aca="false">IFERROR(IF(E39="","",IF(E39&lt;25,"Baixo",IF(E39&lt;50,"Moderado",IF(E39&lt;75,"Alto","Crítico")))),"N/A")</f>
        <v>Baixo</v>
      </c>
      <c r="G39" s="15" t="str">
        <f aca="false">IF(F39="Crítico","🔴 AÇÃO IMEDIATA","")</f>
        <v/>
      </c>
      <c r="H39" s="15" t="str">
        <f aca="false">IF(F39="Alto","🟠 PRIORITÁRIO","")</f>
        <v/>
      </c>
      <c r="I39" s="15" t="str">
        <f aca="false">IF(F39="Moderado","⚠️ PLANEJAR","")</f>
        <v/>
      </c>
    </row>
    <row r="40" customFormat="false" ht="15" hidden="false" customHeight="false" outlineLevel="0" collapsed="false">
      <c r="A40" s="5" t="n">
        <f aca="false">$A$8</f>
        <v>0</v>
      </c>
      <c r="B40" s="23" t="s">
        <v>127</v>
      </c>
      <c r="C40" s="15" t="n">
        <f aca="false">COUNTIF('🔢 Cálculo'!$B$4:$B$203,$A$8)</f>
        <v>200</v>
      </c>
      <c r="D40" s="24" t="n">
        <f aca="false">IFERROR((IFERROR(AVERAGEIF('🔢 Cálculo'!$B$4:$B$203,$A$8,'🔢 Cálculo'!$AA$4:$AA$203),0)+IFERROR(AVERAGEIF('🔢 Cálculo'!$B$4:$B$203,$A$8,'🔢 Cálculo'!$AB$4:$AB$203),0)+IFERROR(AVERAGEIF('🔢 Cálculo'!$B$4:$B$203,$A$8,'🔢 Cálculo'!$AC$4:$AC$203),0)+IFERROR(AVERAGEIF('🔢 Cálculo'!$B$4:$B$203,$A$8,'🔢 Cálculo'!$AD$4:$AD$203),0)+IFERROR(AVERAGEIF('🔢 Cálculo'!$B$4:$B$203,$A$8,'🔢 Cálculo'!$AE$4:$AE$203),0))/5,"")</f>
        <v>0</v>
      </c>
      <c r="E40" s="25" t="n">
        <f aca="false">IFERROR((IFERROR((5-AVERAGEIF('🔢 Cálculo'!$B$4:$B$203,$A$8,'🔢 Cálculo'!$AA$4:$AA$203))/4*100,0)+IFERROR((5-AVERAGEIF('🔢 Cálculo'!$B$4:$B$203,$A$8,'🔢 Cálculo'!$AB$4:$AB$203))/4*100,0)+IFERROR((5-AVERAGEIF('🔢 Cálculo'!$B$4:$B$203,$A$8,'🔢 Cálculo'!$AC$4:$AC$203))/4*100,0)+IFERROR((5-AVERAGEIF('🔢 Cálculo'!$B$4:$B$203,$A$8,'🔢 Cálculo'!$AD$4:$AD$203))/4*100,0)+IFERROR((AVERAGEIF('🔢 Cálculo'!$B$4:$B$203,$A$8,'🔢 Cálculo'!$AE$4:$AE$203)-1)/4*100,0))/5,"")</f>
        <v>0</v>
      </c>
      <c r="F40" s="15" t="str">
        <f aca="false">IFERROR(IF(E40="","",IF(E40&lt;25,"Baixo",IF(E40&lt;50,"Moderado",IF(E40&lt;75,"Alto","Crítico")))),"N/A")</f>
        <v>Baixo</v>
      </c>
      <c r="G40" s="15" t="str">
        <f aca="false">IF(F40="Crítico","🔴 AÇÃO IMEDIATA","")</f>
        <v/>
      </c>
      <c r="H40" s="15" t="str">
        <f aca="false">IF(F40="Alto","🟠 PRIORITÁRIO","")</f>
        <v/>
      </c>
      <c r="I40" s="15" t="str">
        <f aca="false">IF(F40="Moderado","⚠️ PLANEJAR","")</f>
        <v/>
      </c>
    </row>
    <row r="41" customFormat="false" ht="15" hidden="false" customHeight="false" outlineLevel="0" collapsed="false">
      <c r="A41" s="5" t="n">
        <f aca="false">$A$8</f>
        <v>0</v>
      </c>
      <c r="B41" s="23" t="s">
        <v>138</v>
      </c>
      <c r="C41" s="15" t="n">
        <f aca="false">COUNTIF('🔢 Cálculo'!$B$4:$B$203,$A$8)</f>
        <v>200</v>
      </c>
      <c r="D41" s="24" t="n">
        <f aca="false">IFERROR((IFERROR(AVERAGEIF('🔢 Cálculo'!$B$4:$B$203,$A$8,'🔢 Cálculo'!$AF$4:$AF$203),0)+IFERROR(AVERAGEIF('🔢 Cálculo'!$B$4:$B$203,$A$8,'🔢 Cálculo'!$AG$4:$AG$203),0)+IFERROR(AVERAGEIF('🔢 Cálculo'!$B$4:$B$203,$A$8,'🔢 Cálculo'!$AH$4:$AH$203),0)+IFERROR(AVERAGEIF('🔢 Cálculo'!$B$4:$B$203,$A$8,'🔢 Cálculo'!$AI$4:$AI$203),0)+IFERROR(AVERAGEIF('🔢 Cálculo'!$B$4:$B$203,$A$8,'🔢 Cálculo'!$AJ$4:$AJ$203),0)+IFERROR(AVERAGEIF('🔢 Cálculo'!$B$4:$B$203,$A$8,'🔢 Cálculo'!$AK$4:$AK$203),0)+IFERROR(AVERAGEIF('🔢 Cálculo'!$B$4:$B$203,$A$8,'🔢 Cálculo'!$AL$4:$AL$203),0)+IFERROR(AVERAGEIF('🔢 Cálculo'!$B$4:$B$203,$A$8,'🔢 Cálculo'!$AM$4:$AM$203),0)+IFERROR(AVERAGEIF('🔢 Cálculo'!$B$4:$B$203,$A$8,'🔢 Cálculo'!$AN$4:$AN$203),0))/9,"")</f>
        <v>0</v>
      </c>
      <c r="E41" s="25" t="n">
        <f aca="false">IFERROR((IFERROR((5-AVERAGEIF('🔢 Cálculo'!$B$4:$B$203,$A$8,'🔢 Cálculo'!$AF$4:$AF$203))/4*100,0)+IFERROR((AVERAGEIF('🔢 Cálculo'!$B$4:$B$203,$A$8,'🔢 Cálculo'!$AG$4:$AG$203)-1)/4*100,0)+IFERROR((AVERAGEIF('🔢 Cálculo'!$B$4:$B$203,$A$8,'🔢 Cálculo'!$AH$4:$AH$203)-1)/4*100,0)+IFERROR((AVERAGEIF('🔢 Cálculo'!$B$4:$B$203,$A$8,'🔢 Cálculo'!$AI$4:$AI$203)-1)/4*100,0)+IFERROR((AVERAGEIF('🔢 Cálculo'!$B$4:$B$203,$A$8,'🔢 Cálculo'!$AJ$4:$AJ$203)-1)/4*100,0)+IFERROR((AVERAGEIF('🔢 Cálculo'!$B$4:$B$203,$A$8,'🔢 Cálculo'!$AK$4:$AK$203)-1)/4*100,0)+IFERROR((AVERAGEIF('🔢 Cálculo'!$B$4:$B$203,$A$8,'🔢 Cálculo'!$AL$4:$AL$203)-1)/4*100,0)+IFERROR((AVERAGEIF('🔢 Cálculo'!$B$4:$B$203,$A$8,'🔢 Cálculo'!$AM$4:$AM$203)-1)/4*100,0)+IFERROR((AVERAGEIF('🔢 Cálculo'!$B$4:$B$203,$A$8,'🔢 Cálculo'!$AN$4:$AN$203)-1)/4*100,0))/9,"")</f>
        <v>0</v>
      </c>
      <c r="F41" s="15" t="str">
        <f aca="false">IFERROR(IF(E41="","",IF(E41&lt;25,"Baixo",IF(E41&lt;50,"Moderado",IF(E41&lt;75,"Alto","Crítico")))),"N/A")</f>
        <v>Baixo</v>
      </c>
      <c r="G41" s="15" t="str">
        <f aca="false">IF(F41="Crítico","🔴 AÇÃO IMEDIATA","")</f>
        <v/>
      </c>
      <c r="H41" s="15" t="str">
        <f aca="false">IF(F41="Alto","🟠 PRIORITÁRIO","")</f>
        <v/>
      </c>
      <c r="I41" s="15" t="str">
        <f aca="false">IF(F41="Moderado","⚠️ PLANEJAR","")</f>
        <v/>
      </c>
    </row>
    <row r="42" customFormat="false" ht="15" hidden="false" customHeight="false" outlineLevel="0" collapsed="false">
      <c r="A42" s="5" t="n">
        <f aca="false">$A$8</f>
        <v>0</v>
      </c>
      <c r="B42" s="23" t="s">
        <v>157</v>
      </c>
      <c r="C42" s="15" t="n">
        <f aca="false">COUNTIF('🔢 Cálculo'!$B$4:$B$203,$A$8)</f>
        <v>200</v>
      </c>
      <c r="D42" s="24" t="n">
        <f aca="false">IFERROR((IFERROR(AVERAGEIF('🔢 Cálculo'!$B$4:$B$203,$A$8,'🔢 Cálculo'!$AO$4:$AO$203),0)+IFERROR(AVERAGEIF('🔢 Cálculo'!$B$4:$B$203,$A$8,'🔢 Cálculo'!$AP$4:$AP$203),0)+IFERROR(AVERAGEIF('🔢 Cálculo'!$B$4:$B$203,$A$8,'🔢 Cálculo'!$AQ$4:$AQ$203),0)+IFERROR(AVERAGEIF('🔢 Cálculo'!$B$4:$B$203,$A$8,'🔢 Cálculo'!$AR$4:$AR$203),0))/4,"")</f>
        <v>0</v>
      </c>
      <c r="E42" s="25" t="n">
        <f aca="false">IFERROR((IFERROR((AVERAGEIF('🔢 Cálculo'!$B$4:$B$203,$A$8,'🔢 Cálculo'!$AO$4:$AO$203)-1)/4*100,0)+IFERROR((AVERAGEIF('🔢 Cálculo'!$B$4:$B$203,$A$8,'🔢 Cálculo'!$AP$4:$AP$203)-1)/4*100,0)+IFERROR((AVERAGEIF('🔢 Cálculo'!$B$4:$B$203,$A$8,'🔢 Cálculo'!$AQ$4:$AQ$203)-1)/4*100,0)+IFERROR((AVERAGEIF('🔢 Cálculo'!$B$4:$B$203,$A$8,'🔢 Cálculo'!$AR$4:$AR$203)-1)/4*100,0))/4,"")</f>
        <v>0</v>
      </c>
      <c r="F42" s="15" t="str">
        <f aca="false">IFERROR(IF(E42="","",IF(E42&lt;25,"Baixo",IF(E42&lt;50,"Moderado",IF(E42&lt;75,"Alto","Crítico")))),"N/A")</f>
        <v>Baixo</v>
      </c>
      <c r="G42" s="15" t="str">
        <f aca="false">IF(F42="Crítico","🔴 AÇÃO IMEDIATA","")</f>
        <v/>
      </c>
      <c r="H42" s="15" t="str">
        <f aca="false">IF(F42="Alto","🟠 PRIORITÁRIO","")</f>
        <v/>
      </c>
      <c r="I42" s="15" t="str">
        <f aca="false">IF(F42="Moderado","⚠️ PLANEJAR","")</f>
        <v/>
      </c>
    </row>
    <row r="43" customFormat="false" ht="15" hidden="false" customHeight="false" outlineLevel="0" collapsed="false">
      <c r="A43" s="13" t="n">
        <f aca="false">$A$9</f>
        <v>0</v>
      </c>
      <c r="B43" s="20" t="s">
        <v>61</v>
      </c>
      <c r="C43" s="12" t="n">
        <f aca="false">COUNTIF('🔢 Cálculo'!$B$4:$B$203,$A$9)</f>
        <v>200</v>
      </c>
      <c r="D43" s="21" t="n">
        <f aca="false">IFERROR((IFERROR(AVERAGEIF('🔢 Cálculo'!$B$4:$B$203,$A$9,'🔢 Cálculo'!$D$4:$D$203),0)+IFERROR(AVERAGEIF('🔢 Cálculo'!$B$4:$B$203,$A$9,'🔢 Cálculo'!$E$4:$E$203),0)+IFERROR(AVERAGEIF('🔢 Cálculo'!$B$4:$B$203,$A$9,'🔢 Cálculo'!$F$4:$F$203),0)+IFERROR(AVERAGEIF('🔢 Cálculo'!$B$4:$B$203,$A$9,'🔢 Cálculo'!$G$4:$G$203),0)+IFERROR(AVERAGEIF('🔢 Cálculo'!$B$4:$B$203,$A$9,'🔢 Cálculo'!$H$4:$H$203),0)+IFERROR(AVERAGEIF('🔢 Cálculo'!$B$4:$B$203,$A$9,'🔢 Cálculo'!$I$4:$I$203),0))/6,"")</f>
        <v>0</v>
      </c>
      <c r="E43" s="22" t="n">
        <f aca="false">IFERROR((IFERROR((AVERAGEIF('🔢 Cálculo'!$B$4:$B$203,$A$9,'🔢 Cálculo'!$D$4:$D$203)-1)/4*100,0)+IFERROR((AVERAGEIF('🔢 Cálculo'!$B$4:$B$203,$A$9,'🔢 Cálculo'!$E$4:$E$203)-1)/4*100,0)+IFERROR((AVERAGEIF('🔢 Cálculo'!$B$4:$B$203,$A$9,'🔢 Cálculo'!$F$4:$F$203)-1)/4*100,0)+IFERROR((AVERAGEIF('🔢 Cálculo'!$B$4:$B$203,$A$9,'🔢 Cálculo'!$G$4:$G$203)-1)/4*100,0)+IFERROR((AVERAGEIF('🔢 Cálculo'!$B$4:$B$203,$A$9,'🔢 Cálculo'!$H$4:$H$203)-1)/4*100,0)+IFERROR((AVERAGEIF('🔢 Cálculo'!$B$4:$B$203,$A$9,'🔢 Cálculo'!$I$4:$I$203)-1)/4*100,0))/6,"")</f>
        <v>0</v>
      </c>
      <c r="F43" s="12" t="str">
        <f aca="false">IFERROR(IF(E43="","",IF(E43&lt;25,"Baixo",IF(E43&lt;50,"Moderado",IF(E43&lt;75,"Alto","Crítico")))),"N/A")</f>
        <v>Baixo</v>
      </c>
      <c r="G43" s="12" t="str">
        <f aca="false">IF(F43="Crítico","🔴 AÇÃO IMEDIATA","")</f>
        <v/>
      </c>
      <c r="H43" s="12" t="str">
        <f aca="false">IF(F43="Alto","🟠 PRIORITÁRIO","")</f>
        <v/>
      </c>
      <c r="I43" s="12" t="str">
        <f aca="false">IF(F43="Moderado","⚠️ PLANEJAR","")</f>
        <v/>
      </c>
    </row>
    <row r="44" customFormat="false" ht="15" hidden="false" customHeight="false" outlineLevel="0" collapsed="false">
      <c r="A44" s="13" t="n">
        <f aca="false">$A$9</f>
        <v>0</v>
      </c>
      <c r="B44" s="20" t="s">
        <v>87</v>
      </c>
      <c r="C44" s="12" t="n">
        <f aca="false">COUNTIF('🔢 Cálculo'!$B$4:$B$203,$A$9)</f>
        <v>200</v>
      </c>
      <c r="D44" s="21" t="n">
        <f aca="false">IFERROR((IFERROR(AVERAGEIF('🔢 Cálculo'!$B$4:$B$203,$A$9,'🔢 Cálculo'!$J$4:$J$203),0)+IFERROR(AVERAGEIF('🔢 Cálculo'!$B$4:$B$203,$A$9,'🔢 Cálculo'!$K$4:$K$203),0)+IFERROR(AVERAGEIF('🔢 Cálculo'!$B$4:$B$203,$A$9,'🔢 Cálculo'!$L$4:$L$203),0)+IFERROR(AVERAGEIF('🔢 Cálculo'!$B$4:$B$203,$A$9,'🔢 Cálculo'!$M$4:$M$203),0)+IFERROR(AVERAGEIF('🔢 Cálculo'!$B$4:$B$203,$A$9,'🔢 Cálculo'!$N$4:$N$203),0)+IFERROR(AVERAGEIF('🔢 Cálculo'!$B$4:$B$203,$A$9,'🔢 Cálculo'!$O$4:$O$203),0))/6,"")</f>
        <v>0</v>
      </c>
      <c r="E44" s="22" t="n">
        <f aca="false">IFERROR((IFERROR((5-AVERAGEIF('🔢 Cálculo'!$B$4:$B$203,$A$9,'🔢 Cálculo'!$J$4:$J$203))/4*100,0)+IFERROR((5-AVERAGEIF('🔢 Cálculo'!$B$4:$B$203,$A$9,'🔢 Cálculo'!$K$4:$K$203))/4*100,0)+IFERROR((5-AVERAGEIF('🔢 Cálculo'!$B$4:$B$203,$A$9,'🔢 Cálculo'!$L$4:$L$203))/4*100,0)+IFERROR((5-AVERAGEIF('🔢 Cálculo'!$B$4:$B$203,$A$9,'🔢 Cálculo'!$M$4:$M$203))/4*100,0)+IFERROR((5-AVERAGEIF('🔢 Cálculo'!$B$4:$B$203,$A$9,'🔢 Cálculo'!$N$4:$N$203))/4*100,0)+IFERROR((5-AVERAGEIF('🔢 Cálculo'!$B$4:$B$203,$A$9,'🔢 Cálculo'!$O$4:$O$203))/4*100,0))/6,"")</f>
        <v>0</v>
      </c>
      <c r="F44" s="12" t="str">
        <f aca="false">IFERROR(IF(E44="","",IF(E44&lt;25,"Baixo",IF(E44&lt;50,"Moderado",IF(E44&lt;75,"Alto","Crítico")))),"N/A")</f>
        <v>Baixo</v>
      </c>
      <c r="G44" s="12" t="str">
        <f aca="false">IF(F44="Crítico","🔴 AÇÃO IMEDIATA","")</f>
        <v/>
      </c>
      <c r="H44" s="12" t="str">
        <f aca="false">IF(F44="Alto","🟠 PRIORITÁRIO","")</f>
        <v/>
      </c>
      <c r="I44" s="12" t="str">
        <f aca="false">IF(F44="Moderado","⚠️ PLANEJAR","")</f>
        <v/>
      </c>
    </row>
    <row r="45" customFormat="false" ht="15" hidden="false" customHeight="false" outlineLevel="0" collapsed="false">
      <c r="A45" s="13" t="n">
        <f aca="false">$A$9</f>
        <v>0</v>
      </c>
      <c r="B45" s="20" t="s">
        <v>103</v>
      </c>
      <c r="C45" s="12" t="n">
        <f aca="false">COUNTIF('🔢 Cálculo'!$B$4:$B$203,$A$9)</f>
        <v>200</v>
      </c>
      <c r="D45" s="21" t="n">
        <f aca="false">IFERROR((IFERROR(AVERAGEIF('🔢 Cálculo'!$B$4:$B$203,$A$9,'🔢 Cálculo'!$P$4:$P$203),0)+IFERROR(AVERAGEIF('🔢 Cálculo'!$B$4:$B$203,$A$9,'🔢 Cálculo'!$Q$4:$Q$203),0)+IFERROR(AVERAGEIF('🔢 Cálculo'!$B$4:$B$203,$A$9,'🔢 Cálculo'!$R$4:$R$203),0)+IFERROR(AVERAGEIF('🔢 Cálculo'!$B$4:$B$203,$A$9,'🔢 Cálculo'!$S$4:$S$203),0)+IFERROR(AVERAGEIF('🔢 Cálculo'!$B$4:$B$203,$A$9,'🔢 Cálculo'!$T$4:$T$203),0)+IFERROR(AVERAGEIF('🔢 Cálculo'!$B$4:$B$203,$A$9,'🔢 Cálculo'!$U$4:$U$203),0))/6,"")</f>
        <v>0</v>
      </c>
      <c r="E45" s="22" t="n">
        <f aca="false">IFERROR((IFERROR((5-AVERAGEIF('🔢 Cálculo'!$B$4:$B$203,$A$9,'🔢 Cálculo'!$P$4:$P$203))/4*100,0)+IFERROR((5-AVERAGEIF('🔢 Cálculo'!$B$4:$B$203,$A$9,'🔢 Cálculo'!$Q$4:$Q$203))/4*100,0)+IFERROR((5-AVERAGEIF('🔢 Cálculo'!$B$4:$B$203,$A$9,'🔢 Cálculo'!$R$4:$R$203))/4*100,0)+IFERROR((5-AVERAGEIF('🔢 Cálculo'!$B$4:$B$203,$A$9,'🔢 Cálculo'!$S$4:$S$203))/4*100,0)+IFERROR((5-AVERAGEIF('🔢 Cálculo'!$B$4:$B$203,$A$9,'🔢 Cálculo'!$T$4:$T$203))/4*100,0)+IFERROR((5-AVERAGEIF('🔢 Cálculo'!$B$4:$B$203,$A$9,'🔢 Cálculo'!$U$4:$U$203))/4*100,0))/6,"")</f>
        <v>0</v>
      </c>
      <c r="F45" s="12" t="str">
        <f aca="false">IFERROR(IF(E45="","",IF(E45&lt;25,"Baixo",IF(E45&lt;50,"Moderado",IF(E45&lt;75,"Alto","Crítico")))),"N/A")</f>
        <v>Baixo</v>
      </c>
      <c r="G45" s="12" t="str">
        <f aca="false">IF(F45="Crítico","🔴 AÇÃO IMEDIATA","")</f>
        <v/>
      </c>
      <c r="H45" s="12" t="str">
        <f aca="false">IF(F45="Alto","🟠 PRIORITÁRIO","")</f>
        <v/>
      </c>
      <c r="I45" s="12" t="str">
        <f aca="false">IF(F45="Moderado","⚠️ PLANEJAR","")</f>
        <v/>
      </c>
    </row>
    <row r="46" customFormat="false" ht="15" hidden="false" customHeight="false" outlineLevel="0" collapsed="false">
      <c r="A46" s="13" t="n">
        <f aca="false">$A$9</f>
        <v>0</v>
      </c>
      <c r="B46" s="20" t="s">
        <v>116</v>
      </c>
      <c r="C46" s="12" t="n">
        <f aca="false">COUNTIF('🔢 Cálculo'!$B$4:$B$203,$A$9)</f>
        <v>200</v>
      </c>
      <c r="D46" s="21" t="n">
        <f aca="false">IFERROR((IFERROR(AVERAGEIF('🔢 Cálculo'!$B$4:$B$203,$A$9,'🔢 Cálculo'!$V$4:$V$203),0)+IFERROR(AVERAGEIF('🔢 Cálculo'!$B$4:$B$203,$A$9,'🔢 Cálculo'!$W$4:$W$203),0)+IFERROR(AVERAGEIF('🔢 Cálculo'!$B$4:$B$203,$A$9,'🔢 Cálculo'!$X$4:$X$203),0)+IFERROR(AVERAGEIF('🔢 Cálculo'!$B$4:$B$203,$A$9,'🔢 Cálculo'!$Y$4:$Y$203),0)+IFERROR(AVERAGEIF('🔢 Cálculo'!$B$4:$B$203,$A$9,'🔢 Cálculo'!$Z$4:$Z$203),0))/5,"")</f>
        <v>0</v>
      </c>
      <c r="E46" s="22" t="n">
        <f aca="false">IFERROR((IFERROR((5-AVERAGEIF('🔢 Cálculo'!$B$4:$B$203,$A$9,'🔢 Cálculo'!$V$4:$V$203))/4*100,0)+IFERROR((5-AVERAGEIF('🔢 Cálculo'!$B$4:$B$203,$A$9,'🔢 Cálculo'!$W$4:$W$203))/4*100,0)+IFERROR((5-AVERAGEIF('🔢 Cálculo'!$B$4:$B$203,$A$9,'🔢 Cálculo'!$X$4:$X$203))/4*100,0)+IFERROR((5-AVERAGEIF('🔢 Cálculo'!$B$4:$B$203,$A$9,'🔢 Cálculo'!$Y$4:$Y$203))/4*100,0)+IFERROR((5-AVERAGEIF('🔢 Cálculo'!$B$4:$B$203,$A$9,'🔢 Cálculo'!$Z$4:$Z$203))/4*100,0))/5,"")</f>
        <v>0</v>
      </c>
      <c r="F46" s="12" t="str">
        <f aca="false">IFERROR(IF(E46="","",IF(E46&lt;25,"Baixo",IF(E46&lt;50,"Moderado",IF(E46&lt;75,"Alto","Crítico")))),"N/A")</f>
        <v>Baixo</v>
      </c>
      <c r="G46" s="12" t="str">
        <f aca="false">IF(F46="Crítico","🔴 AÇÃO IMEDIATA","")</f>
        <v/>
      </c>
      <c r="H46" s="12" t="str">
        <f aca="false">IF(F46="Alto","🟠 PRIORITÁRIO","")</f>
        <v/>
      </c>
      <c r="I46" s="12" t="str">
        <f aca="false">IF(F46="Moderado","⚠️ PLANEJAR","")</f>
        <v/>
      </c>
    </row>
    <row r="47" customFormat="false" ht="15" hidden="false" customHeight="false" outlineLevel="0" collapsed="false">
      <c r="A47" s="13" t="n">
        <f aca="false">$A$9</f>
        <v>0</v>
      </c>
      <c r="B47" s="20" t="s">
        <v>127</v>
      </c>
      <c r="C47" s="12" t="n">
        <f aca="false">COUNTIF('🔢 Cálculo'!$B$4:$B$203,$A$9)</f>
        <v>200</v>
      </c>
      <c r="D47" s="21" t="n">
        <f aca="false">IFERROR((IFERROR(AVERAGEIF('🔢 Cálculo'!$B$4:$B$203,$A$9,'🔢 Cálculo'!$AA$4:$AA$203),0)+IFERROR(AVERAGEIF('🔢 Cálculo'!$B$4:$B$203,$A$9,'🔢 Cálculo'!$AB$4:$AB$203),0)+IFERROR(AVERAGEIF('🔢 Cálculo'!$B$4:$B$203,$A$9,'🔢 Cálculo'!$AC$4:$AC$203),0)+IFERROR(AVERAGEIF('🔢 Cálculo'!$B$4:$B$203,$A$9,'🔢 Cálculo'!$AD$4:$AD$203),0)+IFERROR(AVERAGEIF('🔢 Cálculo'!$B$4:$B$203,$A$9,'🔢 Cálculo'!$AE$4:$AE$203),0))/5,"")</f>
        <v>0</v>
      </c>
      <c r="E47" s="22" t="n">
        <f aca="false">IFERROR((IFERROR((5-AVERAGEIF('🔢 Cálculo'!$B$4:$B$203,$A$9,'🔢 Cálculo'!$AA$4:$AA$203))/4*100,0)+IFERROR((5-AVERAGEIF('🔢 Cálculo'!$B$4:$B$203,$A$9,'🔢 Cálculo'!$AB$4:$AB$203))/4*100,0)+IFERROR((5-AVERAGEIF('🔢 Cálculo'!$B$4:$B$203,$A$9,'🔢 Cálculo'!$AC$4:$AC$203))/4*100,0)+IFERROR((5-AVERAGEIF('🔢 Cálculo'!$B$4:$B$203,$A$9,'🔢 Cálculo'!$AD$4:$AD$203))/4*100,0)+IFERROR((AVERAGEIF('🔢 Cálculo'!$B$4:$B$203,$A$9,'🔢 Cálculo'!$AE$4:$AE$203)-1)/4*100,0))/5,"")</f>
        <v>0</v>
      </c>
      <c r="F47" s="12" t="str">
        <f aca="false">IFERROR(IF(E47="","",IF(E47&lt;25,"Baixo",IF(E47&lt;50,"Moderado",IF(E47&lt;75,"Alto","Crítico")))),"N/A")</f>
        <v>Baixo</v>
      </c>
      <c r="G47" s="12" t="str">
        <f aca="false">IF(F47="Crítico","🔴 AÇÃO IMEDIATA","")</f>
        <v/>
      </c>
      <c r="H47" s="12" t="str">
        <f aca="false">IF(F47="Alto","🟠 PRIORITÁRIO","")</f>
        <v/>
      </c>
      <c r="I47" s="12" t="str">
        <f aca="false">IF(F47="Moderado","⚠️ PLANEJAR","")</f>
        <v/>
      </c>
    </row>
    <row r="48" customFormat="false" ht="15" hidden="false" customHeight="false" outlineLevel="0" collapsed="false">
      <c r="A48" s="13" t="n">
        <f aca="false">$A$9</f>
        <v>0</v>
      </c>
      <c r="B48" s="20" t="s">
        <v>138</v>
      </c>
      <c r="C48" s="12" t="n">
        <f aca="false">COUNTIF('🔢 Cálculo'!$B$4:$B$203,$A$9)</f>
        <v>200</v>
      </c>
      <c r="D48" s="21" t="n">
        <f aca="false">IFERROR((IFERROR(AVERAGEIF('🔢 Cálculo'!$B$4:$B$203,$A$9,'🔢 Cálculo'!$AF$4:$AF$203),0)+IFERROR(AVERAGEIF('🔢 Cálculo'!$B$4:$B$203,$A$9,'🔢 Cálculo'!$AG$4:$AG$203),0)+IFERROR(AVERAGEIF('🔢 Cálculo'!$B$4:$B$203,$A$9,'🔢 Cálculo'!$AH$4:$AH$203),0)+IFERROR(AVERAGEIF('🔢 Cálculo'!$B$4:$B$203,$A$9,'🔢 Cálculo'!$AI$4:$AI$203),0)+IFERROR(AVERAGEIF('🔢 Cálculo'!$B$4:$B$203,$A$9,'🔢 Cálculo'!$AJ$4:$AJ$203),0)+IFERROR(AVERAGEIF('🔢 Cálculo'!$B$4:$B$203,$A$9,'🔢 Cálculo'!$AK$4:$AK$203),0)+IFERROR(AVERAGEIF('🔢 Cálculo'!$B$4:$B$203,$A$9,'🔢 Cálculo'!$AL$4:$AL$203),0)+IFERROR(AVERAGEIF('🔢 Cálculo'!$B$4:$B$203,$A$9,'🔢 Cálculo'!$AM$4:$AM$203),0)+IFERROR(AVERAGEIF('🔢 Cálculo'!$B$4:$B$203,$A$9,'🔢 Cálculo'!$AN$4:$AN$203),0))/9,"")</f>
        <v>0</v>
      </c>
      <c r="E48" s="22" t="n">
        <f aca="false">IFERROR((IFERROR((5-AVERAGEIF('🔢 Cálculo'!$B$4:$B$203,$A$9,'🔢 Cálculo'!$AF$4:$AF$203))/4*100,0)+IFERROR((AVERAGEIF('🔢 Cálculo'!$B$4:$B$203,$A$9,'🔢 Cálculo'!$AG$4:$AG$203)-1)/4*100,0)+IFERROR((AVERAGEIF('🔢 Cálculo'!$B$4:$B$203,$A$9,'🔢 Cálculo'!$AH$4:$AH$203)-1)/4*100,0)+IFERROR((AVERAGEIF('🔢 Cálculo'!$B$4:$B$203,$A$9,'🔢 Cálculo'!$AI$4:$AI$203)-1)/4*100,0)+IFERROR((AVERAGEIF('🔢 Cálculo'!$B$4:$B$203,$A$9,'🔢 Cálculo'!$AJ$4:$AJ$203)-1)/4*100,0)+IFERROR((AVERAGEIF('🔢 Cálculo'!$B$4:$B$203,$A$9,'🔢 Cálculo'!$AK$4:$AK$203)-1)/4*100,0)+IFERROR((AVERAGEIF('🔢 Cálculo'!$B$4:$B$203,$A$9,'🔢 Cálculo'!$AL$4:$AL$203)-1)/4*100,0)+IFERROR((AVERAGEIF('🔢 Cálculo'!$B$4:$B$203,$A$9,'🔢 Cálculo'!$AM$4:$AM$203)-1)/4*100,0)+IFERROR((AVERAGEIF('🔢 Cálculo'!$B$4:$B$203,$A$9,'🔢 Cálculo'!$AN$4:$AN$203)-1)/4*100,0))/9,"")</f>
        <v>0</v>
      </c>
      <c r="F48" s="12" t="str">
        <f aca="false">IFERROR(IF(E48="","",IF(E48&lt;25,"Baixo",IF(E48&lt;50,"Moderado",IF(E48&lt;75,"Alto","Crítico")))),"N/A")</f>
        <v>Baixo</v>
      </c>
      <c r="G48" s="12" t="str">
        <f aca="false">IF(F48="Crítico","🔴 AÇÃO IMEDIATA","")</f>
        <v/>
      </c>
      <c r="H48" s="12" t="str">
        <f aca="false">IF(F48="Alto","🟠 PRIORITÁRIO","")</f>
        <v/>
      </c>
      <c r="I48" s="12" t="str">
        <f aca="false">IF(F48="Moderado","⚠️ PLANEJAR","")</f>
        <v/>
      </c>
    </row>
    <row r="49" customFormat="false" ht="15" hidden="false" customHeight="false" outlineLevel="0" collapsed="false">
      <c r="A49" s="13" t="n">
        <f aca="false">$A$9</f>
        <v>0</v>
      </c>
      <c r="B49" s="20" t="s">
        <v>157</v>
      </c>
      <c r="C49" s="12" t="n">
        <f aca="false">COUNTIF('🔢 Cálculo'!$B$4:$B$203,$A$9)</f>
        <v>200</v>
      </c>
      <c r="D49" s="21" t="n">
        <f aca="false">IFERROR((IFERROR(AVERAGEIF('🔢 Cálculo'!$B$4:$B$203,$A$9,'🔢 Cálculo'!$AO$4:$AO$203),0)+IFERROR(AVERAGEIF('🔢 Cálculo'!$B$4:$B$203,$A$9,'🔢 Cálculo'!$AP$4:$AP$203),0)+IFERROR(AVERAGEIF('🔢 Cálculo'!$B$4:$B$203,$A$9,'🔢 Cálculo'!$AQ$4:$AQ$203),0)+IFERROR(AVERAGEIF('🔢 Cálculo'!$B$4:$B$203,$A$9,'🔢 Cálculo'!$AR$4:$AR$203),0))/4,"")</f>
        <v>0</v>
      </c>
      <c r="E49" s="22" t="n">
        <f aca="false">IFERROR((IFERROR((AVERAGEIF('🔢 Cálculo'!$B$4:$B$203,$A$9,'🔢 Cálculo'!$AO$4:$AO$203)-1)/4*100,0)+IFERROR((AVERAGEIF('🔢 Cálculo'!$B$4:$B$203,$A$9,'🔢 Cálculo'!$AP$4:$AP$203)-1)/4*100,0)+IFERROR((AVERAGEIF('🔢 Cálculo'!$B$4:$B$203,$A$9,'🔢 Cálculo'!$AQ$4:$AQ$203)-1)/4*100,0)+IFERROR((AVERAGEIF('🔢 Cálculo'!$B$4:$B$203,$A$9,'🔢 Cálculo'!$AR$4:$AR$203)-1)/4*100,0))/4,"")</f>
        <v>0</v>
      </c>
      <c r="F49" s="12" t="str">
        <f aca="false">IFERROR(IF(E49="","",IF(E49&lt;25,"Baixo",IF(E49&lt;50,"Moderado",IF(E49&lt;75,"Alto","Crítico")))),"N/A")</f>
        <v>Baixo</v>
      </c>
      <c r="G49" s="12" t="str">
        <f aca="false">IF(F49="Crítico","🔴 AÇÃO IMEDIATA","")</f>
        <v/>
      </c>
      <c r="H49" s="12" t="str">
        <f aca="false">IF(F49="Alto","🟠 PRIORITÁRIO","")</f>
        <v/>
      </c>
      <c r="I49" s="12" t="str">
        <f aca="false">IF(F49="Moderado","⚠️ PLANEJAR","")</f>
        <v/>
      </c>
    </row>
    <row r="50" customFormat="false" ht="15" hidden="false" customHeight="false" outlineLevel="0" collapsed="false">
      <c r="A50" s="5" t="n">
        <f aca="false">$A$10</f>
        <v>0</v>
      </c>
      <c r="B50" s="23" t="s">
        <v>61</v>
      </c>
      <c r="C50" s="15" t="n">
        <f aca="false">COUNTIF('🔢 Cálculo'!$B$4:$B$203,$A$10)</f>
        <v>200</v>
      </c>
      <c r="D50" s="24" t="n">
        <f aca="false">IFERROR((IFERROR(AVERAGEIF('🔢 Cálculo'!$B$4:$B$203,$A$10,'🔢 Cálculo'!$D$4:$D$203),0)+IFERROR(AVERAGEIF('🔢 Cálculo'!$B$4:$B$203,$A$10,'🔢 Cálculo'!$E$4:$E$203),0)+IFERROR(AVERAGEIF('🔢 Cálculo'!$B$4:$B$203,$A$10,'🔢 Cálculo'!$F$4:$F$203),0)+IFERROR(AVERAGEIF('🔢 Cálculo'!$B$4:$B$203,$A$10,'🔢 Cálculo'!$G$4:$G$203),0)+IFERROR(AVERAGEIF('🔢 Cálculo'!$B$4:$B$203,$A$10,'🔢 Cálculo'!$H$4:$H$203),0)+IFERROR(AVERAGEIF('🔢 Cálculo'!$B$4:$B$203,$A$10,'🔢 Cálculo'!$I$4:$I$203),0))/6,"")</f>
        <v>0</v>
      </c>
      <c r="E50" s="25" t="n">
        <f aca="false">IFERROR((IFERROR((AVERAGEIF('🔢 Cálculo'!$B$4:$B$203,$A$10,'🔢 Cálculo'!$D$4:$D$203)-1)/4*100,0)+IFERROR((AVERAGEIF('🔢 Cálculo'!$B$4:$B$203,$A$10,'🔢 Cálculo'!$E$4:$E$203)-1)/4*100,0)+IFERROR((AVERAGEIF('🔢 Cálculo'!$B$4:$B$203,$A$10,'🔢 Cálculo'!$F$4:$F$203)-1)/4*100,0)+IFERROR((AVERAGEIF('🔢 Cálculo'!$B$4:$B$203,$A$10,'🔢 Cálculo'!$G$4:$G$203)-1)/4*100,0)+IFERROR((AVERAGEIF('🔢 Cálculo'!$B$4:$B$203,$A$10,'🔢 Cálculo'!$H$4:$H$203)-1)/4*100,0)+IFERROR((AVERAGEIF('🔢 Cálculo'!$B$4:$B$203,$A$10,'🔢 Cálculo'!$I$4:$I$203)-1)/4*100,0))/6,"")</f>
        <v>0</v>
      </c>
      <c r="F50" s="15" t="str">
        <f aca="false">IFERROR(IF(E50="","",IF(E50&lt;25,"Baixo",IF(E50&lt;50,"Moderado",IF(E50&lt;75,"Alto","Crítico")))),"N/A")</f>
        <v>Baixo</v>
      </c>
      <c r="G50" s="15" t="str">
        <f aca="false">IF(F50="Crítico","🔴 AÇÃO IMEDIATA","")</f>
        <v/>
      </c>
      <c r="H50" s="15" t="str">
        <f aca="false">IF(F50="Alto","🟠 PRIORITÁRIO","")</f>
        <v/>
      </c>
      <c r="I50" s="15" t="str">
        <f aca="false">IF(F50="Moderado","⚠️ PLANEJAR","")</f>
        <v/>
      </c>
    </row>
    <row r="51" customFormat="false" ht="15" hidden="false" customHeight="false" outlineLevel="0" collapsed="false">
      <c r="A51" s="5" t="n">
        <f aca="false">$A$10</f>
        <v>0</v>
      </c>
      <c r="B51" s="23" t="s">
        <v>87</v>
      </c>
      <c r="C51" s="15" t="n">
        <f aca="false">COUNTIF('🔢 Cálculo'!$B$4:$B$203,$A$10)</f>
        <v>200</v>
      </c>
      <c r="D51" s="24" t="n">
        <f aca="false">IFERROR((IFERROR(AVERAGEIF('🔢 Cálculo'!$B$4:$B$203,$A$10,'🔢 Cálculo'!$J$4:$J$203),0)+IFERROR(AVERAGEIF('🔢 Cálculo'!$B$4:$B$203,$A$10,'🔢 Cálculo'!$K$4:$K$203),0)+IFERROR(AVERAGEIF('🔢 Cálculo'!$B$4:$B$203,$A$10,'🔢 Cálculo'!$L$4:$L$203),0)+IFERROR(AVERAGEIF('🔢 Cálculo'!$B$4:$B$203,$A$10,'🔢 Cálculo'!$M$4:$M$203),0)+IFERROR(AVERAGEIF('🔢 Cálculo'!$B$4:$B$203,$A$10,'🔢 Cálculo'!$N$4:$N$203),0)+IFERROR(AVERAGEIF('🔢 Cálculo'!$B$4:$B$203,$A$10,'🔢 Cálculo'!$O$4:$O$203),0))/6,"")</f>
        <v>0</v>
      </c>
      <c r="E51" s="25" t="n">
        <f aca="false">IFERROR((IFERROR((5-AVERAGEIF('🔢 Cálculo'!$B$4:$B$203,$A$10,'🔢 Cálculo'!$J$4:$J$203))/4*100,0)+IFERROR((5-AVERAGEIF('🔢 Cálculo'!$B$4:$B$203,$A$10,'🔢 Cálculo'!$K$4:$K$203))/4*100,0)+IFERROR((5-AVERAGEIF('🔢 Cálculo'!$B$4:$B$203,$A$10,'🔢 Cálculo'!$L$4:$L$203))/4*100,0)+IFERROR((5-AVERAGEIF('🔢 Cálculo'!$B$4:$B$203,$A$10,'🔢 Cálculo'!$M$4:$M$203))/4*100,0)+IFERROR((5-AVERAGEIF('🔢 Cálculo'!$B$4:$B$203,$A$10,'🔢 Cálculo'!$N$4:$N$203))/4*100,0)+IFERROR((5-AVERAGEIF('🔢 Cálculo'!$B$4:$B$203,$A$10,'🔢 Cálculo'!$O$4:$O$203))/4*100,0))/6,"")</f>
        <v>0</v>
      </c>
      <c r="F51" s="15" t="str">
        <f aca="false">IFERROR(IF(E51="","",IF(E51&lt;25,"Baixo",IF(E51&lt;50,"Moderado",IF(E51&lt;75,"Alto","Crítico")))),"N/A")</f>
        <v>Baixo</v>
      </c>
      <c r="G51" s="15" t="str">
        <f aca="false">IF(F51="Crítico","🔴 AÇÃO IMEDIATA","")</f>
        <v/>
      </c>
      <c r="H51" s="15" t="str">
        <f aca="false">IF(F51="Alto","🟠 PRIORITÁRIO","")</f>
        <v/>
      </c>
      <c r="I51" s="15" t="str">
        <f aca="false">IF(F51="Moderado","⚠️ PLANEJAR","")</f>
        <v/>
      </c>
    </row>
    <row r="52" customFormat="false" ht="15" hidden="false" customHeight="false" outlineLevel="0" collapsed="false">
      <c r="A52" s="5" t="n">
        <f aca="false">$A$10</f>
        <v>0</v>
      </c>
      <c r="B52" s="23" t="s">
        <v>103</v>
      </c>
      <c r="C52" s="15" t="n">
        <f aca="false">COUNTIF('🔢 Cálculo'!$B$4:$B$203,$A$10)</f>
        <v>200</v>
      </c>
      <c r="D52" s="24" t="n">
        <f aca="false">IFERROR((IFERROR(AVERAGEIF('🔢 Cálculo'!$B$4:$B$203,$A$10,'🔢 Cálculo'!$P$4:$P$203),0)+IFERROR(AVERAGEIF('🔢 Cálculo'!$B$4:$B$203,$A$10,'🔢 Cálculo'!$Q$4:$Q$203),0)+IFERROR(AVERAGEIF('🔢 Cálculo'!$B$4:$B$203,$A$10,'🔢 Cálculo'!$R$4:$R$203),0)+IFERROR(AVERAGEIF('🔢 Cálculo'!$B$4:$B$203,$A$10,'🔢 Cálculo'!$S$4:$S$203),0)+IFERROR(AVERAGEIF('🔢 Cálculo'!$B$4:$B$203,$A$10,'🔢 Cálculo'!$T$4:$T$203),0)+IFERROR(AVERAGEIF('🔢 Cálculo'!$B$4:$B$203,$A$10,'🔢 Cálculo'!$U$4:$U$203),0))/6,"")</f>
        <v>0</v>
      </c>
      <c r="E52" s="25" t="n">
        <f aca="false">IFERROR((IFERROR((5-AVERAGEIF('🔢 Cálculo'!$B$4:$B$203,$A$10,'🔢 Cálculo'!$P$4:$P$203))/4*100,0)+IFERROR((5-AVERAGEIF('🔢 Cálculo'!$B$4:$B$203,$A$10,'🔢 Cálculo'!$Q$4:$Q$203))/4*100,0)+IFERROR((5-AVERAGEIF('🔢 Cálculo'!$B$4:$B$203,$A$10,'🔢 Cálculo'!$R$4:$R$203))/4*100,0)+IFERROR((5-AVERAGEIF('🔢 Cálculo'!$B$4:$B$203,$A$10,'🔢 Cálculo'!$S$4:$S$203))/4*100,0)+IFERROR((5-AVERAGEIF('🔢 Cálculo'!$B$4:$B$203,$A$10,'🔢 Cálculo'!$T$4:$T$203))/4*100,0)+IFERROR((5-AVERAGEIF('🔢 Cálculo'!$B$4:$B$203,$A$10,'🔢 Cálculo'!$U$4:$U$203))/4*100,0))/6,"")</f>
        <v>0</v>
      </c>
      <c r="F52" s="15" t="str">
        <f aca="false">IFERROR(IF(E52="","",IF(E52&lt;25,"Baixo",IF(E52&lt;50,"Moderado",IF(E52&lt;75,"Alto","Crítico")))),"N/A")</f>
        <v>Baixo</v>
      </c>
      <c r="G52" s="15" t="str">
        <f aca="false">IF(F52="Crítico","🔴 AÇÃO IMEDIATA","")</f>
        <v/>
      </c>
      <c r="H52" s="15" t="str">
        <f aca="false">IF(F52="Alto","🟠 PRIORITÁRIO","")</f>
        <v/>
      </c>
      <c r="I52" s="15" t="str">
        <f aca="false">IF(F52="Moderado","⚠️ PLANEJAR","")</f>
        <v/>
      </c>
    </row>
    <row r="53" customFormat="false" ht="15" hidden="false" customHeight="false" outlineLevel="0" collapsed="false">
      <c r="A53" s="5" t="n">
        <f aca="false">$A$10</f>
        <v>0</v>
      </c>
      <c r="B53" s="23" t="s">
        <v>116</v>
      </c>
      <c r="C53" s="15" t="n">
        <f aca="false">COUNTIF('🔢 Cálculo'!$B$4:$B$203,$A$10)</f>
        <v>200</v>
      </c>
      <c r="D53" s="24" t="n">
        <f aca="false">IFERROR((IFERROR(AVERAGEIF('🔢 Cálculo'!$B$4:$B$203,$A$10,'🔢 Cálculo'!$V$4:$V$203),0)+IFERROR(AVERAGEIF('🔢 Cálculo'!$B$4:$B$203,$A$10,'🔢 Cálculo'!$W$4:$W$203),0)+IFERROR(AVERAGEIF('🔢 Cálculo'!$B$4:$B$203,$A$10,'🔢 Cálculo'!$X$4:$X$203),0)+IFERROR(AVERAGEIF('🔢 Cálculo'!$B$4:$B$203,$A$10,'🔢 Cálculo'!$Y$4:$Y$203),0)+IFERROR(AVERAGEIF('🔢 Cálculo'!$B$4:$B$203,$A$10,'🔢 Cálculo'!$Z$4:$Z$203),0))/5,"")</f>
        <v>0</v>
      </c>
      <c r="E53" s="25" t="n">
        <f aca="false">IFERROR((IFERROR((5-AVERAGEIF('🔢 Cálculo'!$B$4:$B$203,$A$10,'🔢 Cálculo'!$V$4:$V$203))/4*100,0)+IFERROR((5-AVERAGEIF('🔢 Cálculo'!$B$4:$B$203,$A$10,'🔢 Cálculo'!$W$4:$W$203))/4*100,0)+IFERROR((5-AVERAGEIF('🔢 Cálculo'!$B$4:$B$203,$A$10,'🔢 Cálculo'!$X$4:$X$203))/4*100,0)+IFERROR((5-AVERAGEIF('🔢 Cálculo'!$B$4:$B$203,$A$10,'🔢 Cálculo'!$Y$4:$Y$203))/4*100,0)+IFERROR((5-AVERAGEIF('🔢 Cálculo'!$B$4:$B$203,$A$10,'🔢 Cálculo'!$Z$4:$Z$203))/4*100,0))/5,"")</f>
        <v>0</v>
      </c>
      <c r="F53" s="15" t="str">
        <f aca="false">IFERROR(IF(E53="","",IF(E53&lt;25,"Baixo",IF(E53&lt;50,"Moderado",IF(E53&lt;75,"Alto","Crítico")))),"N/A")</f>
        <v>Baixo</v>
      </c>
      <c r="G53" s="15" t="str">
        <f aca="false">IF(F53="Crítico","🔴 AÇÃO IMEDIATA","")</f>
        <v/>
      </c>
      <c r="H53" s="15" t="str">
        <f aca="false">IF(F53="Alto","🟠 PRIORITÁRIO","")</f>
        <v/>
      </c>
      <c r="I53" s="15" t="str">
        <f aca="false">IF(F53="Moderado","⚠️ PLANEJAR","")</f>
        <v/>
      </c>
    </row>
    <row r="54" customFormat="false" ht="15" hidden="false" customHeight="false" outlineLevel="0" collapsed="false">
      <c r="A54" s="5" t="n">
        <f aca="false">$A$10</f>
        <v>0</v>
      </c>
      <c r="B54" s="23" t="s">
        <v>127</v>
      </c>
      <c r="C54" s="15" t="n">
        <f aca="false">COUNTIF('🔢 Cálculo'!$B$4:$B$203,$A$10)</f>
        <v>200</v>
      </c>
      <c r="D54" s="24" t="n">
        <f aca="false">IFERROR((IFERROR(AVERAGEIF('🔢 Cálculo'!$B$4:$B$203,$A$10,'🔢 Cálculo'!$AA$4:$AA$203),0)+IFERROR(AVERAGEIF('🔢 Cálculo'!$B$4:$B$203,$A$10,'🔢 Cálculo'!$AB$4:$AB$203),0)+IFERROR(AVERAGEIF('🔢 Cálculo'!$B$4:$B$203,$A$10,'🔢 Cálculo'!$AC$4:$AC$203),0)+IFERROR(AVERAGEIF('🔢 Cálculo'!$B$4:$B$203,$A$10,'🔢 Cálculo'!$AD$4:$AD$203),0)+IFERROR(AVERAGEIF('🔢 Cálculo'!$B$4:$B$203,$A$10,'🔢 Cálculo'!$AE$4:$AE$203),0))/5,"")</f>
        <v>0</v>
      </c>
      <c r="E54" s="25" t="n">
        <f aca="false">IFERROR((IFERROR((5-AVERAGEIF('🔢 Cálculo'!$B$4:$B$203,$A$10,'🔢 Cálculo'!$AA$4:$AA$203))/4*100,0)+IFERROR((5-AVERAGEIF('🔢 Cálculo'!$B$4:$B$203,$A$10,'🔢 Cálculo'!$AB$4:$AB$203))/4*100,0)+IFERROR((5-AVERAGEIF('🔢 Cálculo'!$B$4:$B$203,$A$10,'🔢 Cálculo'!$AC$4:$AC$203))/4*100,0)+IFERROR((5-AVERAGEIF('🔢 Cálculo'!$B$4:$B$203,$A$10,'🔢 Cálculo'!$AD$4:$AD$203))/4*100,0)+IFERROR((AVERAGEIF('🔢 Cálculo'!$B$4:$B$203,$A$10,'🔢 Cálculo'!$AE$4:$AE$203)-1)/4*100,0))/5,"")</f>
        <v>0</v>
      </c>
      <c r="F54" s="15" t="str">
        <f aca="false">IFERROR(IF(E54="","",IF(E54&lt;25,"Baixo",IF(E54&lt;50,"Moderado",IF(E54&lt;75,"Alto","Crítico")))),"N/A")</f>
        <v>Baixo</v>
      </c>
      <c r="G54" s="15" t="str">
        <f aca="false">IF(F54="Crítico","🔴 AÇÃO IMEDIATA","")</f>
        <v/>
      </c>
      <c r="H54" s="15" t="str">
        <f aca="false">IF(F54="Alto","🟠 PRIORITÁRIO","")</f>
        <v/>
      </c>
      <c r="I54" s="15" t="str">
        <f aca="false">IF(F54="Moderado","⚠️ PLANEJAR","")</f>
        <v/>
      </c>
    </row>
    <row r="55" customFormat="false" ht="15" hidden="false" customHeight="false" outlineLevel="0" collapsed="false">
      <c r="A55" s="5" t="n">
        <f aca="false">$A$10</f>
        <v>0</v>
      </c>
      <c r="B55" s="23" t="s">
        <v>138</v>
      </c>
      <c r="C55" s="15" t="n">
        <f aca="false">COUNTIF('🔢 Cálculo'!$B$4:$B$203,$A$10)</f>
        <v>200</v>
      </c>
      <c r="D55" s="24" t="n">
        <f aca="false">IFERROR((IFERROR(AVERAGEIF('🔢 Cálculo'!$B$4:$B$203,$A$10,'🔢 Cálculo'!$AF$4:$AF$203),0)+IFERROR(AVERAGEIF('🔢 Cálculo'!$B$4:$B$203,$A$10,'🔢 Cálculo'!$AG$4:$AG$203),0)+IFERROR(AVERAGEIF('🔢 Cálculo'!$B$4:$B$203,$A$10,'🔢 Cálculo'!$AH$4:$AH$203),0)+IFERROR(AVERAGEIF('🔢 Cálculo'!$B$4:$B$203,$A$10,'🔢 Cálculo'!$AI$4:$AI$203),0)+IFERROR(AVERAGEIF('🔢 Cálculo'!$B$4:$B$203,$A$10,'🔢 Cálculo'!$AJ$4:$AJ$203),0)+IFERROR(AVERAGEIF('🔢 Cálculo'!$B$4:$B$203,$A$10,'🔢 Cálculo'!$AK$4:$AK$203),0)+IFERROR(AVERAGEIF('🔢 Cálculo'!$B$4:$B$203,$A$10,'🔢 Cálculo'!$AL$4:$AL$203),0)+IFERROR(AVERAGEIF('🔢 Cálculo'!$B$4:$B$203,$A$10,'🔢 Cálculo'!$AM$4:$AM$203),0)+IFERROR(AVERAGEIF('🔢 Cálculo'!$B$4:$B$203,$A$10,'🔢 Cálculo'!$AN$4:$AN$203),0))/9,"")</f>
        <v>0</v>
      </c>
      <c r="E55" s="25" t="n">
        <f aca="false">IFERROR((IFERROR((5-AVERAGEIF('🔢 Cálculo'!$B$4:$B$203,$A$10,'🔢 Cálculo'!$AF$4:$AF$203))/4*100,0)+IFERROR((AVERAGEIF('🔢 Cálculo'!$B$4:$B$203,$A$10,'🔢 Cálculo'!$AG$4:$AG$203)-1)/4*100,0)+IFERROR((AVERAGEIF('🔢 Cálculo'!$B$4:$B$203,$A$10,'🔢 Cálculo'!$AH$4:$AH$203)-1)/4*100,0)+IFERROR((AVERAGEIF('🔢 Cálculo'!$B$4:$B$203,$A$10,'🔢 Cálculo'!$AI$4:$AI$203)-1)/4*100,0)+IFERROR((AVERAGEIF('🔢 Cálculo'!$B$4:$B$203,$A$10,'🔢 Cálculo'!$AJ$4:$AJ$203)-1)/4*100,0)+IFERROR((AVERAGEIF('🔢 Cálculo'!$B$4:$B$203,$A$10,'🔢 Cálculo'!$AK$4:$AK$203)-1)/4*100,0)+IFERROR((AVERAGEIF('🔢 Cálculo'!$B$4:$B$203,$A$10,'🔢 Cálculo'!$AL$4:$AL$203)-1)/4*100,0)+IFERROR((AVERAGEIF('🔢 Cálculo'!$B$4:$B$203,$A$10,'🔢 Cálculo'!$AM$4:$AM$203)-1)/4*100,0)+IFERROR((AVERAGEIF('🔢 Cálculo'!$B$4:$B$203,$A$10,'🔢 Cálculo'!$AN$4:$AN$203)-1)/4*100,0))/9,"")</f>
        <v>0</v>
      </c>
      <c r="F55" s="15" t="str">
        <f aca="false">IFERROR(IF(E55="","",IF(E55&lt;25,"Baixo",IF(E55&lt;50,"Moderado",IF(E55&lt;75,"Alto","Crítico")))),"N/A")</f>
        <v>Baixo</v>
      </c>
      <c r="G55" s="15" t="str">
        <f aca="false">IF(F55="Crítico","🔴 AÇÃO IMEDIATA","")</f>
        <v/>
      </c>
      <c r="H55" s="15" t="str">
        <f aca="false">IF(F55="Alto","🟠 PRIORITÁRIO","")</f>
        <v/>
      </c>
      <c r="I55" s="15" t="str">
        <f aca="false">IF(F55="Moderado","⚠️ PLANEJAR","")</f>
        <v/>
      </c>
    </row>
    <row r="56" customFormat="false" ht="15" hidden="false" customHeight="false" outlineLevel="0" collapsed="false">
      <c r="A56" s="5" t="n">
        <f aca="false">$A$10</f>
        <v>0</v>
      </c>
      <c r="B56" s="23" t="s">
        <v>157</v>
      </c>
      <c r="C56" s="15" t="n">
        <f aca="false">COUNTIF('🔢 Cálculo'!$B$4:$B$203,$A$10)</f>
        <v>200</v>
      </c>
      <c r="D56" s="24" t="n">
        <f aca="false">IFERROR((IFERROR(AVERAGEIF('🔢 Cálculo'!$B$4:$B$203,$A$10,'🔢 Cálculo'!$AO$4:$AO$203),0)+IFERROR(AVERAGEIF('🔢 Cálculo'!$B$4:$B$203,$A$10,'🔢 Cálculo'!$AP$4:$AP$203),0)+IFERROR(AVERAGEIF('🔢 Cálculo'!$B$4:$B$203,$A$10,'🔢 Cálculo'!$AQ$4:$AQ$203),0)+IFERROR(AVERAGEIF('🔢 Cálculo'!$B$4:$B$203,$A$10,'🔢 Cálculo'!$AR$4:$AR$203),0))/4,"")</f>
        <v>0</v>
      </c>
      <c r="E56" s="25" t="n">
        <f aca="false">IFERROR((IFERROR((AVERAGEIF('🔢 Cálculo'!$B$4:$B$203,$A$10,'🔢 Cálculo'!$AO$4:$AO$203)-1)/4*100,0)+IFERROR((AVERAGEIF('🔢 Cálculo'!$B$4:$B$203,$A$10,'🔢 Cálculo'!$AP$4:$AP$203)-1)/4*100,0)+IFERROR((AVERAGEIF('🔢 Cálculo'!$B$4:$B$203,$A$10,'🔢 Cálculo'!$AQ$4:$AQ$203)-1)/4*100,0)+IFERROR((AVERAGEIF('🔢 Cálculo'!$B$4:$B$203,$A$10,'🔢 Cálculo'!$AR$4:$AR$203)-1)/4*100,0))/4,"")</f>
        <v>0</v>
      </c>
      <c r="F56" s="15" t="str">
        <f aca="false">IFERROR(IF(E56="","",IF(E56&lt;25,"Baixo",IF(E56&lt;50,"Moderado",IF(E56&lt;75,"Alto","Crítico")))),"N/A")</f>
        <v>Baixo</v>
      </c>
      <c r="G56" s="15" t="str">
        <f aca="false">IF(F56="Crítico","🔴 AÇÃO IMEDIATA","")</f>
        <v/>
      </c>
      <c r="H56" s="15" t="str">
        <f aca="false">IF(F56="Alto","🟠 PRIORITÁRIO","")</f>
        <v/>
      </c>
      <c r="I56" s="15" t="str">
        <f aca="false">IF(F56="Moderado","⚠️ PLANEJAR","")</f>
        <v/>
      </c>
    </row>
    <row r="57" customFormat="false" ht="15" hidden="false" customHeight="false" outlineLevel="0" collapsed="false">
      <c r="A57" s="13" t="n">
        <f aca="false">$A$11</f>
        <v>0</v>
      </c>
      <c r="B57" s="20" t="s">
        <v>61</v>
      </c>
      <c r="C57" s="12" t="n">
        <f aca="false">COUNTIF('🔢 Cálculo'!$B$4:$B$203,$A$11)</f>
        <v>200</v>
      </c>
      <c r="D57" s="21" t="n">
        <f aca="false">IFERROR((IFERROR(AVERAGEIF('🔢 Cálculo'!$B$4:$B$203,$A$11,'🔢 Cálculo'!$D$4:$D$203),0)+IFERROR(AVERAGEIF('🔢 Cálculo'!$B$4:$B$203,$A$11,'🔢 Cálculo'!$E$4:$E$203),0)+IFERROR(AVERAGEIF('🔢 Cálculo'!$B$4:$B$203,$A$11,'🔢 Cálculo'!$F$4:$F$203),0)+IFERROR(AVERAGEIF('🔢 Cálculo'!$B$4:$B$203,$A$11,'🔢 Cálculo'!$G$4:$G$203),0)+IFERROR(AVERAGEIF('🔢 Cálculo'!$B$4:$B$203,$A$11,'🔢 Cálculo'!$H$4:$H$203),0)+IFERROR(AVERAGEIF('🔢 Cálculo'!$B$4:$B$203,$A$11,'🔢 Cálculo'!$I$4:$I$203),0))/6,"")</f>
        <v>0</v>
      </c>
      <c r="E57" s="22" t="n">
        <f aca="false">IFERROR((IFERROR((AVERAGEIF('🔢 Cálculo'!$B$4:$B$203,$A$11,'🔢 Cálculo'!$D$4:$D$203)-1)/4*100,0)+IFERROR((AVERAGEIF('🔢 Cálculo'!$B$4:$B$203,$A$11,'🔢 Cálculo'!$E$4:$E$203)-1)/4*100,0)+IFERROR((AVERAGEIF('🔢 Cálculo'!$B$4:$B$203,$A$11,'🔢 Cálculo'!$F$4:$F$203)-1)/4*100,0)+IFERROR((AVERAGEIF('🔢 Cálculo'!$B$4:$B$203,$A$11,'🔢 Cálculo'!$G$4:$G$203)-1)/4*100,0)+IFERROR((AVERAGEIF('🔢 Cálculo'!$B$4:$B$203,$A$11,'🔢 Cálculo'!$H$4:$H$203)-1)/4*100,0)+IFERROR((AVERAGEIF('🔢 Cálculo'!$B$4:$B$203,$A$11,'🔢 Cálculo'!$I$4:$I$203)-1)/4*100,0))/6,"")</f>
        <v>0</v>
      </c>
      <c r="F57" s="12" t="str">
        <f aca="false">IFERROR(IF(E57="","",IF(E57&lt;25,"Baixo",IF(E57&lt;50,"Moderado",IF(E57&lt;75,"Alto","Crítico")))),"N/A")</f>
        <v>Baixo</v>
      </c>
      <c r="G57" s="12" t="str">
        <f aca="false">IF(F57="Crítico","🔴 AÇÃO IMEDIATA","")</f>
        <v/>
      </c>
      <c r="H57" s="12" t="str">
        <f aca="false">IF(F57="Alto","🟠 PRIORITÁRIO","")</f>
        <v/>
      </c>
      <c r="I57" s="12" t="str">
        <f aca="false">IF(F57="Moderado","⚠️ PLANEJAR","")</f>
        <v/>
      </c>
    </row>
    <row r="58" customFormat="false" ht="15" hidden="false" customHeight="false" outlineLevel="0" collapsed="false">
      <c r="A58" s="13" t="n">
        <f aca="false">$A$11</f>
        <v>0</v>
      </c>
      <c r="B58" s="20" t="s">
        <v>87</v>
      </c>
      <c r="C58" s="12" t="n">
        <f aca="false">COUNTIF('🔢 Cálculo'!$B$4:$B$203,$A$11)</f>
        <v>200</v>
      </c>
      <c r="D58" s="21" t="n">
        <f aca="false">IFERROR((IFERROR(AVERAGEIF('🔢 Cálculo'!$B$4:$B$203,$A$11,'🔢 Cálculo'!$J$4:$J$203),0)+IFERROR(AVERAGEIF('🔢 Cálculo'!$B$4:$B$203,$A$11,'🔢 Cálculo'!$K$4:$K$203),0)+IFERROR(AVERAGEIF('🔢 Cálculo'!$B$4:$B$203,$A$11,'🔢 Cálculo'!$L$4:$L$203),0)+IFERROR(AVERAGEIF('🔢 Cálculo'!$B$4:$B$203,$A$11,'🔢 Cálculo'!$M$4:$M$203),0)+IFERROR(AVERAGEIF('🔢 Cálculo'!$B$4:$B$203,$A$11,'🔢 Cálculo'!$N$4:$N$203),0)+IFERROR(AVERAGEIF('🔢 Cálculo'!$B$4:$B$203,$A$11,'🔢 Cálculo'!$O$4:$O$203),0))/6,"")</f>
        <v>0</v>
      </c>
      <c r="E58" s="22" t="n">
        <f aca="false">IFERROR((IFERROR((5-AVERAGEIF('🔢 Cálculo'!$B$4:$B$203,$A$11,'🔢 Cálculo'!$J$4:$J$203))/4*100,0)+IFERROR((5-AVERAGEIF('🔢 Cálculo'!$B$4:$B$203,$A$11,'🔢 Cálculo'!$K$4:$K$203))/4*100,0)+IFERROR((5-AVERAGEIF('🔢 Cálculo'!$B$4:$B$203,$A$11,'🔢 Cálculo'!$L$4:$L$203))/4*100,0)+IFERROR((5-AVERAGEIF('🔢 Cálculo'!$B$4:$B$203,$A$11,'🔢 Cálculo'!$M$4:$M$203))/4*100,0)+IFERROR((5-AVERAGEIF('🔢 Cálculo'!$B$4:$B$203,$A$11,'🔢 Cálculo'!$N$4:$N$203))/4*100,0)+IFERROR((5-AVERAGEIF('🔢 Cálculo'!$B$4:$B$203,$A$11,'🔢 Cálculo'!$O$4:$O$203))/4*100,0))/6,"")</f>
        <v>0</v>
      </c>
      <c r="F58" s="12" t="str">
        <f aca="false">IFERROR(IF(E58="","",IF(E58&lt;25,"Baixo",IF(E58&lt;50,"Moderado",IF(E58&lt;75,"Alto","Crítico")))),"N/A")</f>
        <v>Baixo</v>
      </c>
      <c r="G58" s="12" t="str">
        <f aca="false">IF(F58="Crítico","🔴 AÇÃO IMEDIATA","")</f>
        <v/>
      </c>
      <c r="H58" s="12" t="str">
        <f aca="false">IF(F58="Alto","🟠 PRIORITÁRIO","")</f>
        <v/>
      </c>
      <c r="I58" s="12" t="str">
        <f aca="false">IF(F58="Moderado","⚠️ PLANEJAR","")</f>
        <v/>
      </c>
    </row>
    <row r="59" customFormat="false" ht="15" hidden="false" customHeight="false" outlineLevel="0" collapsed="false">
      <c r="A59" s="13" t="n">
        <f aca="false">$A$11</f>
        <v>0</v>
      </c>
      <c r="B59" s="20" t="s">
        <v>103</v>
      </c>
      <c r="C59" s="12" t="n">
        <f aca="false">COUNTIF('🔢 Cálculo'!$B$4:$B$203,$A$11)</f>
        <v>200</v>
      </c>
      <c r="D59" s="21" t="n">
        <f aca="false">IFERROR((IFERROR(AVERAGEIF('🔢 Cálculo'!$B$4:$B$203,$A$11,'🔢 Cálculo'!$P$4:$P$203),0)+IFERROR(AVERAGEIF('🔢 Cálculo'!$B$4:$B$203,$A$11,'🔢 Cálculo'!$Q$4:$Q$203),0)+IFERROR(AVERAGEIF('🔢 Cálculo'!$B$4:$B$203,$A$11,'🔢 Cálculo'!$R$4:$R$203),0)+IFERROR(AVERAGEIF('🔢 Cálculo'!$B$4:$B$203,$A$11,'🔢 Cálculo'!$S$4:$S$203),0)+IFERROR(AVERAGEIF('🔢 Cálculo'!$B$4:$B$203,$A$11,'🔢 Cálculo'!$T$4:$T$203),0)+IFERROR(AVERAGEIF('🔢 Cálculo'!$B$4:$B$203,$A$11,'🔢 Cálculo'!$U$4:$U$203),0))/6,"")</f>
        <v>0</v>
      </c>
      <c r="E59" s="22" t="n">
        <f aca="false">IFERROR((IFERROR((5-AVERAGEIF('🔢 Cálculo'!$B$4:$B$203,$A$11,'🔢 Cálculo'!$P$4:$P$203))/4*100,0)+IFERROR((5-AVERAGEIF('🔢 Cálculo'!$B$4:$B$203,$A$11,'🔢 Cálculo'!$Q$4:$Q$203))/4*100,0)+IFERROR((5-AVERAGEIF('🔢 Cálculo'!$B$4:$B$203,$A$11,'🔢 Cálculo'!$R$4:$R$203))/4*100,0)+IFERROR((5-AVERAGEIF('🔢 Cálculo'!$B$4:$B$203,$A$11,'🔢 Cálculo'!$S$4:$S$203))/4*100,0)+IFERROR((5-AVERAGEIF('🔢 Cálculo'!$B$4:$B$203,$A$11,'🔢 Cálculo'!$T$4:$T$203))/4*100,0)+IFERROR((5-AVERAGEIF('🔢 Cálculo'!$B$4:$B$203,$A$11,'🔢 Cálculo'!$U$4:$U$203))/4*100,0))/6,"")</f>
        <v>0</v>
      </c>
      <c r="F59" s="12" t="str">
        <f aca="false">IFERROR(IF(E59="","",IF(E59&lt;25,"Baixo",IF(E59&lt;50,"Moderado",IF(E59&lt;75,"Alto","Crítico")))),"N/A")</f>
        <v>Baixo</v>
      </c>
      <c r="G59" s="12" t="str">
        <f aca="false">IF(F59="Crítico","🔴 AÇÃO IMEDIATA","")</f>
        <v/>
      </c>
      <c r="H59" s="12" t="str">
        <f aca="false">IF(F59="Alto","🟠 PRIORITÁRIO","")</f>
        <v/>
      </c>
      <c r="I59" s="12" t="str">
        <f aca="false">IF(F59="Moderado","⚠️ PLANEJAR","")</f>
        <v/>
      </c>
    </row>
    <row r="60" customFormat="false" ht="15" hidden="false" customHeight="false" outlineLevel="0" collapsed="false">
      <c r="A60" s="13" t="n">
        <f aca="false">$A$11</f>
        <v>0</v>
      </c>
      <c r="B60" s="20" t="s">
        <v>116</v>
      </c>
      <c r="C60" s="12" t="n">
        <f aca="false">COUNTIF('🔢 Cálculo'!$B$4:$B$203,$A$11)</f>
        <v>200</v>
      </c>
      <c r="D60" s="21" t="n">
        <f aca="false">IFERROR((IFERROR(AVERAGEIF('🔢 Cálculo'!$B$4:$B$203,$A$11,'🔢 Cálculo'!$V$4:$V$203),0)+IFERROR(AVERAGEIF('🔢 Cálculo'!$B$4:$B$203,$A$11,'🔢 Cálculo'!$W$4:$W$203),0)+IFERROR(AVERAGEIF('🔢 Cálculo'!$B$4:$B$203,$A$11,'🔢 Cálculo'!$X$4:$X$203),0)+IFERROR(AVERAGEIF('🔢 Cálculo'!$B$4:$B$203,$A$11,'🔢 Cálculo'!$Y$4:$Y$203),0)+IFERROR(AVERAGEIF('🔢 Cálculo'!$B$4:$B$203,$A$11,'🔢 Cálculo'!$Z$4:$Z$203),0))/5,"")</f>
        <v>0</v>
      </c>
      <c r="E60" s="22" t="n">
        <f aca="false">IFERROR((IFERROR((5-AVERAGEIF('🔢 Cálculo'!$B$4:$B$203,$A$11,'🔢 Cálculo'!$V$4:$V$203))/4*100,0)+IFERROR((5-AVERAGEIF('🔢 Cálculo'!$B$4:$B$203,$A$11,'🔢 Cálculo'!$W$4:$W$203))/4*100,0)+IFERROR((5-AVERAGEIF('🔢 Cálculo'!$B$4:$B$203,$A$11,'🔢 Cálculo'!$X$4:$X$203))/4*100,0)+IFERROR((5-AVERAGEIF('🔢 Cálculo'!$B$4:$B$203,$A$11,'🔢 Cálculo'!$Y$4:$Y$203))/4*100,0)+IFERROR((5-AVERAGEIF('🔢 Cálculo'!$B$4:$B$203,$A$11,'🔢 Cálculo'!$Z$4:$Z$203))/4*100,0))/5,"")</f>
        <v>0</v>
      </c>
      <c r="F60" s="12" t="str">
        <f aca="false">IFERROR(IF(E60="","",IF(E60&lt;25,"Baixo",IF(E60&lt;50,"Moderado",IF(E60&lt;75,"Alto","Crítico")))),"N/A")</f>
        <v>Baixo</v>
      </c>
      <c r="G60" s="12" t="str">
        <f aca="false">IF(F60="Crítico","🔴 AÇÃO IMEDIATA","")</f>
        <v/>
      </c>
      <c r="H60" s="12" t="str">
        <f aca="false">IF(F60="Alto","🟠 PRIORITÁRIO","")</f>
        <v/>
      </c>
      <c r="I60" s="12" t="str">
        <f aca="false">IF(F60="Moderado","⚠️ PLANEJAR","")</f>
        <v/>
      </c>
    </row>
    <row r="61" customFormat="false" ht="15" hidden="false" customHeight="false" outlineLevel="0" collapsed="false">
      <c r="A61" s="13" t="n">
        <f aca="false">$A$11</f>
        <v>0</v>
      </c>
      <c r="B61" s="20" t="s">
        <v>127</v>
      </c>
      <c r="C61" s="12" t="n">
        <f aca="false">COUNTIF('🔢 Cálculo'!$B$4:$B$203,$A$11)</f>
        <v>200</v>
      </c>
      <c r="D61" s="21" t="n">
        <f aca="false">IFERROR((IFERROR(AVERAGEIF('🔢 Cálculo'!$B$4:$B$203,$A$11,'🔢 Cálculo'!$AA$4:$AA$203),0)+IFERROR(AVERAGEIF('🔢 Cálculo'!$B$4:$B$203,$A$11,'🔢 Cálculo'!$AB$4:$AB$203),0)+IFERROR(AVERAGEIF('🔢 Cálculo'!$B$4:$B$203,$A$11,'🔢 Cálculo'!$AC$4:$AC$203),0)+IFERROR(AVERAGEIF('🔢 Cálculo'!$B$4:$B$203,$A$11,'🔢 Cálculo'!$AD$4:$AD$203),0)+IFERROR(AVERAGEIF('🔢 Cálculo'!$B$4:$B$203,$A$11,'🔢 Cálculo'!$AE$4:$AE$203),0))/5,"")</f>
        <v>0</v>
      </c>
      <c r="E61" s="22" t="n">
        <f aca="false">IFERROR((IFERROR((5-AVERAGEIF('🔢 Cálculo'!$B$4:$B$203,$A$11,'🔢 Cálculo'!$AA$4:$AA$203))/4*100,0)+IFERROR((5-AVERAGEIF('🔢 Cálculo'!$B$4:$B$203,$A$11,'🔢 Cálculo'!$AB$4:$AB$203))/4*100,0)+IFERROR((5-AVERAGEIF('🔢 Cálculo'!$B$4:$B$203,$A$11,'🔢 Cálculo'!$AC$4:$AC$203))/4*100,0)+IFERROR((5-AVERAGEIF('🔢 Cálculo'!$B$4:$B$203,$A$11,'🔢 Cálculo'!$AD$4:$AD$203))/4*100,0)+IFERROR((AVERAGEIF('🔢 Cálculo'!$B$4:$B$203,$A$11,'🔢 Cálculo'!$AE$4:$AE$203)-1)/4*100,0))/5,"")</f>
        <v>0</v>
      </c>
      <c r="F61" s="12" t="str">
        <f aca="false">IFERROR(IF(E61="","",IF(E61&lt;25,"Baixo",IF(E61&lt;50,"Moderado",IF(E61&lt;75,"Alto","Crítico")))),"N/A")</f>
        <v>Baixo</v>
      </c>
      <c r="G61" s="12" t="str">
        <f aca="false">IF(F61="Crítico","🔴 AÇÃO IMEDIATA","")</f>
        <v/>
      </c>
      <c r="H61" s="12" t="str">
        <f aca="false">IF(F61="Alto","🟠 PRIORITÁRIO","")</f>
        <v/>
      </c>
      <c r="I61" s="12" t="str">
        <f aca="false">IF(F61="Moderado","⚠️ PLANEJAR","")</f>
        <v/>
      </c>
    </row>
    <row r="62" customFormat="false" ht="15" hidden="false" customHeight="false" outlineLevel="0" collapsed="false">
      <c r="A62" s="13" t="n">
        <f aca="false">$A$11</f>
        <v>0</v>
      </c>
      <c r="B62" s="20" t="s">
        <v>138</v>
      </c>
      <c r="C62" s="12" t="n">
        <f aca="false">COUNTIF('🔢 Cálculo'!$B$4:$B$203,$A$11)</f>
        <v>200</v>
      </c>
      <c r="D62" s="21" t="n">
        <f aca="false">IFERROR((IFERROR(AVERAGEIF('🔢 Cálculo'!$B$4:$B$203,$A$11,'🔢 Cálculo'!$AF$4:$AF$203),0)+IFERROR(AVERAGEIF('🔢 Cálculo'!$B$4:$B$203,$A$11,'🔢 Cálculo'!$AG$4:$AG$203),0)+IFERROR(AVERAGEIF('🔢 Cálculo'!$B$4:$B$203,$A$11,'🔢 Cálculo'!$AH$4:$AH$203),0)+IFERROR(AVERAGEIF('🔢 Cálculo'!$B$4:$B$203,$A$11,'🔢 Cálculo'!$AI$4:$AI$203),0)+IFERROR(AVERAGEIF('🔢 Cálculo'!$B$4:$B$203,$A$11,'🔢 Cálculo'!$AJ$4:$AJ$203),0)+IFERROR(AVERAGEIF('🔢 Cálculo'!$B$4:$B$203,$A$11,'🔢 Cálculo'!$AK$4:$AK$203),0)+IFERROR(AVERAGEIF('🔢 Cálculo'!$B$4:$B$203,$A$11,'🔢 Cálculo'!$AL$4:$AL$203),0)+IFERROR(AVERAGEIF('🔢 Cálculo'!$B$4:$B$203,$A$11,'🔢 Cálculo'!$AM$4:$AM$203),0)+IFERROR(AVERAGEIF('🔢 Cálculo'!$B$4:$B$203,$A$11,'🔢 Cálculo'!$AN$4:$AN$203),0))/9,"")</f>
        <v>0</v>
      </c>
      <c r="E62" s="22" t="n">
        <f aca="false">IFERROR((IFERROR((5-AVERAGEIF('🔢 Cálculo'!$B$4:$B$203,$A$11,'🔢 Cálculo'!$AF$4:$AF$203))/4*100,0)+IFERROR((AVERAGEIF('🔢 Cálculo'!$B$4:$B$203,$A$11,'🔢 Cálculo'!$AG$4:$AG$203)-1)/4*100,0)+IFERROR((AVERAGEIF('🔢 Cálculo'!$B$4:$B$203,$A$11,'🔢 Cálculo'!$AH$4:$AH$203)-1)/4*100,0)+IFERROR((AVERAGEIF('🔢 Cálculo'!$B$4:$B$203,$A$11,'🔢 Cálculo'!$AI$4:$AI$203)-1)/4*100,0)+IFERROR((AVERAGEIF('🔢 Cálculo'!$B$4:$B$203,$A$11,'🔢 Cálculo'!$AJ$4:$AJ$203)-1)/4*100,0)+IFERROR((AVERAGEIF('🔢 Cálculo'!$B$4:$B$203,$A$11,'🔢 Cálculo'!$AK$4:$AK$203)-1)/4*100,0)+IFERROR((AVERAGEIF('🔢 Cálculo'!$B$4:$B$203,$A$11,'🔢 Cálculo'!$AL$4:$AL$203)-1)/4*100,0)+IFERROR((AVERAGEIF('🔢 Cálculo'!$B$4:$B$203,$A$11,'🔢 Cálculo'!$AM$4:$AM$203)-1)/4*100,0)+IFERROR((AVERAGEIF('🔢 Cálculo'!$B$4:$B$203,$A$11,'🔢 Cálculo'!$AN$4:$AN$203)-1)/4*100,0))/9,"")</f>
        <v>0</v>
      </c>
      <c r="F62" s="12" t="str">
        <f aca="false">IFERROR(IF(E62="","",IF(E62&lt;25,"Baixo",IF(E62&lt;50,"Moderado",IF(E62&lt;75,"Alto","Crítico")))),"N/A")</f>
        <v>Baixo</v>
      </c>
      <c r="G62" s="12" t="str">
        <f aca="false">IF(F62="Crítico","🔴 AÇÃO IMEDIATA","")</f>
        <v/>
      </c>
      <c r="H62" s="12" t="str">
        <f aca="false">IF(F62="Alto","🟠 PRIORITÁRIO","")</f>
        <v/>
      </c>
      <c r="I62" s="12" t="str">
        <f aca="false">IF(F62="Moderado","⚠️ PLANEJAR","")</f>
        <v/>
      </c>
    </row>
    <row r="63" customFormat="false" ht="15" hidden="false" customHeight="false" outlineLevel="0" collapsed="false">
      <c r="A63" s="13" t="n">
        <f aca="false">$A$11</f>
        <v>0</v>
      </c>
      <c r="B63" s="20" t="s">
        <v>157</v>
      </c>
      <c r="C63" s="12" t="n">
        <f aca="false">COUNTIF('🔢 Cálculo'!$B$4:$B$203,$A$11)</f>
        <v>200</v>
      </c>
      <c r="D63" s="21" t="n">
        <f aca="false">IFERROR((IFERROR(AVERAGEIF('🔢 Cálculo'!$B$4:$B$203,$A$11,'🔢 Cálculo'!$AO$4:$AO$203),0)+IFERROR(AVERAGEIF('🔢 Cálculo'!$B$4:$B$203,$A$11,'🔢 Cálculo'!$AP$4:$AP$203),0)+IFERROR(AVERAGEIF('🔢 Cálculo'!$B$4:$B$203,$A$11,'🔢 Cálculo'!$AQ$4:$AQ$203),0)+IFERROR(AVERAGEIF('🔢 Cálculo'!$B$4:$B$203,$A$11,'🔢 Cálculo'!$AR$4:$AR$203),0))/4,"")</f>
        <v>0</v>
      </c>
      <c r="E63" s="22" t="n">
        <f aca="false">IFERROR((IFERROR((AVERAGEIF('🔢 Cálculo'!$B$4:$B$203,$A$11,'🔢 Cálculo'!$AO$4:$AO$203)-1)/4*100,0)+IFERROR((AVERAGEIF('🔢 Cálculo'!$B$4:$B$203,$A$11,'🔢 Cálculo'!$AP$4:$AP$203)-1)/4*100,0)+IFERROR((AVERAGEIF('🔢 Cálculo'!$B$4:$B$203,$A$11,'🔢 Cálculo'!$AQ$4:$AQ$203)-1)/4*100,0)+IFERROR((AVERAGEIF('🔢 Cálculo'!$B$4:$B$203,$A$11,'🔢 Cálculo'!$AR$4:$AR$203)-1)/4*100,0))/4,"")</f>
        <v>0</v>
      </c>
      <c r="F63" s="12" t="str">
        <f aca="false">IFERROR(IF(E63="","",IF(E63&lt;25,"Baixo",IF(E63&lt;50,"Moderado",IF(E63&lt;75,"Alto","Crítico")))),"N/A")</f>
        <v>Baixo</v>
      </c>
      <c r="G63" s="12" t="str">
        <f aca="false">IF(F63="Crítico","🔴 AÇÃO IMEDIATA","")</f>
        <v/>
      </c>
      <c r="H63" s="12" t="str">
        <f aca="false">IF(F63="Alto","🟠 PRIORITÁRIO","")</f>
        <v/>
      </c>
      <c r="I63" s="12" t="str">
        <f aca="false">IF(F63="Moderado","⚠️ PLANEJAR","")</f>
        <v/>
      </c>
    </row>
    <row r="64" customFormat="false" ht="15" hidden="false" customHeight="false" outlineLevel="0" collapsed="false">
      <c r="A64" s="5" t="n">
        <f aca="false">$A$12</f>
        <v>0</v>
      </c>
      <c r="B64" s="23" t="s">
        <v>61</v>
      </c>
      <c r="C64" s="15" t="n">
        <f aca="false">COUNTIF('🔢 Cálculo'!$B$4:$B$203,$A$12)</f>
        <v>200</v>
      </c>
      <c r="D64" s="24" t="n">
        <f aca="false">IFERROR((IFERROR(AVERAGEIF('🔢 Cálculo'!$B$4:$B$203,$A$12,'🔢 Cálculo'!$D$4:$D$203),0)+IFERROR(AVERAGEIF('🔢 Cálculo'!$B$4:$B$203,$A$12,'🔢 Cálculo'!$E$4:$E$203),0)+IFERROR(AVERAGEIF('🔢 Cálculo'!$B$4:$B$203,$A$12,'🔢 Cálculo'!$F$4:$F$203),0)+IFERROR(AVERAGEIF('🔢 Cálculo'!$B$4:$B$203,$A$12,'🔢 Cálculo'!$G$4:$G$203),0)+IFERROR(AVERAGEIF('🔢 Cálculo'!$B$4:$B$203,$A$12,'🔢 Cálculo'!$H$4:$H$203),0)+IFERROR(AVERAGEIF('🔢 Cálculo'!$B$4:$B$203,$A$12,'🔢 Cálculo'!$I$4:$I$203),0))/6,"")</f>
        <v>0</v>
      </c>
      <c r="E64" s="25" t="n">
        <f aca="false">IFERROR((IFERROR((AVERAGEIF('🔢 Cálculo'!$B$4:$B$203,$A$12,'🔢 Cálculo'!$D$4:$D$203)-1)/4*100,0)+IFERROR((AVERAGEIF('🔢 Cálculo'!$B$4:$B$203,$A$12,'🔢 Cálculo'!$E$4:$E$203)-1)/4*100,0)+IFERROR((AVERAGEIF('🔢 Cálculo'!$B$4:$B$203,$A$12,'🔢 Cálculo'!$F$4:$F$203)-1)/4*100,0)+IFERROR((AVERAGEIF('🔢 Cálculo'!$B$4:$B$203,$A$12,'🔢 Cálculo'!$G$4:$G$203)-1)/4*100,0)+IFERROR((AVERAGEIF('🔢 Cálculo'!$B$4:$B$203,$A$12,'🔢 Cálculo'!$H$4:$H$203)-1)/4*100,0)+IFERROR((AVERAGEIF('🔢 Cálculo'!$B$4:$B$203,$A$12,'🔢 Cálculo'!$I$4:$I$203)-1)/4*100,0))/6,"")</f>
        <v>0</v>
      </c>
      <c r="F64" s="15" t="str">
        <f aca="false">IFERROR(IF(E64="","",IF(E64&lt;25,"Baixo",IF(E64&lt;50,"Moderado",IF(E64&lt;75,"Alto","Crítico")))),"N/A")</f>
        <v>Baixo</v>
      </c>
      <c r="G64" s="15" t="str">
        <f aca="false">IF(F64="Crítico","🔴 AÇÃO IMEDIATA","")</f>
        <v/>
      </c>
      <c r="H64" s="15" t="str">
        <f aca="false">IF(F64="Alto","🟠 PRIORITÁRIO","")</f>
        <v/>
      </c>
      <c r="I64" s="15" t="str">
        <f aca="false">IF(F64="Moderado","⚠️ PLANEJAR","")</f>
        <v/>
      </c>
    </row>
    <row r="65" customFormat="false" ht="15" hidden="false" customHeight="false" outlineLevel="0" collapsed="false">
      <c r="A65" s="5" t="n">
        <f aca="false">$A$12</f>
        <v>0</v>
      </c>
      <c r="B65" s="23" t="s">
        <v>87</v>
      </c>
      <c r="C65" s="15" t="n">
        <f aca="false">COUNTIF('🔢 Cálculo'!$B$4:$B$203,$A$12)</f>
        <v>200</v>
      </c>
      <c r="D65" s="24" t="n">
        <f aca="false">IFERROR((IFERROR(AVERAGEIF('🔢 Cálculo'!$B$4:$B$203,$A$12,'🔢 Cálculo'!$J$4:$J$203),0)+IFERROR(AVERAGEIF('🔢 Cálculo'!$B$4:$B$203,$A$12,'🔢 Cálculo'!$K$4:$K$203),0)+IFERROR(AVERAGEIF('🔢 Cálculo'!$B$4:$B$203,$A$12,'🔢 Cálculo'!$L$4:$L$203),0)+IFERROR(AVERAGEIF('🔢 Cálculo'!$B$4:$B$203,$A$12,'🔢 Cálculo'!$M$4:$M$203),0)+IFERROR(AVERAGEIF('🔢 Cálculo'!$B$4:$B$203,$A$12,'🔢 Cálculo'!$N$4:$N$203),0)+IFERROR(AVERAGEIF('🔢 Cálculo'!$B$4:$B$203,$A$12,'🔢 Cálculo'!$O$4:$O$203),0))/6,"")</f>
        <v>0</v>
      </c>
      <c r="E65" s="25" t="n">
        <f aca="false">IFERROR((IFERROR((5-AVERAGEIF('🔢 Cálculo'!$B$4:$B$203,$A$12,'🔢 Cálculo'!$J$4:$J$203))/4*100,0)+IFERROR((5-AVERAGEIF('🔢 Cálculo'!$B$4:$B$203,$A$12,'🔢 Cálculo'!$K$4:$K$203))/4*100,0)+IFERROR((5-AVERAGEIF('🔢 Cálculo'!$B$4:$B$203,$A$12,'🔢 Cálculo'!$L$4:$L$203))/4*100,0)+IFERROR((5-AVERAGEIF('🔢 Cálculo'!$B$4:$B$203,$A$12,'🔢 Cálculo'!$M$4:$M$203))/4*100,0)+IFERROR((5-AVERAGEIF('🔢 Cálculo'!$B$4:$B$203,$A$12,'🔢 Cálculo'!$N$4:$N$203))/4*100,0)+IFERROR((5-AVERAGEIF('🔢 Cálculo'!$B$4:$B$203,$A$12,'🔢 Cálculo'!$O$4:$O$203))/4*100,0))/6,"")</f>
        <v>0</v>
      </c>
      <c r="F65" s="15" t="str">
        <f aca="false">IFERROR(IF(E65="","",IF(E65&lt;25,"Baixo",IF(E65&lt;50,"Moderado",IF(E65&lt;75,"Alto","Crítico")))),"N/A")</f>
        <v>Baixo</v>
      </c>
      <c r="G65" s="15" t="str">
        <f aca="false">IF(F65="Crítico","🔴 AÇÃO IMEDIATA","")</f>
        <v/>
      </c>
      <c r="H65" s="15" t="str">
        <f aca="false">IF(F65="Alto","🟠 PRIORITÁRIO","")</f>
        <v/>
      </c>
      <c r="I65" s="15" t="str">
        <f aca="false">IF(F65="Moderado","⚠️ PLANEJAR","")</f>
        <v/>
      </c>
    </row>
    <row r="66" customFormat="false" ht="15" hidden="false" customHeight="false" outlineLevel="0" collapsed="false">
      <c r="A66" s="5" t="n">
        <f aca="false">$A$12</f>
        <v>0</v>
      </c>
      <c r="B66" s="23" t="s">
        <v>103</v>
      </c>
      <c r="C66" s="15" t="n">
        <f aca="false">COUNTIF('🔢 Cálculo'!$B$4:$B$203,$A$12)</f>
        <v>200</v>
      </c>
      <c r="D66" s="24" t="n">
        <f aca="false">IFERROR((IFERROR(AVERAGEIF('🔢 Cálculo'!$B$4:$B$203,$A$12,'🔢 Cálculo'!$P$4:$P$203),0)+IFERROR(AVERAGEIF('🔢 Cálculo'!$B$4:$B$203,$A$12,'🔢 Cálculo'!$Q$4:$Q$203),0)+IFERROR(AVERAGEIF('🔢 Cálculo'!$B$4:$B$203,$A$12,'🔢 Cálculo'!$R$4:$R$203),0)+IFERROR(AVERAGEIF('🔢 Cálculo'!$B$4:$B$203,$A$12,'🔢 Cálculo'!$S$4:$S$203),0)+IFERROR(AVERAGEIF('🔢 Cálculo'!$B$4:$B$203,$A$12,'🔢 Cálculo'!$T$4:$T$203),0)+IFERROR(AVERAGEIF('🔢 Cálculo'!$B$4:$B$203,$A$12,'🔢 Cálculo'!$U$4:$U$203),0))/6,"")</f>
        <v>0</v>
      </c>
      <c r="E66" s="25" t="n">
        <f aca="false">IFERROR((IFERROR((5-AVERAGEIF('🔢 Cálculo'!$B$4:$B$203,$A$12,'🔢 Cálculo'!$P$4:$P$203))/4*100,0)+IFERROR((5-AVERAGEIF('🔢 Cálculo'!$B$4:$B$203,$A$12,'🔢 Cálculo'!$Q$4:$Q$203))/4*100,0)+IFERROR((5-AVERAGEIF('🔢 Cálculo'!$B$4:$B$203,$A$12,'🔢 Cálculo'!$R$4:$R$203))/4*100,0)+IFERROR((5-AVERAGEIF('🔢 Cálculo'!$B$4:$B$203,$A$12,'🔢 Cálculo'!$S$4:$S$203))/4*100,0)+IFERROR((5-AVERAGEIF('🔢 Cálculo'!$B$4:$B$203,$A$12,'🔢 Cálculo'!$T$4:$T$203))/4*100,0)+IFERROR((5-AVERAGEIF('🔢 Cálculo'!$B$4:$B$203,$A$12,'🔢 Cálculo'!$U$4:$U$203))/4*100,0))/6,"")</f>
        <v>0</v>
      </c>
      <c r="F66" s="15" t="str">
        <f aca="false">IFERROR(IF(E66="","",IF(E66&lt;25,"Baixo",IF(E66&lt;50,"Moderado",IF(E66&lt;75,"Alto","Crítico")))),"N/A")</f>
        <v>Baixo</v>
      </c>
      <c r="G66" s="15" t="str">
        <f aca="false">IF(F66="Crítico","🔴 AÇÃO IMEDIATA","")</f>
        <v/>
      </c>
      <c r="H66" s="15" t="str">
        <f aca="false">IF(F66="Alto","🟠 PRIORITÁRIO","")</f>
        <v/>
      </c>
      <c r="I66" s="15" t="str">
        <f aca="false">IF(F66="Moderado","⚠️ PLANEJAR","")</f>
        <v/>
      </c>
    </row>
    <row r="67" customFormat="false" ht="15" hidden="false" customHeight="false" outlineLevel="0" collapsed="false">
      <c r="A67" s="5" t="n">
        <f aca="false">$A$12</f>
        <v>0</v>
      </c>
      <c r="B67" s="23" t="s">
        <v>116</v>
      </c>
      <c r="C67" s="15" t="n">
        <f aca="false">COUNTIF('🔢 Cálculo'!$B$4:$B$203,$A$12)</f>
        <v>200</v>
      </c>
      <c r="D67" s="24" t="n">
        <f aca="false">IFERROR((IFERROR(AVERAGEIF('🔢 Cálculo'!$B$4:$B$203,$A$12,'🔢 Cálculo'!$V$4:$V$203),0)+IFERROR(AVERAGEIF('🔢 Cálculo'!$B$4:$B$203,$A$12,'🔢 Cálculo'!$W$4:$W$203),0)+IFERROR(AVERAGEIF('🔢 Cálculo'!$B$4:$B$203,$A$12,'🔢 Cálculo'!$X$4:$X$203),0)+IFERROR(AVERAGEIF('🔢 Cálculo'!$B$4:$B$203,$A$12,'🔢 Cálculo'!$Y$4:$Y$203),0)+IFERROR(AVERAGEIF('🔢 Cálculo'!$B$4:$B$203,$A$12,'🔢 Cálculo'!$Z$4:$Z$203),0))/5,"")</f>
        <v>0</v>
      </c>
      <c r="E67" s="25" t="n">
        <f aca="false">IFERROR((IFERROR((5-AVERAGEIF('🔢 Cálculo'!$B$4:$B$203,$A$12,'🔢 Cálculo'!$V$4:$V$203))/4*100,0)+IFERROR((5-AVERAGEIF('🔢 Cálculo'!$B$4:$B$203,$A$12,'🔢 Cálculo'!$W$4:$W$203))/4*100,0)+IFERROR((5-AVERAGEIF('🔢 Cálculo'!$B$4:$B$203,$A$12,'🔢 Cálculo'!$X$4:$X$203))/4*100,0)+IFERROR((5-AVERAGEIF('🔢 Cálculo'!$B$4:$B$203,$A$12,'🔢 Cálculo'!$Y$4:$Y$203))/4*100,0)+IFERROR((5-AVERAGEIF('🔢 Cálculo'!$B$4:$B$203,$A$12,'🔢 Cálculo'!$Z$4:$Z$203))/4*100,0))/5,"")</f>
        <v>0</v>
      </c>
      <c r="F67" s="15" t="str">
        <f aca="false">IFERROR(IF(E67="","",IF(E67&lt;25,"Baixo",IF(E67&lt;50,"Moderado",IF(E67&lt;75,"Alto","Crítico")))),"N/A")</f>
        <v>Baixo</v>
      </c>
      <c r="G67" s="15" t="str">
        <f aca="false">IF(F67="Crítico","🔴 AÇÃO IMEDIATA","")</f>
        <v/>
      </c>
      <c r="H67" s="15" t="str">
        <f aca="false">IF(F67="Alto","🟠 PRIORITÁRIO","")</f>
        <v/>
      </c>
      <c r="I67" s="15" t="str">
        <f aca="false">IF(F67="Moderado","⚠️ PLANEJAR","")</f>
        <v/>
      </c>
    </row>
    <row r="68" customFormat="false" ht="15" hidden="false" customHeight="false" outlineLevel="0" collapsed="false">
      <c r="A68" s="5" t="n">
        <f aca="false">$A$12</f>
        <v>0</v>
      </c>
      <c r="B68" s="23" t="s">
        <v>127</v>
      </c>
      <c r="C68" s="15" t="n">
        <f aca="false">COUNTIF('🔢 Cálculo'!$B$4:$B$203,$A$12)</f>
        <v>200</v>
      </c>
      <c r="D68" s="24" t="n">
        <f aca="false">IFERROR((IFERROR(AVERAGEIF('🔢 Cálculo'!$B$4:$B$203,$A$12,'🔢 Cálculo'!$AA$4:$AA$203),0)+IFERROR(AVERAGEIF('🔢 Cálculo'!$B$4:$B$203,$A$12,'🔢 Cálculo'!$AB$4:$AB$203),0)+IFERROR(AVERAGEIF('🔢 Cálculo'!$B$4:$B$203,$A$12,'🔢 Cálculo'!$AC$4:$AC$203),0)+IFERROR(AVERAGEIF('🔢 Cálculo'!$B$4:$B$203,$A$12,'🔢 Cálculo'!$AD$4:$AD$203),0)+IFERROR(AVERAGEIF('🔢 Cálculo'!$B$4:$B$203,$A$12,'🔢 Cálculo'!$AE$4:$AE$203),0))/5,"")</f>
        <v>0</v>
      </c>
      <c r="E68" s="25" t="n">
        <f aca="false">IFERROR((IFERROR((5-AVERAGEIF('🔢 Cálculo'!$B$4:$B$203,$A$12,'🔢 Cálculo'!$AA$4:$AA$203))/4*100,0)+IFERROR((5-AVERAGEIF('🔢 Cálculo'!$B$4:$B$203,$A$12,'🔢 Cálculo'!$AB$4:$AB$203))/4*100,0)+IFERROR((5-AVERAGEIF('🔢 Cálculo'!$B$4:$B$203,$A$12,'🔢 Cálculo'!$AC$4:$AC$203))/4*100,0)+IFERROR((5-AVERAGEIF('🔢 Cálculo'!$B$4:$B$203,$A$12,'🔢 Cálculo'!$AD$4:$AD$203))/4*100,0)+IFERROR((AVERAGEIF('🔢 Cálculo'!$B$4:$B$203,$A$12,'🔢 Cálculo'!$AE$4:$AE$203)-1)/4*100,0))/5,"")</f>
        <v>0</v>
      </c>
      <c r="F68" s="15" t="str">
        <f aca="false">IFERROR(IF(E68="","",IF(E68&lt;25,"Baixo",IF(E68&lt;50,"Moderado",IF(E68&lt;75,"Alto","Crítico")))),"N/A")</f>
        <v>Baixo</v>
      </c>
      <c r="G68" s="15" t="str">
        <f aca="false">IF(F68="Crítico","🔴 AÇÃO IMEDIATA","")</f>
        <v/>
      </c>
      <c r="H68" s="15" t="str">
        <f aca="false">IF(F68="Alto","🟠 PRIORITÁRIO","")</f>
        <v/>
      </c>
      <c r="I68" s="15" t="str">
        <f aca="false">IF(F68="Moderado","⚠️ PLANEJAR","")</f>
        <v/>
      </c>
    </row>
    <row r="69" customFormat="false" ht="15" hidden="false" customHeight="false" outlineLevel="0" collapsed="false">
      <c r="A69" s="5" t="n">
        <f aca="false">$A$12</f>
        <v>0</v>
      </c>
      <c r="B69" s="23" t="s">
        <v>138</v>
      </c>
      <c r="C69" s="15" t="n">
        <f aca="false">COUNTIF('🔢 Cálculo'!$B$4:$B$203,$A$12)</f>
        <v>200</v>
      </c>
      <c r="D69" s="24" t="n">
        <f aca="false">IFERROR((IFERROR(AVERAGEIF('🔢 Cálculo'!$B$4:$B$203,$A$12,'🔢 Cálculo'!$AF$4:$AF$203),0)+IFERROR(AVERAGEIF('🔢 Cálculo'!$B$4:$B$203,$A$12,'🔢 Cálculo'!$AG$4:$AG$203),0)+IFERROR(AVERAGEIF('🔢 Cálculo'!$B$4:$B$203,$A$12,'🔢 Cálculo'!$AH$4:$AH$203),0)+IFERROR(AVERAGEIF('🔢 Cálculo'!$B$4:$B$203,$A$12,'🔢 Cálculo'!$AI$4:$AI$203),0)+IFERROR(AVERAGEIF('🔢 Cálculo'!$B$4:$B$203,$A$12,'🔢 Cálculo'!$AJ$4:$AJ$203),0)+IFERROR(AVERAGEIF('🔢 Cálculo'!$B$4:$B$203,$A$12,'🔢 Cálculo'!$AK$4:$AK$203),0)+IFERROR(AVERAGEIF('🔢 Cálculo'!$B$4:$B$203,$A$12,'🔢 Cálculo'!$AL$4:$AL$203),0)+IFERROR(AVERAGEIF('🔢 Cálculo'!$B$4:$B$203,$A$12,'🔢 Cálculo'!$AM$4:$AM$203),0)+IFERROR(AVERAGEIF('🔢 Cálculo'!$B$4:$B$203,$A$12,'🔢 Cálculo'!$AN$4:$AN$203),0))/9,"")</f>
        <v>0</v>
      </c>
      <c r="E69" s="25" t="n">
        <f aca="false">IFERROR((IFERROR((5-AVERAGEIF('🔢 Cálculo'!$B$4:$B$203,$A$12,'🔢 Cálculo'!$AF$4:$AF$203))/4*100,0)+IFERROR((AVERAGEIF('🔢 Cálculo'!$B$4:$B$203,$A$12,'🔢 Cálculo'!$AG$4:$AG$203)-1)/4*100,0)+IFERROR((AVERAGEIF('🔢 Cálculo'!$B$4:$B$203,$A$12,'🔢 Cálculo'!$AH$4:$AH$203)-1)/4*100,0)+IFERROR((AVERAGEIF('🔢 Cálculo'!$B$4:$B$203,$A$12,'🔢 Cálculo'!$AI$4:$AI$203)-1)/4*100,0)+IFERROR((AVERAGEIF('🔢 Cálculo'!$B$4:$B$203,$A$12,'🔢 Cálculo'!$AJ$4:$AJ$203)-1)/4*100,0)+IFERROR((AVERAGEIF('🔢 Cálculo'!$B$4:$B$203,$A$12,'🔢 Cálculo'!$AK$4:$AK$203)-1)/4*100,0)+IFERROR((AVERAGEIF('🔢 Cálculo'!$B$4:$B$203,$A$12,'🔢 Cálculo'!$AL$4:$AL$203)-1)/4*100,0)+IFERROR((AVERAGEIF('🔢 Cálculo'!$B$4:$B$203,$A$12,'🔢 Cálculo'!$AM$4:$AM$203)-1)/4*100,0)+IFERROR((AVERAGEIF('🔢 Cálculo'!$B$4:$B$203,$A$12,'🔢 Cálculo'!$AN$4:$AN$203)-1)/4*100,0))/9,"")</f>
        <v>0</v>
      </c>
      <c r="F69" s="15" t="str">
        <f aca="false">IFERROR(IF(E69="","",IF(E69&lt;25,"Baixo",IF(E69&lt;50,"Moderado",IF(E69&lt;75,"Alto","Crítico")))),"N/A")</f>
        <v>Baixo</v>
      </c>
      <c r="G69" s="15" t="str">
        <f aca="false">IF(F69="Crítico","🔴 AÇÃO IMEDIATA","")</f>
        <v/>
      </c>
      <c r="H69" s="15" t="str">
        <f aca="false">IF(F69="Alto","🟠 PRIORITÁRIO","")</f>
        <v/>
      </c>
      <c r="I69" s="15" t="str">
        <f aca="false">IF(F69="Moderado","⚠️ PLANEJAR","")</f>
        <v/>
      </c>
    </row>
    <row r="70" customFormat="false" ht="15" hidden="false" customHeight="false" outlineLevel="0" collapsed="false">
      <c r="A70" s="5" t="n">
        <f aca="false">$A$12</f>
        <v>0</v>
      </c>
      <c r="B70" s="23" t="s">
        <v>157</v>
      </c>
      <c r="C70" s="15" t="n">
        <f aca="false">COUNTIF('🔢 Cálculo'!$B$4:$B$203,$A$12)</f>
        <v>200</v>
      </c>
      <c r="D70" s="24" t="n">
        <f aca="false">IFERROR((IFERROR(AVERAGEIF('🔢 Cálculo'!$B$4:$B$203,$A$12,'🔢 Cálculo'!$AO$4:$AO$203),0)+IFERROR(AVERAGEIF('🔢 Cálculo'!$B$4:$B$203,$A$12,'🔢 Cálculo'!$AP$4:$AP$203),0)+IFERROR(AVERAGEIF('🔢 Cálculo'!$B$4:$B$203,$A$12,'🔢 Cálculo'!$AQ$4:$AQ$203),0)+IFERROR(AVERAGEIF('🔢 Cálculo'!$B$4:$B$203,$A$12,'🔢 Cálculo'!$AR$4:$AR$203),0))/4,"")</f>
        <v>0</v>
      </c>
      <c r="E70" s="25" t="n">
        <f aca="false">IFERROR((IFERROR((AVERAGEIF('🔢 Cálculo'!$B$4:$B$203,$A$12,'🔢 Cálculo'!$AO$4:$AO$203)-1)/4*100,0)+IFERROR((AVERAGEIF('🔢 Cálculo'!$B$4:$B$203,$A$12,'🔢 Cálculo'!$AP$4:$AP$203)-1)/4*100,0)+IFERROR((AVERAGEIF('🔢 Cálculo'!$B$4:$B$203,$A$12,'🔢 Cálculo'!$AQ$4:$AQ$203)-1)/4*100,0)+IFERROR((AVERAGEIF('🔢 Cálculo'!$B$4:$B$203,$A$12,'🔢 Cálculo'!$AR$4:$AR$203)-1)/4*100,0))/4,"")</f>
        <v>0</v>
      </c>
      <c r="F70" s="15" t="str">
        <f aca="false">IFERROR(IF(E70="","",IF(E70&lt;25,"Baixo",IF(E70&lt;50,"Moderado",IF(E70&lt;75,"Alto","Crítico")))),"N/A")</f>
        <v>Baixo</v>
      </c>
      <c r="G70" s="15" t="str">
        <f aca="false">IF(F70="Crítico","🔴 AÇÃO IMEDIATA","")</f>
        <v/>
      </c>
      <c r="H70" s="15" t="str">
        <f aca="false">IF(F70="Alto","🟠 PRIORITÁRIO","")</f>
        <v/>
      </c>
      <c r="I70" s="15" t="str">
        <f aca="false">IF(F70="Moderado","⚠️ PLANEJAR","")</f>
        <v/>
      </c>
    </row>
  </sheetData>
  <mergeCells count="5">
    <mergeCell ref="A1:I1"/>
    <mergeCell ref="A2:I2"/>
    <mergeCell ref="A4:B4"/>
    <mergeCell ref="C4:I4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55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25.5" hidden="false" customHeight="true" outlineLevel="0" collapsed="false">
      <c r="A1" s="6" t="s">
        <v>225</v>
      </c>
      <c r="B1" s="6"/>
      <c r="C1" s="6"/>
      <c r="D1" s="6"/>
      <c r="E1" s="6"/>
      <c r="F1" s="6"/>
      <c r="G1" s="6"/>
      <c r="H1" s="6"/>
    </row>
    <row r="2" customFormat="false" ht="13.5" hidden="false" customHeight="true" outlineLevel="0" collapsed="false">
      <c r="A2" s="2" t="s">
        <v>226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7" t="s">
        <v>5</v>
      </c>
      <c r="B3" s="7" t="s">
        <v>54</v>
      </c>
      <c r="C3" s="7" t="s">
        <v>227</v>
      </c>
      <c r="D3" s="7" t="s">
        <v>228</v>
      </c>
      <c r="E3" s="7" t="s">
        <v>51</v>
      </c>
      <c r="F3" s="7" t="s">
        <v>220</v>
      </c>
      <c r="G3" s="7" t="s">
        <v>221</v>
      </c>
      <c r="H3" s="7" t="s">
        <v>229</v>
      </c>
    </row>
    <row r="4" customFormat="false" ht="15" hidden="false" customHeight="false" outlineLevel="0" collapsed="false">
      <c r="A4" s="12" t="str">
        <f aca="false">'📊 Risco por Setor'!$A$5</f>
        <v>Operacional</v>
      </c>
      <c r="B4" s="13" t="s">
        <v>61</v>
      </c>
      <c r="C4" s="12" t="s">
        <v>60</v>
      </c>
      <c r="D4" s="20" t="s">
        <v>8</v>
      </c>
      <c r="E4" s="21" t="str">
        <f aca="false">IFERROR(AVERAGEIF('🔢 Cálculo'!$B$4:$B$203,'📊 Risco por Setor'!$A$5,'🔢 Cálculo'!$D$4:$D$203),"")</f>
        <v/>
      </c>
      <c r="F4" s="22" t="str">
        <f aca="false">IFERROR((E4-1)/4*100,"")</f>
        <v/>
      </c>
      <c r="G4" s="12" t="str">
        <f aca="false">IFERROR(IF(F4="","",IF(F4&lt;25,"Baixo",IF(F4&lt;50,"Moderado",IF(F4&lt;75,"Alto","Crítico")))),"N/A")</f>
        <v/>
      </c>
      <c r="H4" s="12" t="s">
        <v>63</v>
      </c>
    </row>
    <row r="5" customFormat="false" ht="15" hidden="false" customHeight="false" outlineLevel="0" collapsed="false">
      <c r="A5" s="15" t="str">
        <f aca="false">'📊 Risco por Setor'!$A$5</f>
        <v>Operacional</v>
      </c>
      <c r="B5" s="5" t="s">
        <v>61</v>
      </c>
      <c r="C5" s="15" t="s">
        <v>66</v>
      </c>
      <c r="D5" s="23" t="s">
        <v>9</v>
      </c>
      <c r="E5" s="24" t="str">
        <f aca="false">IFERROR(AVERAGEIF('🔢 Cálculo'!$B$4:$B$203,'📊 Risco por Setor'!$A$5,'🔢 Cálculo'!$E$4:$E$203),"")</f>
        <v/>
      </c>
      <c r="F5" s="25" t="str">
        <f aca="false">IFERROR((E5-1)/4*100,"")</f>
        <v/>
      </c>
      <c r="G5" s="15" t="str">
        <f aca="false">IFERROR(IF(F5="","",IF(F5&lt;25,"Baixo",IF(F5&lt;50,"Moderado",IF(F5&lt;75,"Alto","Crítico")))),"N/A")</f>
        <v/>
      </c>
      <c r="H5" s="15" t="s">
        <v>63</v>
      </c>
    </row>
    <row r="6" customFormat="false" ht="15" hidden="false" customHeight="false" outlineLevel="0" collapsed="false">
      <c r="A6" s="12" t="str">
        <f aca="false">'📊 Risco por Setor'!$A$5</f>
        <v>Operacional</v>
      </c>
      <c r="B6" s="13" t="s">
        <v>61</v>
      </c>
      <c r="C6" s="12" t="s">
        <v>70</v>
      </c>
      <c r="D6" s="20" t="s">
        <v>10</v>
      </c>
      <c r="E6" s="21" t="str">
        <f aca="false">IFERROR(AVERAGEIF('🔢 Cálculo'!$B$4:$B$203,'📊 Risco por Setor'!$A$5,'🔢 Cálculo'!$F$4:$F$203),"")</f>
        <v/>
      </c>
      <c r="F6" s="22" t="str">
        <f aca="false">IFERROR((E6-1)/4*100,"")</f>
        <v/>
      </c>
      <c r="G6" s="12" t="str">
        <f aca="false">IFERROR(IF(F6="","",IF(F6&lt;25,"Baixo",IF(F6&lt;50,"Moderado",IF(F6&lt;75,"Alto","Crítico")))),"N/A")</f>
        <v/>
      </c>
      <c r="H6" s="12" t="s">
        <v>63</v>
      </c>
    </row>
    <row r="7" customFormat="false" ht="15" hidden="false" customHeight="false" outlineLevel="0" collapsed="false">
      <c r="A7" s="15" t="str">
        <f aca="false">'📊 Risco por Setor'!$A$5</f>
        <v>Operacional</v>
      </c>
      <c r="B7" s="5" t="s">
        <v>61</v>
      </c>
      <c r="C7" s="15" t="s">
        <v>74</v>
      </c>
      <c r="D7" s="23" t="s">
        <v>11</v>
      </c>
      <c r="E7" s="24" t="str">
        <f aca="false">IFERROR(AVERAGEIF('🔢 Cálculo'!$B$4:$B$203,'📊 Risco por Setor'!$A$5,'🔢 Cálculo'!$G$4:$G$203),"")</f>
        <v/>
      </c>
      <c r="F7" s="25" t="str">
        <f aca="false">IFERROR((E7-1)/4*100,"")</f>
        <v/>
      </c>
      <c r="G7" s="15" t="str">
        <f aca="false">IFERROR(IF(F7="","",IF(F7&lt;25,"Baixo",IF(F7&lt;50,"Moderado",IF(F7&lt;75,"Alto","Crítico")))),"N/A")</f>
        <v/>
      </c>
      <c r="H7" s="15" t="s">
        <v>63</v>
      </c>
    </row>
    <row r="8" customFormat="false" ht="15" hidden="false" customHeight="false" outlineLevel="0" collapsed="false">
      <c r="A8" s="12" t="str">
        <f aca="false">'📊 Risco por Setor'!$A$5</f>
        <v>Operacional</v>
      </c>
      <c r="B8" s="13" t="s">
        <v>61</v>
      </c>
      <c r="C8" s="12" t="s">
        <v>78</v>
      </c>
      <c r="D8" s="20" t="s">
        <v>12</v>
      </c>
      <c r="E8" s="21" t="str">
        <f aca="false">IFERROR(AVERAGEIF('🔢 Cálculo'!$B$4:$B$203,'📊 Risco por Setor'!$A$5,'🔢 Cálculo'!$H$4:$H$203),"")</f>
        <v/>
      </c>
      <c r="F8" s="22" t="str">
        <f aca="false">IFERROR((E8-1)/4*100,"")</f>
        <v/>
      </c>
      <c r="G8" s="12" t="str">
        <f aca="false">IFERROR(IF(F8="","",IF(F8&lt;25,"Baixo",IF(F8&lt;50,"Moderado",IF(F8&lt;75,"Alto","Crítico")))),"N/A")</f>
        <v/>
      </c>
      <c r="H8" s="12" t="s">
        <v>63</v>
      </c>
    </row>
    <row r="9" customFormat="false" ht="15" hidden="false" customHeight="false" outlineLevel="0" collapsed="false">
      <c r="A9" s="15" t="str">
        <f aca="false">'📊 Risco por Setor'!$A$5</f>
        <v>Operacional</v>
      </c>
      <c r="B9" s="5" t="s">
        <v>61</v>
      </c>
      <c r="C9" s="15" t="s">
        <v>82</v>
      </c>
      <c r="D9" s="23" t="s">
        <v>13</v>
      </c>
      <c r="E9" s="24" t="str">
        <f aca="false">IFERROR(AVERAGEIF('🔢 Cálculo'!$B$4:$B$203,'📊 Risco por Setor'!$A$5,'🔢 Cálculo'!$I$4:$I$203),"")</f>
        <v/>
      </c>
      <c r="F9" s="25" t="str">
        <f aca="false">IFERROR((E9-1)/4*100,"")</f>
        <v/>
      </c>
      <c r="G9" s="15" t="str">
        <f aca="false">IFERROR(IF(F9="","",IF(F9&lt;25,"Baixo",IF(F9&lt;50,"Moderado",IF(F9&lt;75,"Alto","Crítico")))),"N/A")</f>
        <v/>
      </c>
      <c r="H9" s="15" t="s">
        <v>63</v>
      </c>
    </row>
    <row r="10" customFormat="false" ht="15" hidden="false" customHeight="false" outlineLevel="0" collapsed="false">
      <c r="A10" s="12" t="str">
        <f aca="false">'📊 Risco por Setor'!$A$5</f>
        <v>Operacional</v>
      </c>
      <c r="B10" s="13" t="s">
        <v>87</v>
      </c>
      <c r="C10" s="12" t="s">
        <v>86</v>
      </c>
      <c r="D10" s="20" t="s">
        <v>14</v>
      </c>
      <c r="E10" s="21" t="str">
        <f aca="false">IFERROR(AVERAGEIF('🔢 Cálculo'!$B$4:$B$203,'📊 Risco por Setor'!$A$5,'🔢 Cálculo'!$J$4:$J$203),"")</f>
        <v/>
      </c>
      <c r="F10" s="22" t="str">
        <f aca="false">IFERROR((5-E10)/4*100,"")</f>
        <v/>
      </c>
      <c r="G10" s="12" t="str">
        <f aca="false">IFERROR(IF(F10="","",IF(F10&lt;25,"Baixo",IF(F10&lt;50,"Moderado",IF(F10&lt;75,"Alto","Crítico")))),"N/A")</f>
        <v/>
      </c>
      <c r="H10" s="12" t="s">
        <v>89</v>
      </c>
    </row>
    <row r="11" customFormat="false" ht="15" hidden="false" customHeight="false" outlineLevel="0" collapsed="false">
      <c r="A11" s="15" t="str">
        <f aca="false">'📊 Risco por Setor'!$A$5</f>
        <v>Operacional</v>
      </c>
      <c r="B11" s="5" t="s">
        <v>87</v>
      </c>
      <c r="C11" s="15" t="s">
        <v>92</v>
      </c>
      <c r="D11" s="23" t="s">
        <v>15</v>
      </c>
      <c r="E11" s="24" t="str">
        <f aca="false">IFERROR(AVERAGEIF('🔢 Cálculo'!$B$4:$B$203,'📊 Risco por Setor'!$A$5,'🔢 Cálculo'!$K$4:$K$203),"")</f>
        <v/>
      </c>
      <c r="F11" s="25" t="str">
        <f aca="false">IFERROR((5-E11)/4*100,"")</f>
        <v/>
      </c>
      <c r="G11" s="15" t="str">
        <f aca="false">IFERROR(IF(F11="","",IF(F11&lt;25,"Baixo",IF(F11&lt;50,"Moderado",IF(F11&lt;75,"Alto","Crítico")))),"N/A")</f>
        <v/>
      </c>
      <c r="H11" s="15" t="s">
        <v>89</v>
      </c>
    </row>
    <row r="12" customFormat="false" ht="15" hidden="false" customHeight="false" outlineLevel="0" collapsed="false">
      <c r="A12" s="12" t="str">
        <f aca="false">'📊 Risco por Setor'!$A$5</f>
        <v>Operacional</v>
      </c>
      <c r="B12" s="13" t="s">
        <v>87</v>
      </c>
      <c r="C12" s="12" t="s">
        <v>94</v>
      </c>
      <c r="D12" s="20" t="s">
        <v>16</v>
      </c>
      <c r="E12" s="21" t="str">
        <f aca="false">IFERROR(AVERAGEIF('🔢 Cálculo'!$B$4:$B$203,'📊 Risco por Setor'!$A$5,'🔢 Cálculo'!$L$4:$L$203),"")</f>
        <v/>
      </c>
      <c r="F12" s="22" t="str">
        <f aca="false">IFERROR((5-E12)/4*100,"")</f>
        <v/>
      </c>
      <c r="G12" s="12" t="str">
        <f aca="false">IFERROR(IF(F12="","",IF(F12&lt;25,"Baixo",IF(F12&lt;50,"Moderado",IF(F12&lt;75,"Alto","Crítico")))),"N/A")</f>
        <v/>
      </c>
      <c r="H12" s="12" t="s">
        <v>89</v>
      </c>
    </row>
    <row r="13" customFormat="false" ht="15" hidden="false" customHeight="false" outlineLevel="0" collapsed="false">
      <c r="A13" s="15" t="str">
        <f aca="false">'📊 Risco por Setor'!$A$5</f>
        <v>Operacional</v>
      </c>
      <c r="B13" s="5" t="s">
        <v>87</v>
      </c>
      <c r="C13" s="15" t="s">
        <v>97</v>
      </c>
      <c r="D13" s="23" t="s">
        <v>17</v>
      </c>
      <c r="E13" s="24" t="str">
        <f aca="false">IFERROR(AVERAGEIF('🔢 Cálculo'!$B$4:$B$203,'📊 Risco por Setor'!$A$5,'🔢 Cálculo'!$M$4:$M$203),"")</f>
        <v/>
      </c>
      <c r="F13" s="25" t="str">
        <f aca="false">IFERROR((5-E13)/4*100,"")</f>
        <v/>
      </c>
      <c r="G13" s="15" t="str">
        <f aca="false">IFERROR(IF(F13="","",IF(F13&lt;25,"Baixo",IF(F13&lt;50,"Moderado",IF(F13&lt;75,"Alto","Crítico")))),"N/A")</f>
        <v/>
      </c>
      <c r="H13" s="15" t="s">
        <v>89</v>
      </c>
    </row>
    <row r="14" customFormat="false" ht="15" hidden="false" customHeight="false" outlineLevel="0" collapsed="false">
      <c r="A14" s="12" t="str">
        <f aca="false">'📊 Risco por Setor'!$A$5</f>
        <v>Operacional</v>
      </c>
      <c r="B14" s="13" t="s">
        <v>87</v>
      </c>
      <c r="C14" s="12" t="s">
        <v>98</v>
      </c>
      <c r="D14" s="20" t="s">
        <v>18</v>
      </c>
      <c r="E14" s="21" t="str">
        <f aca="false">IFERROR(AVERAGEIF('🔢 Cálculo'!$B$4:$B$203,'📊 Risco por Setor'!$A$5,'🔢 Cálculo'!$N$4:$N$203),"")</f>
        <v/>
      </c>
      <c r="F14" s="22" t="str">
        <f aca="false">IFERROR((5-E14)/4*100,"")</f>
        <v/>
      </c>
      <c r="G14" s="12" t="str">
        <f aca="false">IFERROR(IF(F14="","",IF(F14&lt;25,"Baixo",IF(F14&lt;50,"Moderado",IF(F14&lt;75,"Alto","Crítico")))),"N/A")</f>
        <v/>
      </c>
      <c r="H14" s="12" t="s">
        <v>89</v>
      </c>
    </row>
    <row r="15" customFormat="false" ht="15" hidden="false" customHeight="false" outlineLevel="0" collapsed="false">
      <c r="A15" s="15" t="str">
        <f aca="false">'📊 Risco por Setor'!$A$5</f>
        <v>Operacional</v>
      </c>
      <c r="B15" s="5" t="s">
        <v>87</v>
      </c>
      <c r="C15" s="15" t="s">
        <v>100</v>
      </c>
      <c r="D15" s="23" t="s">
        <v>19</v>
      </c>
      <c r="E15" s="24" t="str">
        <f aca="false">IFERROR(AVERAGEIF('🔢 Cálculo'!$B$4:$B$203,'📊 Risco por Setor'!$A$5,'🔢 Cálculo'!$O$4:$O$203),"")</f>
        <v/>
      </c>
      <c r="F15" s="25" t="str">
        <f aca="false">IFERROR((5-E15)/4*100,"")</f>
        <v/>
      </c>
      <c r="G15" s="15" t="str">
        <f aca="false">IFERROR(IF(F15="","",IF(F15&lt;25,"Baixo",IF(F15&lt;50,"Moderado",IF(F15&lt;75,"Alto","Crítico")))),"N/A")</f>
        <v/>
      </c>
      <c r="H15" s="15" t="s">
        <v>89</v>
      </c>
    </row>
    <row r="16" customFormat="false" ht="15" hidden="false" customHeight="false" outlineLevel="0" collapsed="false">
      <c r="A16" s="12" t="str">
        <f aca="false">'📊 Risco por Setor'!$A$5</f>
        <v>Operacional</v>
      </c>
      <c r="B16" s="13" t="s">
        <v>103</v>
      </c>
      <c r="C16" s="12" t="s">
        <v>102</v>
      </c>
      <c r="D16" s="20" t="s">
        <v>20</v>
      </c>
      <c r="E16" s="21" t="str">
        <f aca="false">IFERROR(AVERAGEIF('🔢 Cálculo'!$B$4:$B$203,'📊 Risco por Setor'!$A$5,'🔢 Cálculo'!$P$4:$P$203),"")</f>
        <v/>
      </c>
      <c r="F16" s="22" t="str">
        <f aca="false">IFERROR((5-E16)/4*100,"")</f>
        <v/>
      </c>
      <c r="G16" s="12" t="str">
        <f aca="false">IFERROR(IF(F16="","",IF(F16&lt;25,"Baixo",IF(F16&lt;50,"Moderado",IF(F16&lt;75,"Alto","Crítico")))),"N/A")</f>
        <v/>
      </c>
      <c r="H16" s="12" t="s">
        <v>89</v>
      </c>
    </row>
    <row r="17" customFormat="false" ht="15" hidden="false" customHeight="false" outlineLevel="0" collapsed="false">
      <c r="A17" s="15" t="str">
        <f aca="false">'📊 Risco por Setor'!$A$5</f>
        <v>Operacional</v>
      </c>
      <c r="B17" s="5" t="s">
        <v>103</v>
      </c>
      <c r="C17" s="15" t="s">
        <v>105</v>
      </c>
      <c r="D17" s="23" t="s">
        <v>21</v>
      </c>
      <c r="E17" s="24" t="str">
        <f aca="false">IFERROR(AVERAGEIF('🔢 Cálculo'!$B$4:$B$203,'📊 Risco por Setor'!$A$5,'🔢 Cálculo'!$Q$4:$Q$203),"")</f>
        <v/>
      </c>
      <c r="F17" s="25" t="str">
        <f aca="false">IFERROR((5-E17)/4*100,"")</f>
        <v/>
      </c>
      <c r="G17" s="15" t="str">
        <f aca="false">IFERROR(IF(F17="","",IF(F17&lt;25,"Baixo",IF(F17&lt;50,"Moderado",IF(F17&lt;75,"Alto","Crítico")))),"N/A")</f>
        <v/>
      </c>
      <c r="H17" s="15" t="s">
        <v>89</v>
      </c>
    </row>
    <row r="18" customFormat="false" ht="15" hidden="false" customHeight="false" outlineLevel="0" collapsed="false">
      <c r="A18" s="12" t="str">
        <f aca="false">'📊 Risco por Setor'!$A$5</f>
        <v>Operacional</v>
      </c>
      <c r="B18" s="13" t="s">
        <v>103</v>
      </c>
      <c r="C18" s="12" t="s">
        <v>107</v>
      </c>
      <c r="D18" s="20" t="s">
        <v>22</v>
      </c>
      <c r="E18" s="21" t="str">
        <f aca="false">IFERROR(AVERAGEIF('🔢 Cálculo'!$B$4:$B$203,'📊 Risco por Setor'!$A$5,'🔢 Cálculo'!$R$4:$R$203),"")</f>
        <v/>
      </c>
      <c r="F18" s="22" t="str">
        <f aca="false">IFERROR((5-E18)/4*100,"")</f>
        <v/>
      </c>
      <c r="G18" s="12" t="str">
        <f aca="false">IFERROR(IF(F18="","",IF(F18&lt;25,"Baixo",IF(F18&lt;50,"Moderado",IF(F18&lt;75,"Alto","Crítico")))),"N/A")</f>
        <v/>
      </c>
      <c r="H18" s="12" t="s">
        <v>89</v>
      </c>
    </row>
    <row r="19" customFormat="false" ht="15" hidden="false" customHeight="false" outlineLevel="0" collapsed="false">
      <c r="A19" s="15" t="str">
        <f aca="false">'📊 Risco por Setor'!$A$5</f>
        <v>Operacional</v>
      </c>
      <c r="B19" s="5" t="s">
        <v>103</v>
      </c>
      <c r="C19" s="15" t="s">
        <v>109</v>
      </c>
      <c r="D19" s="23" t="s">
        <v>23</v>
      </c>
      <c r="E19" s="24" t="str">
        <f aca="false">IFERROR(AVERAGEIF('🔢 Cálculo'!$B$4:$B$203,'📊 Risco por Setor'!$A$5,'🔢 Cálculo'!$S$4:$S$203),"")</f>
        <v/>
      </c>
      <c r="F19" s="25" t="str">
        <f aca="false">IFERROR((5-E19)/4*100,"")</f>
        <v/>
      </c>
      <c r="G19" s="15" t="str">
        <f aca="false">IFERROR(IF(F19="","",IF(F19&lt;25,"Baixo",IF(F19&lt;50,"Moderado",IF(F19&lt;75,"Alto","Crítico")))),"N/A")</f>
        <v/>
      </c>
      <c r="H19" s="15" t="s">
        <v>89</v>
      </c>
    </row>
    <row r="20" customFormat="false" ht="15" hidden="false" customHeight="false" outlineLevel="0" collapsed="false">
      <c r="A20" s="12" t="str">
        <f aca="false">'📊 Risco por Setor'!$A$5</f>
        <v>Operacional</v>
      </c>
      <c r="B20" s="13" t="s">
        <v>103</v>
      </c>
      <c r="C20" s="12" t="s">
        <v>111</v>
      </c>
      <c r="D20" s="20" t="s">
        <v>24</v>
      </c>
      <c r="E20" s="21" t="str">
        <f aca="false">IFERROR(AVERAGEIF('🔢 Cálculo'!$B$4:$B$203,'📊 Risco por Setor'!$A$5,'🔢 Cálculo'!$T$4:$T$203),"")</f>
        <v/>
      </c>
      <c r="F20" s="22" t="str">
        <f aca="false">IFERROR((5-E20)/4*100,"")</f>
        <v/>
      </c>
      <c r="G20" s="12" t="str">
        <f aca="false">IFERROR(IF(F20="","",IF(F20&lt;25,"Baixo",IF(F20&lt;50,"Moderado",IF(F20&lt;75,"Alto","Crítico")))),"N/A")</f>
        <v/>
      </c>
      <c r="H20" s="12" t="s">
        <v>89</v>
      </c>
    </row>
    <row r="21" customFormat="false" ht="15" hidden="false" customHeight="false" outlineLevel="0" collapsed="false">
      <c r="A21" s="15" t="str">
        <f aca="false">'📊 Risco por Setor'!$A$5</f>
        <v>Operacional</v>
      </c>
      <c r="B21" s="5" t="s">
        <v>103</v>
      </c>
      <c r="C21" s="15" t="s">
        <v>113</v>
      </c>
      <c r="D21" s="23" t="s">
        <v>25</v>
      </c>
      <c r="E21" s="24" t="str">
        <f aca="false">IFERROR(AVERAGEIF('🔢 Cálculo'!$B$4:$B$203,'📊 Risco por Setor'!$A$5,'🔢 Cálculo'!$U$4:$U$203),"")</f>
        <v/>
      </c>
      <c r="F21" s="25" t="str">
        <f aca="false">IFERROR((5-E21)/4*100,"")</f>
        <v/>
      </c>
      <c r="G21" s="15" t="str">
        <f aca="false">IFERROR(IF(F21="","",IF(F21&lt;25,"Baixo",IF(F21&lt;50,"Moderado",IF(F21&lt;75,"Alto","Crítico")))),"N/A")</f>
        <v/>
      </c>
      <c r="H21" s="15" t="s">
        <v>89</v>
      </c>
    </row>
    <row r="22" customFormat="false" ht="15" hidden="false" customHeight="false" outlineLevel="0" collapsed="false">
      <c r="A22" s="12" t="str">
        <f aca="false">'📊 Risco por Setor'!$A$5</f>
        <v>Operacional</v>
      </c>
      <c r="B22" s="13" t="s">
        <v>116</v>
      </c>
      <c r="C22" s="12" t="s">
        <v>115</v>
      </c>
      <c r="D22" s="20" t="s">
        <v>26</v>
      </c>
      <c r="E22" s="21" t="str">
        <f aca="false">IFERROR(AVERAGEIF('🔢 Cálculo'!$B$4:$B$203,'📊 Risco por Setor'!$A$5,'🔢 Cálculo'!$V$4:$V$203),"")</f>
        <v/>
      </c>
      <c r="F22" s="22" t="str">
        <f aca="false">IFERROR((5-E22)/4*100,"")</f>
        <v/>
      </c>
      <c r="G22" s="12" t="str">
        <f aca="false">IFERROR(IF(F22="","",IF(F22&lt;25,"Baixo",IF(F22&lt;50,"Moderado",IF(F22&lt;75,"Alto","Crítico")))),"N/A")</f>
        <v/>
      </c>
      <c r="H22" s="12" t="s">
        <v>89</v>
      </c>
    </row>
    <row r="23" customFormat="false" ht="15" hidden="false" customHeight="false" outlineLevel="0" collapsed="false">
      <c r="A23" s="15" t="str">
        <f aca="false">'📊 Risco por Setor'!$A$5</f>
        <v>Operacional</v>
      </c>
      <c r="B23" s="5" t="s">
        <v>116</v>
      </c>
      <c r="C23" s="15" t="s">
        <v>118</v>
      </c>
      <c r="D23" s="23" t="s">
        <v>27</v>
      </c>
      <c r="E23" s="24" t="str">
        <f aca="false">IFERROR(AVERAGEIF('🔢 Cálculo'!$B$4:$B$203,'📊 Risco por Setor'!$A$5,'🔢 Cálculo'!$W$4:$W$203),"")</f>
        <v/>
      </c>
      <c r="F23" s="25" t="str">
        <f aca="false">IFERROR((5-E23)/4*100,"")</f>
        <v/>
      </c>
      <c r="G23" s="15" t="str">
        <f aca="false">IFERROR(IF(F23="","",IF(F23&lt;25,"Baixo",IF(F23&lt;50,"Moderado",IF(F23&lt;75,"Alto","Crítico")))),"N/A")</f>
        <v/>
      </c>
      <c r="H23" s="15" t="s">
        <v>89</v>
      </c>
    </row>
    <row r="24" customFormat="false" ht="15" hidden="false" customHeight="false" outlineLevel="0" collapsed="false">
      <c r="A24" s="12" t="str">
        <f aca="false">'📊 Risco por Setor'!$A$5</f>
        <v>Operacional</v>
      </c>
      <c r="B24" s="13" t="s">
        <v>116</v>
      </c>
      <c r="C24" s="12" t="s">
        <v>120</v>
      </c>
      <c r="D24" s="20" t="s">
        <v>28</v>
      </c>
      <c r="E24" s="21" t="str">
        <f aca="false">IFERROR(AVERAGEIF('🔢 Cálculo'!$B$4:$B$203,'📊 Risco por Setor'!$A$5,'🔢 Cálculo'!$X$4:$X$203),"")</f>
        <v/>
      </c>
      <c r="F24" s="22" t="str">
        <f aca="false">IFERROR((5-E24)/4*100,"")</f>
        <v/>
      </c>
      <c r="G24" s="12" t="str">
        <f aca="false">IFERROR(IF(F24="","",IF(F24&lt;25,"Baixo",IF(F24&lt;50,"Moderado",IF(F24&lt;75,"Alto","Crítico")))),"N/A")</f>
        <v/>
      </c>
      <c r="H24" s="12" t="s">
        <v>89</v>
      </c>
    </row>
    <row r="25" customFormat="false" ht="15" hidden="false" customHeight="false" outlineLevel="0" collapsed="false">
      <c r="A25" s="15" t="str">
        <f aca="false">'📊 Risco por Setor'!$A$5</f>
        <v>Operacional</v>
      </c>
      <c r="B25" s="5" t="s">
        <v>116</v>
      </c>
      <c r="C25" s="15" t="s">
        <v>122</v>
      </c>
      <c r="D25" s="23" t="s">
        <v>29</v>
      </c>
      <c r="E25" s="24" t="str">
        <f aca="false">IFERROR(AVERAGEIF('🔢 Cálculo'!$B$4:$B$203,'📊 Risco por Setor'!$A$5,'🔢 Cálculo'!$Y$4:$Y$203),"")</f>
        <v/>
      </c>
      <c r="F25" s="25" t="str">
        <f aca="false">IFERROR((5-E25)/4*100,"")</f>
        <v/>
      </c>
      <c r="G25" s="15" t="str">
        <f aca="false">IFERROR(IF(F25="","",IF(F25&lt;25,"Baixo",IF(F25&lt;50,"Moderado",IF(F25&lt;75,"Alto","Crítico")))),"N/A")</f>
        <v/>
      </c>
      <c r="H25" s="15" t="s">
        <v>89</v>
      </c>
    </row>
    <row r="26" customFormat="false" ht="15" hidden="false" customHeight="false" outlineLevel="0" collapsed="false">
      <c r="A26" s="12" t="str">
        <f aca="false">'📊 Risco por Setor'!$A$5</f>
        <v>Operacional</v>
      </c>
      <c r="B26" s="13" t="s">
        <v>116</v>
      </c>
      <c r="C26" s="12" t="s">
        <v>124</v>
      </c>
      <c r="D26" s="20" t="s">
        <v>30</v>
      </c>
      <c r="E26" s="21" t="str">
        <f aca="false">IFERROR(AVERAGEIF('🔢 Cálculo'!$B$4:$B$203,'📊 Risco por Setor'!$A$5,'🔢 Cálculo'!$Z$4:$Z$203),"")</f>
        <v/>
      </c>
      <c r="F26" s="22" t="str">
        <f aca="false">IFERROR((5-E26)/4*100,"")</f>
        <v/>
      </c>
      <c r="G26" s="12" t="str">
        <f aca="false">IFERROR(IF(F26="","",IF(F26&lt;25,"Baixo",IF(F26&lt;50,"Moderado",IF(F26&lt;75,"Alto","Crítico")))),"N/A")</f>
        <v/>
      </c>
      <c r="H26" s="12" t="s">
        <v>89</v>
      </c>
    </row>
    <row r="27" customFormat="false" ht="15" hidden="false" customHeight="false" outlineLevel="0" collapsed="false">
      <c r="A27" s="15" t="str">
        <f aca="false">'📊 Risco por Setor'!$A$5</f>
        <v>Operacional</v>
      </c>
      <c r="B27" s="5" t="s">
        <v>127</v>
      </c>
      <c r="C27" s="15" t="s">
        <v>126</v>
      </c>
      <c r="D27" s="23" t="s">
        <v>31</v>
      </c>
      <c r="E27" s="24" t="str">
        <f aca="false">IFERROR(AVERAGEIF('🔢 Cálculo'!$B$4:$B$203,'📊 Risco por Setor'!$A$5,'🔢 Cálculo'!$AA$4:$AA$203),"")</f>
        <v/>
      </c>
      <c r="F27" s="25" t="str">
        <f aca="false">IFERROR((5-E27)/4*100,"")</f>
        <v/>
      </c>
      <c r="G27" s="15" t="str">
        <f aca="false">IFERROR(IF(F27="","",IF(F27&lt;25,"Baixo",IF(F27&lt;50,"Moderado",IF(F27&lt;75,"Alto","Crítico")))),"N/A")</f>
        <v/>
      </c>
      <c r="H27" s="15" t="s">
        <v>89</v>
      </c>
    </row>
    <row r="28" customFormat="false" ht="15" hidden="false" customHeight="false" outlineLevel="0" collapsed="false">
      <c r="A28" s="12" t="str">
        <f aca="false">'📊 Risco por Setor'!$A$5</f>
        <v>Operacional</v>
      </c>
      <c r="B28" s="13" t="s">
        <v>127</v>
      </c>
      <c r="C28" s="12" t="s">
        <v>129</v>
      </c>
      <c r="D28" s="20" t="s">
        <v>32</v>
      </c>
      <c r="E28" s="21" t="str">
        <f aca="false">IFERROR(AVERAGEIF('🔢 Cálculo'!$B$4:$B$203,'📊 Risco por Setor'!$A$5,'🔢 Cálculo'!$AB$4:$AB$203),"")</f>
        <v/>
      </c>
      <c r="F28" s="22" t="str">
        <f aca="false">IFERROR((5-E28)/4*100,"")</f>
        <v/>
      </c>
      <c r="G28" s="12" t="str">
        <f aca="false">IFERROR(IF(F28="","",IF(F28&lt;25,"Baixo",IF(F28&lt;50,"Moderado",IF(F28&lt;75,"Alto","Crítico")))),"N/A")</f>
        <v/>
      </c>
      <c r="H28" s="12" t="s">
        <v>89</v>
      </c>
    </row>
    <row r="29" customFormat="false" ht="15" hidden="false" customHeight="false" outlineLevel="0" collapsed="false">
      <c r="A29" s="15" t="str">
        <f aca="false">'📊 Risco por Setor'!$A$5</f>
        <v>Operacional</v>
      </c>
      <c r="B29" s="5" t="s">
        <v>127</v>
      </c>
      <c r="C29" s="15" t="s">
        <v>131</v>
      </c>
      <c r="D29" s="23" t="s">
        <v>33</v>
      </c>
      <c r="E29" s="24" t="str">
        <f aca="false">IFERROR(AVERAGEIF('🔢 Cálculo'!$B$4:$B$203,'📊 Risco por Setor'!$A$5,'🔢 Cálculo'!$AC$4:$AC$203),"")</f>
        <v/>
      </c>
      <c r="F29" s="25" t="str">
        <f aca="false">IFERROR((5-E29)/4*100,"")</f>
        <v/>
      </c>
      <c r="G29" s="15" t="str">
        <f aca="false">IFERROR(IF(F29="","",IF(F29&lt;25,"Baixo",IF(F29&lt;50,"Moderado",IF(F29&lt;75,"Alto","Crítico")))),"N/A")</f>
        <v/>
      </c>
      <c r="H29" s="15" t="s">
        <v>89</v>
      </c>
    </row>
    <row r="30" customFormat="false" ht="15" hidden="false" customHeight="false" outlineLevel="0" collapsed="false">
      <c r="A30" s="12" t="str">
        <f aca="false">'📊 Risco por Setor'!$A$5</f>
        <v>Operacional</v>
      </c>
      <c r="B30" s="13" t="s">
        <v>127</v>
      </c>
      <c r="C30" s="12" t="s">
        <v>133</v>
      </c>
      <c r="D30" s="20" t="s">
        <v>34</v>
      </c>
      <c r="E30" s="21" t="str">
        <f aca="false">IFERROR(AVERAGEIF('🔢 Cálculo'!$B$4:$B$203,'📊 Risco por Setor'!$A$5,'🔢 Cálculo'!$AD$4:$AD$203),"")</f>
        <v/>
      </c>
      <c r="F30" s="22" t="str">
        <f aca="false">IFERROR((5-E30)/4*100,"")</f>
        <v/>
      </c>
      <c r="G30" s="12" t="str">
        <f aca="false">IFERROR(IF(F30="","",IF(F30&lt;25,"Baixo",IF(F30&lt;50,"Moderado",IF(F30&lt;75,"Alto","Crítico")))),"N/A")</f>
        <v/>
      </c>
      <c r="H30" s="12" t="s">
        <v>89</v>
      </c>
    </row>
    <row r="31" customFormat="false" ht="15" hidden="false" customHeight="false" outlineLevel="0" collapsed="false">
      <c r="A31" s="15" t="str">
        <f aca="false">'📊 Risco por Setor'!$A$5</f>
        <v>Operacional</v>
      </c>
      <c r="B31" s="5" t="s">
        <v>127</v>
      </c>
      <c r="C31" s="15" t="s">
        <v>135</v>
      </c>
      <c r="D31" s="23" t="s">
        <v>35</v>
      </c>
      <c r="E31" s="24" t="str">
        <f aca="false">IFERROR(AVERAGEIF('🔢 Cálculo'!$B$4:$B$203,'📊 Risco por Setor'!$A$5,'🔢 Cálculo'!$AE$4:$AE$203),"")</f>
        <v/>
      </c>
      <c r="F31" s="25" t="str">
        <f aca="false">IFERROR((E31-1)/4*100,"")</f>
        <v/>
      </c>
      <c r="G31" s="15" t="str">
        <f aca="false">IFERROR(IF(F31="","",IF(F31&lt;25,"Baixo",IF(F31&lt;50,"Moderado",IF(F31&lt;75,"Alto","Crítico")))),"N/A")</f>
        <v/>
      </c>
      <c r="H31" s="15" t="s">
        <v>63</v>
      </c>
    </row>
    <row r="32" customFormat="false" ht="15" hidden="false" customHeight="false" outlineLevel="0" collapsed="false">
      <c r="A32" s="12" t="str">
        <f aca="false">'📊 Risco por Setor'!$A$5</f>
        <v>Operacional</v>
      </c>
      <c r="B32" s="13" t="s">
        <v>138</v>
      </c>
      <c r="C32" s="12" t="s">
        <v>137</v>
      </c>
      <c r="D32" s="20" t="s">
        <v>36</v>
      </c>
      <c r="E32" s="21" t="str">
        <f aca="false">IFERROR(AVERAGEIF('🔢 Cálculo'!$B$4:$B$203,'📊 Risco por Setor'!$A$5,'🔢 Cálculo'!$AF$4:$AF$203),"")</f>
        <v/>
      </c>
      <c r="F32" s="22" t="str">
        <f aca="false">IFERROR((5-E32)/4*100,"")</f>
        <v/>
      </c>
      <c r="G32" s="12" t="str">
        <f aca="false">IFERROR(IF(F32="","",IF(F32&lt;25,"Baixo",IF(F32&lt;50,"Moderado",IF(F32&lt;75,"Alto","Crítico")))),"N/A")</f>
        <v/>
      </c>
      <c r="H32" s="12" t="s">
        <v>67</v>
      </c>
    </row>
    <row r="33" customFormat="false" ht="15" hidden="false" customHeight="false" outlineLevel="0" collapsed="false">
      <c r="A33" s="15" t="str">
        <f aca="false">'📊 Risco por Setor'!$A$5</f>
        <v>Operacional</v>
      </c>
      <c r="B33" s="5" t="s">
        <v>138</v>
      </c>
      <c r="C33" s="15" t="s">
        <v>140</v>
      </c>
      <c r="D33" s="23" t="s">
        <v>37</v>
      </c>
      <c r="E33" s="24" t="str">
        <f aca="false">IFERROR(AVERAGEIF('🔢 Cálculo'!$B$4:$B$203,'📊 Risco por Setor'!$A$5,'🔢 Cálculo'!$AG$4:$AG$203),"")</f>
        <v/>
      </c>
      <c r="F33" s="25" t="str">
        <f aca="false">IFERROR((E33-1)/4*100,"")</f>
        <v/>
      </c>
      <c r="G33" s="15" t="str">
        <f aca="false">IFERROR(IF(F33="","",IF(F33&lt;25,"Baixo",IF(F33&lt;50,"Moderado",IF(F33&lt;75,"Alto","Crítico")))),"N/A")</f>
        <v/>
      </c>
      <c r="H33" s="15" t="s">
        <v>63</v>
      </c>
    </row>
    <row r="34" customFormat="false" ht="15" hidden="false" customHeight="false" outlineLevel="0" collapsed="false">
      <c r="A34" s="12" t="str">
        <f aca="false">'📊 Risco por Setor'!$A$5</f>
        <v>Operacional</v>
      </c>
      <c r="B34" s="13" t="s">
        <v>138</v>
      </c>
      <c r="C34" s="12" t="s">
        <v>142</v>
      </c>
      <c r="D34" s="20" t="s">
        <v>38</v>
      </c>
      <c r="E34" s="21" t="str">
        <f aca="false">IFERROR(AVERAGEIF('🔢 Cálculo'!$B$4:$B$203,'📊 Risco por Setor'!$A$5,'🔢 Cálculo'!$AH$4:$AH$203),"")</f>
        <v/>
      </c>
      <c r="F34" s="22" t="str">
        <f aca="false">IFERROR((E34-1)/4*100,"")</f>
        <v/>
      </c>
      <c r="G34" s="12" t="str">
        <f aca="false">IFERROR(IF(F34="","",IF(F34&lt;25,"Baixo",IF(F34&lt;50,"Moderado",IF(F34&lt;75,"Alto","Crítico")))),"N/A")</f>
        <v/>
      </c>
      <c r="H34" s="12" t="s">
        <v>63</v>
      </c>
    </row>
    <row r="35" customFormat="false" ht="15" hidden="false" customHeight="false" outlineLevel="0" collapsed="false">
      <c r="A35" s="15" t="str">
        <f aca="false">'📊 Risco por Setor'!$A$5</f>
        <v>Operacional</v>
      </c>
      <c r="B35" s="5" t="s">
        <v>138</v>
      </c>
      <c r="C35" s="15" t="s">
        <v>144</v>
      </c>
      <c r="D35" s="23" t="s">
        <v>39</v>
      </c>
      <c r="E35" s="24" t="str">
        <f aca="false">IFERROR(AVERAGEIF('🔢 Cálculo'!$B$4:$B$203,'📊 Risco por Setor'!$A$5,'🔢 Cálculo'!$AI$4:$AI$203),"")</f>
        <v/>
      </c>
      <c r="F35" s="25" t="str">
        <f aca="false">IFERROR((E35-1)/4*100,"")</f>
        <v/>
      </c>
      <c r="G35" s="15" t="str">
        <f aca="false">IFERROR(IF(F35="","",IF(F35&lt;25,"Baixo",IF(F35&lt;50,"Moderado",IF(F35&lt;75,"Alto","Crítico")))),"N/A")</f>
        <v/>
      </c>
      <c r="H35" s="15" t="s">
        <v>63</v>
      </c>
    </row>
    <row r="36" customFormat="false" ht="15" hidden="false" customHeight="false" outlineLevel="0" collapsed="false">
      <c r="A36" s="12" t="str">
        <f aca="false">'📊 Risco por Setor'!$A$5</f>
        <v>Operacional</v>
      </c>
      <c r="B36" s="13" t="s">
        <v>138</v>
      </c>
      <c r="C36" s="12" t="s">
        <v>146</v>
      </c>
      <c r="D36" s="20" t="s">
        <v>40</v>
      </c>
      <c r="E36" s="21" t="str">
        <f aca="false">IFERROR(AVERAGEIF('🔢 Cálculo'!$B$4:$B$203,'📊 Risco por Setor'!$A$5,'🔢 Cálculo'!$AJ$4:$AJ$203),"")</f>
        <v/>
      </c>
      <c r="F36" s="22" t="str">
        <f aca="false">IFERROR((E36-1)/4*100,"")</f>
        <v/>
      </c>
      <c r="G36" s="12" t="str">
        <f aca="false">IFERROR(IF(F36="","",IF(F36&lt;25,"Baixo",IF(F36&lt;50,"Moderado",IF(F36&lt;75,"Alto","Crítico")))),"N/A")</f>
        <v/>
      </c>
      <c r="H36" s="12" t="s">
        <v>63</v>
      </c>
    </row>
    <row r="37" customFormat="false" ht="15" hidden="false" customHeight="false" outlineLevel="0" collapsed="false">
      <c r="A37" s="15" t="str">
        <f aca="false">'📊 Risco por Setor'!$A$5</f>
        <v>Operacional</v>
      </c>
      <c r="B37" s="5" t="s">
        <v>138</v>
      </c>
      <c r="C37" s="15" t="s">
        <v>148</v>
      </c>
      <c r="D37" s="23" t="s">
        <v>41</v>
      </c>
      <c r="E37" s="24" t="str">
        <f aca="false">IFERROR(AVERAGEIF('🔢 Cálculo'!$B$4:$B$203,'📊 Risco por Setor'!$A$5,'🔢 Cálculo'!$AK$4:$AK$203),"")</f>
        <v/>
      </c>
      <c r="F37" s="25" t="str">
        <f aca="false">IFERROR((E37-1)/4*100,"")</f>
        <v/>
      </c>
      <c r="G37" s="15" t="str">
        <f aca="false">IFERROR(IF(F37="","",IF(F37&lt;25,"Baixo",IF(F37&lt;50,"Moderado",IF(F37&lt;75,"Alto","Crítico")))),"N/A")</f>
        <v/>
      </c>
      <c r="H37" s="15" t="s">
        <v>63</v>
      </c>
    </row>
    <row r="38" customFormat="false" ht="15" hidden="false" customHeight="false" outlineLevel="0" collapsed="false">
      <c r="A38" s="12" t="str">
        <f aca="false">'📊 Risco por Setor'!$A$5</f>
        <v>Operacional</v>
      </c>
      <c r="B38" s="13" t="s">
        <v>138</v>
      </c>
      <c r="C38" s="12" t="s">
        <v>150</v>
      </c>
      <c r="D38" s="20" t="s">
        <v>42</v>
      </c>
      <c r="E38" s="21" t="str">
        <f aca="false">IFERROR(AVERAGEIF('🔢 Cálculo'!$B$4:$B$203,'📊 Risco por Setor'!$A$5,'🔢 Cálculo'!$AL$4:$AL$203),"")</f>
        <v/>
      </c>
      <c r="F38" s="22" t="str">
        <f aca="false">IFERROR((E38-1)/4*100,"")</f>
        <v/>
      </c>
      <c r="G38" s="12" t="str">
        <f aca="false">IFERROR(IF(F38="","",IF(F38&lt;25,"Baixo",IF(F38&lt;50,"Moderado",IF(F38&lt;75,"Alto","Crítico")))),"N/A")</f>
        <v/>
      </c>
      <c r="H38" s="12" t="s">
        <v>63</v>
      </c>
    </row>
    <row r="39" customFormat="false" ht="15" hidden="false" customHeight="false" outlineLevel="0" collapsed="false">
      <c r="A39" s="15" t="str">
        <f aca="false">'📊 Risco por Setor'!$A$5</f>
        <v>Operacional</v>
      </c>
      <c r="B39" s="5" t="s">
        <v>138</v>
      </c>
      <c r="C39" s="15" t="s">
        <v>152</v>
      </c>
      <c r="D39" s="23" t="s">
        <v>43</v>
      </c>
      <c r="E39" s="24" t="str">
        <f aca="false">IFERROR(AVERAGEIF('🔢 Cálculo'!$B$4:$B$203,'📊 Risco por Setor'!$A$5,'🔢 Cálculo'!$AM$4:$AM$203),"")</f>
        <v/>
      </c>
      <c r="F39" s="25" t="str">
        <f aca="false">IFERROR((E39-1)/4*100,"")</f>
        <v/>
      </c>
      <c r="G39" s="15" t="str">
        <f aca="false">IFERROR(IF(F39="","",IF(F39&lt;25,"Baixo",IF(F39&lt;50,"Moderado",IF(F39&lt;75,"Alto","Crítico")))),"N/A")</f>
        <v/>
      </c>
      <c r="H39" s="15" t="s">
        <v>63</v>
      </c>
    </row>
    <row r="40" customFormat="false" ht="15" hidden="false" customHeight="false" outlineLevel="0" collapsed="false">
      <c r="A40" s="12" t="str">
        <f aca="false">'📊 Risco por Setor'!$A$5</f>
        <v>Operacional</v>
      </c>
      <c r="B40" s="13" t="s">
        <v>138</v>
      </c>
      <c r="C40" s="12" t="s">
        <v>154</v>
      </c>
      <c r="D40" s="20" t="s">
        <v>44</v>
      </c>
      <c r="E40" s="21" t="str">
        <f aca="false">IFERROR(AVERAGEIF('🔢 Cálculo'!$B$4:$B$203,'📊 Risco por Setor'!$A$5,'🔢 Cálculo'!$AN$4:$AN$203),"")</f>
        <v/>
      </c>
      <c r="F40" s="22" t="str">
        <f aca="false">IFERROR((E40-1)/4*100,"")</f>
        <v/>
      </c>
      <c r="G40" s="12" t="str">
        <f aca="false">IFERROR(IF(F40="","",IF(F40&lt;25,"Baixo",IF(F40&lt;50,"Moderado",IF(F40&lt;75,"Alto","Crítico")))),"N/A")</f>
        <v/>
      </c>
      <c r="H40" s="12" t="s">
        <v>63</v>
      </c>
    </row>
    <row r="41" customFormat="false" ht="15" hidden="false" customHeight="false" outlineLevel="0" collapsed="false">
      <c r="A41" s="15" t="str">
        <f aca="false">'📊 Risco por Setor'!$A$5</f>
        <v>Operacional</v>
      </c>
      <c r="B41" s="5" t="s">
        <v>157</v>
      </c>
      <c r="C41" s="15" t="s">
        <v>156</v>
      </c>
      <c r="D41" s="23" t="s">
        <v>45</v>
      </c>
      <c r="E41" s="24" t="str">
        <f aca="false">IFERROR(AVERAGEIF('🔢 Cálculo'!$B$4:$B$203,'📊 Risco por Setor'!$A$5,'🔢 Cálculo'!$AO$4:$AO$203),"")</f>
        <v/>
      </c>
      <c r="F41" s="25" t="str">
        <f aca="false">IFERROR((E41-1)/4*100,"")</f>
        <v/>
      </c>
      <c r="G41" s="15" t="str">
        <f aca="false">IFERROR(IF(F41="","",IF(F41&lt;25,"Baixo",IF(F41&lt;50,"Moderado",IF(F41&lt;75,"Alto","Crítico")))),"N/A")</f>
        <v/>
      </c>
      <c r="H41" s="15" t="s">
        <v>63</v>
      </c>
    </row>
    <row r="42" customFormat="false" ht="15" hidden="false" customHeight="false" outlineLevel="0" collapsed="false">
      <c r="A42" s="12" t="str">
        <f aca="false">'📊 Risco por Setor'!$A$5</f>
        <v>Operacional</v>
      </c>
      <c r="B42" s="13" t="s">
        <v>157</v>
      </c>
      <c r="C42" s="12" t="s">
        <v>159</v>
      </c>
      <c r="D42" s="20" t="s">
        <v>46</v>
      </c>
      <c r="E42" s="21" t="str">
        <f aca="false">IFERROR(AVERAGEIF('🔢 Cálculo'!$B$4:$B$203,'📊 Risco por Setor'!$A$5,'🔢 Cálculo'!$AP$4:$AP$203),"")</f>
        <v/>
      </c>
      <c r="F42" s="22" t="str">
        <f aca="false">IFERROR((E42-1)/4*100,"")</f>
        <v/>
      </c>
      <c r="G42" s="12" t="str">
        <f aca="false">IFERROR(IF(F42="","",IF(F42&lt;25,"Baixo",IF(F42&lt;50,"Moderado",IF(F42&lt;75,"Alto","Crítico")))),"N/A")</f>
        <v/>
      </c>
      <c r="H42" s="12" t="s">
        <v>63</v>
      </c>
    </row>
    <row r="43" customFormat="false" ht="15" hidden="false" customHeight="false" outlineLevel="0" collapsed="false">
      <c r="A43" s="15" t="str">
        <f aca="false">'📊 Risco por Setor'!$A$5</f>
        <v>Operacional</v>
      </c>
      <c r="B43" s="5" t="s">
        <v>157</v>
      </c>
      <c r="C43" s="15" t="s">
        <v>161</v>
      </c>
      <c r="D43" s="23" t="s">
        <v>47</v>
      </c>
      <c r="E43" s="24" t="str">
        <f aca="false">IFERROR(AVERAGEIF('🔢 Cálculo'!$B$4:$B$203,'📊 Risco por Setor'!$A$5,'🔢 Cálculo'!$AQ$4:$AQ$203),"")</f>
        <v/>
      </c>
      <c r="F43" s="25" t="str">
        <f aca="false">IFERROR((E43-1)/4*100,"")</f>
        <v/>
      </c>
      <c r="G43" s="15" t="str">
        <f aca="false">IFERROR(IF(F43="","",IF(F43&lt;25,"Baixo",IF(F43&lt;50,"Moderado",IF(F43&lt;75,"Alto","Crítico")))),"N/A")</f>
        <v/>
      </c>
      <c r="H43" s="15" t="s">
        <v>63</v>
      </c>
    </row>
    <row r="44" customFormat="false" ht="15" hidden="false" customHeight="false" outlineLevel="0" collapsed="false">
      <c r="A44" s="12" t="str">
        <f aca="false">'📊 Risco por Setor'!$A$5</f>
        <v>Operacional</v>
      </c>
      <c r="B44" s="13" t="s">
        <v>157</v>
      </c>
      <c r="C44" s="12" t="s">
        <v>163</v>
      </c>
      <c r="D44" s="20" t="s">
        <v>48</v>
      </c>
      <c r="E44" s="21" t="str">
        <f aca="false">IFERROR(AVERAGEIF('🔢 Cálculo'!$B$4:$B$203,'📊 Risco por Setor'!$A$5,'🔢 Cálculo'!$AR$4:$AR$203),"")</f>
        <v/>
      </c>
      <c r="F44" s="22" t="str">
        <f aca="false">IFERROR((E44-1)/4*100,"")</f>
        <v/>
      </c>
      <c r="G44" s="12" t="str">
        <f aca="false">IFERROR(IF(F44="","",IF(F44&lt;25,"Baixo",IF(F44&lt;50,"Moderado",IF(F44&lt;75,"Alto","Crítico")))),"N/A")</f>
        <v/>
      </c>
      <c r="H44" s="12" t="s">
        <v>63</v>
      </c>
    </row>
    <row r="45" customFormat="false" ht="15" hidden="false" customHeight="false" outlineLevel="0" collapsed="false">
      <c r="A45" s="15" t="str">
        <f aca="false">'📊 Risco por Setor'!$A$6</f>
        <v>Administrativo / Técnico</v>
      </c>
      <c r="B45" s="5" t="s">
        <v>61</v>
      </c>
      <c r="C45" s="15" t="s">
        <v>60</v>
      </c>
      <c r="D45" s="23" t="s">
        <v>8</v>
      </c>
      <c r="E45" s="24" t="str">
        <f aca="false">IFERROR(AVERAGEIF('🔢 Cálculo'!$B$4:$B$203,'📊 Risco por Setor'!$A$6,'🔢 Cálculo'!$D$4:$D$203),"")</f>
        <v/>
      </c>
      <c r="F45" s="25" t="str">
        <f aca="false">IFERROR((E45-1)/4*100,"")</f>
        <v/>
      </c>
      <c r="G45" s="15" t="str">
        <f aca="false">IFERROR(IF(F45="","",IF(F45&lt;25,"Baixo",IF(F45&lt;50,"Moderado",IF(F45&lt;75,"Alto","Crítico")))),"N/A")</f>
        <v/>
      </c>
      <c r="H45" s="15" t="s">
        <v>63</v>
      </c>
    </row>
    <row r="46" customFormat="false" ht="15" hidden="false" customHeight="false" outlineLevel="0" collapsed="false">
      <c r="A46" s="12" t="str">
        <f aca="false">'📊 Risco por Setor'!$A$6</f>
        <v>Administrativo / Técnico</v>
      </c>
      <c r="B46" s="13" t="s">
        <v>61</v>
      </c>
      <c r="C46" s="12" t="s">
        <v>66</v>
      </c>
      <c r="D46" s="20" t="s">
        <v>9</v>
      </c>
      <c r="E46" s="21" t="str">
        <f aca="false">IFERROR(AVERAGEIF('🔢 Cálculo'!$B$4:$B$203,'📊 Risco por Setor'!$A$6,'🔢 Cálculo'!$E$4:$E$203),"")</f>
        <v/>
      </c>
      <c r="F46" s="22" t="str">
        <f aca="false">IFERROR((E46-1)/4*100,"")</f>
        <v/>
      </c>
      <c r="G46" s="12" t="str">
        <f aca="false">IFERROR(IF(F46="","",IF(F46&lt;25,"Baixo",IF(F46&lt;50,"Moderado",IF(F46&lt;75,"Alto","Crítico")))),"N/A")</f>
        <v/>
      </c>
      <c r="H46" s="12" t="s">
        <v>63</v>
      </c>
    </row>
    <row r="47" customFormat="false" ht="15" hidden="false" customHeight="false" outlineLevel="0" collapsed="false">
      <c r="A47" s="15" t="str">
        <f aca="false">'📊 Risco por Setor'!$A$6</f>
        <v>Administrativo / Técnico</v>
      </c>
      <c r="B47" s="5" t="s">
        <v>61</v>
      </c>
      <c r="C47" s="15" t="s">
        <v>70</v>
      </c>
      <c r="D47" s="23" t="s">
        <v>10</v>
      </c>
      <c r="E47" s="24" t="str">
        <f aca="false">IFERROR(AVERAGEIF('🔢 Cálculo'!$B$4:$B$203,'📊 Risco por Setor'!$A$6,'🔢 Cálculo'!$F$4:$F$203),"")</f>
        <v/>
      </c>
      <c r="F47" s="25" t="str">
        <f aca="false">IFERROR((E47-1)/4*100,"")</f>
        <v/>
      </c>
      <c r="G47" s="15" t="str">
        <f aca="false">IFERROR(IF(F47="","",IF(F47&lt;25,"Baixo",IF(F47&lt;50,"Moderado",IF(F47&lt;75,"Alto","Crítico")))),"N/A")</f>
        <v/>
      </c>
      <c r="H47" s="15" t="s">
        <v>63</v>
      </c>
    </row>
    <row r="48" customFormat="false" ht="15" hidden="false" customHeight="false" outlineLevel="0" collapsed="false">
      <c r="A48" s="12" t="str">
        <f aca="false">'📊 Risco por Setor'!$A$6</f>
        <v>Administrativo / Técnico</v>
      </c>
      <c r="B48" s="13" t="s">
        <v>61</v>
      </c>
      <c r="C48" s="12" t="s">
        <v>74</v>
      </c>
      <c r="D48" s="20" t="s">
        <v>11</v>
      </c>
      <c r="E48" s="21" t="str">
        <f aca="false">IFERROR(AVERAGEIF('🔢 Cálculo'!$B$4:$B$203,'📊 Risco por Setor'!$A$6,'🔢 Cálculo'!$G$4:$G$203),"")</f>
        <v/>
      </c>
      <c r="F48" s="22" t="str">
        <f aca="false">IFERROR((E48-1)/4*100,"")</f>
        <v/>
      </c>
      <c r="G48" s="12" t="str">
        <f aca="false">IFERROR(IF(F48="","",IF(F48&lt;25,"Baixo",IF(F48&lt;50,"Moderado",IF(F48&lt;75,"Alto","Crítico")))),"N/A")</f>
        <v/>
      </c>
      <c r="H48" s="12" t="s">
        <v>63</v>
      </c>
    </row>
    <row r="49" customFormat="false" ht="15" hidden="false" customHeight="false" outlineLevel="0" collapsed="false">
      <c r="A49" s="15" t="str">
        <f aca="false">'📊 Risco por Setor'!$A$6</f>
        <v>Administrativo / Técnico</v>
      </c>
      <c r="B49" s="5" t="s">
        <v>61</v>
      </c>
      <c r="C49" s="15" t="s">
        <v>78</v>
      </c>
      <c r="D49" s="23" t="s">
        <v>12</v>
      </c>
      <c r="E49" s="24" t="str">
        <f aca="false">IFERROR(AVERAGEIF('🔢 Cálculo'!$B$4:$B$203,'📊 Risco por Setor'!$A$6,'🔢 Cálculo'!$H$4:$H$203),"")</f>
        <v/>
      </c>
      <c r="F49" s="25" t="str">
        <f aca="false">IFERROR((E49-1)/4*100,"")</f>
        <v/>
      </c>
      <c r="G49" s="15" t="str">
        <f aca="false">IFERROR(IF(F49="","",IF(F49&lt;25,"Baixo",IF(F49&lt;50,"Moderado",IF(F49&lt;75,"Alto","Crítico")))),"N/A")</f>
        <v/>
      </c>
      <c r="H49" s="15" t="s">
        <v>63</v>
      </c>
    </row>
    <row r="50" customFormat="false" ht="15" hidden="false" customHeight="false" outlineLevel="0" collapsed="false">
      <c r="A50" s="12" t="str">
        <f aca="false">'📊 Risco por Setor'!$A$6</f>
        <v>Administrativo / Técnico</v>
      </c>
      <c r="B50" s="13" t="s">
        <v>61</v>
      </c>
      <c r="C50" s="12" t="s">
        <v>82</v>
      </c>
      <c r="D50" s="20" t="s">
        <v>13</v>
      </c>
      <c r="E50" s="21" t="str">
        <f aca="false">IFERROR(AVERAGEIF('🔢 Cálculo'!$B$4:$B$203,'📊 Risco por Setor'!$A$6,'🔢 Cálculo'!$I$4:$I$203),"")</f>
        <v/>
      </c>
      <c r="F50" s="22" t="str">
        <f aca="false">IFERROR((E50-1)/4*100,"")</f>
        <v/>
      </c>
      <c r="G50" s="12" t="str">
        <f aca="false">IFERROR(IF(F50="","",IF(F50&lt;25,"Baixo",IF(F50&lt;50,"Moderado",IF(F50&lt;75,"Alto","Crítico")))),"N/A")</f>
        <v/>
      </c>
      <c r="H50" s="12" t="s">
        <v>63</v>
      </c>
    </row>
    <row r="51" customFormat="false" ht="15" hidden="false" customHeight="false" outlineLevel="0" collapsed="false">
      <c r="A51" s="15" t="str">
        <f aca="false">'📊 Risco por Setor'!$A$6</f>
        <v>Administrativo / Técnico</v>
      </c>
      <c r="B51" s="5" t="s">
        <v>87</v>
      </c>
      <c r="C51" s="15" t="s">
        <v>86</v>
      </c>
      <c r="D51" s="23" t="s">
        <v>14</v>
      </c>
      <c r="E51" s="24" t="str">
        <f aca="false">IFERROR(AVERAGEIF('🔢 Cálculo'!$B$4:$B$203,'📊 Risco por Setor'!$A$6,'🔢 Cálculo'!$J$4:$J$203),"")</f>
        <v/>
      </c>
      <c r="F51" s="25" t="str">
        <f aca="false">IFERROR((5-E51)/4*100,"")</f>
        <v/>
      </c>
      <c r="G51" s="15" t="str">
        <f aca="false">IFERROR(IF(F51="","",IF(F51&lt;25,"Baixo",IF(F51&lt;50,"Moderado",IF(F51&lt;75,"Alto","Crítico")))),"N/A")</f>
        <v/>
      </c>
      <c r="H51" s="15" t="s">
        <v>89</v>
      </c>
    </row>
    <row r="52" customFormat="false" ht="15" hidden="false" customHeight="false" outlineLevel="0" collapsed="false">
      <c r="A52" s="12" t="str">
        <f aca="false">'📊 Risco por Setor'!$A$6</f>
        <v>Administrativo / Técnico</v>
      </c>
      <c r="B52" s="13" t="s">
        <v>87</v>
      </c>
      <c r="C52" s="12" t="s">
        <v>92</v>
      </c>
      <c r="D52" s="20" t="s">
        <v>15</v>
      </c>
      <c r="E52" s="21" t="str">
        <f aca="false">IFERROR(AVERAGEIF('🔢 Cálculo'!$B$4:$B$203,'📊 Risco por Setor'!$A$6,'🔢 Cálculo'!$K$4:$K$203),"")</f>
        <v/>
      </c>
      <c r="F52" s="22" t="str">
        <f aca="false">IFERROR((5-E52)/4*100,"")</f>
        <v/>
      </c>
      <c r="G52" s="12" t="str">
        <f aca="false">IFERROR(IF(F52="","",IF(F52&lt;25,"Baixo",IF(F52&lt;50,"Moderado",IF(F52&lt;75,"Alto","Crítico")))),"N/A")</f>
        <v/>
      </c>
      <c r="H52" s="12" t="s">
        <v>89</v>
      </c>
    </row>
    <row r="53" customFormat="false" ht="15" hidden="false" customHeight="false" outlineLevel="0" collapsed="false">
      <c r="A53" s="15" t="str">
        <f aca="false">'📊 Risco por Setor'!$A$6</f>
        <v>Administrativo / Técnico</v>
      </c>
      <c r="B53" s="5" t="s">
        <v>87</v>
      </c>
      <c r="C53" s="15" t="s">
        <v>94</v>
      </c>
      <c r="D53" s="23" t="s">
        <v>16</v>
      </c>
      <c r="E53" s="24" t="str">
        <f aca="false">IFERROR(AVERAGEIF('🔢 Cálculo'!$B$4:$B$203,'📊 Risco por Setor'!$A$6,'🔢 Cálculo'!$L$4:$L$203),"")</f>
        <v/>
      </c>
      <c r="F53" s="25" t="str">
        <f aca="false">IFERROR((5-E53)/4*100,"")</f>
        <v/>
      </c>
      <c r="G53" s="15" t="str">
        <f aca="false">IFERROR(IF(F53="","",IF(F53&lt;25,"Baixo",IF(F53&lt;50,"Moderado",IF(F53&lt;75,"Alto","Crítico")))),"N/A")</f>
        <v/>
      </c>
      <c r="H53" s="15" t="s">
        <v>89</v>
      </c>
    </row>
    <row r="54" customFormat="false" ht="15" hidden="false" customHeight="false" outlineLevel="0" collapsed="false">
      <c r="A54" s="12" t="str">
        <f aca="false">'📊 Risco por Setor'!$A$6</f>
        <v>Administrativo / Técnico</v>
      </c>
      <c r="B54" s="13" t="s">
        <v>87</v>
      </c>
      <c r="C54" s="12" t="s">
        <v>97</v>
      </c>
      <c r="D54" s="20" t="s">
        <v>17</v>
      </c>
      <c r="E54" s="21" t="str">
        <f aca="false">IFERROR(AVERAGEIF('🔢 Cálculo'!$B$4:$B$203,'📊 Risco por Setor'!$A$6,'🔢 Cálculo'!$M$4:$M$203),"")</f>
        <v/>
      </c>
      <c r="F54" s="22" t="str">
        <f aca="false">IFERROR((5-E54)/4*100,"")</f>
        <v/>
      </c>
      <c r="G54" s="12" t="str">
        <f aca="false">IFERROR(IF(F54="","",IF(F54&lt;25,"Baixo",IF(F54&lt;50,"Moderado",IF(F54&lt;75,"Alto","Crítico")))),"N/A")</f>
        <v/>
      </c>
      <c r="H54" s="12" t="s">
        <v>89</v>
      </c>
    </row>
    <row r="55" customFormat="false" ht="15" hidden="false" customHeight="false" outlineLevel="0" collapsed="false">
      <c r="A55" s="15" t="str">
        <f aca="false">'📊 Risco por Setor'!$A$6</f>
        <v>Administrativo / Técnico</v>
      </c>
      <c r="B55" s="5" t="s">
        <v>87</v>
      </c>
      <c r="C55" s="15" t="s">
        <v>98</v>
      </c>
      <c r="D55" s="23" t="s">
        <v>18</v>
      </c>
      <c r="E55" s="24" t="str">
        <f aca="false">IFERROR(AVERAGEIF('🔢 Cálculo'!$B$4:$B$203,'📊 Risco por Setor'!$A$6,'🔢 Cálculo'!$N$4:$N$203),"")</f>
        <v/>
      </c>
      <c r="F55" s="25" t="str">
        <f aca="false">IFERROR((5-E55)/4*100,"")</f>
        <v/>
      </c>
      <c r="G55" s="15" t="str">
        <f aca="false">IFERROR(IF(F55="","",IF(F55&lt;25,"Baixo",IF(F55&lt;50,"Moderado",IF(F55&lt;75,"Alto","Crítico")))),"N/A")</f>
        <v/>
      </c>
      <c r="H55" s="15" t="s">
        <v>89</v>
      </c>
    </row>
    <row r="56" customFormat="false" ht="15" hidden="false" customHeight="false" outlineLevel="0" collapsed="false">
      <c r="A56" s="12" t="str">
        <f aca="false">'📊 Risco por Setor'!$A$6</f>
        <v>Administrativo / Técnico</v>
      </c>
      <c r="B56" s="13" t="s">
        <v>87</v>
      </c>
      <c r="C56" s="12" t="s">
        <v>100</v>
      </c>
      <c r="D56" s="20" t="s">
        <v>19</v>
      </c>
      <c r="E56" s="21" t="str">
        <f aca="false">IFERROR(AVERAGEIF('🔢 Cálculo'!$B$4:$B$203,'📊 Risco por Setor'!$A$6,'🔢 Cálculo'!$O$4:$O$203),"")</f>
        <v/>
      </c>
      <c r="F56" s="22" t="str">
        <f aca="false">IFERROR((5-E56)/4*100,"")</f>
        <v/>
      </c>
      <c r="G56" s="12" t="str">
        <f aca="false">IFERROR(IF(F56="","",IF(F56&lt;25,"Baixo",IF(F56&lt;50,"Moderado",IF(F56&lt;75,"Alto","Crítico")))),"N/A")</f>
        <v/>
      </c>
      <c r="H56" s="12" t="s">
        <v>89</v>
      </c>
    </row>
    <row r="57" customFormat="false" ht="15" hidden="false" customHeight="false" outlineLevel="0" collapsed="false">
      <c r="A57" s="15" t="str">
        <f aca="false">'📊 Risco por Setor'!$A$6</f>
        <v>Administrativo / Técnico</v>
      </c>
      <c r="B57" s="5" t="s">
        <v>103</v>
      </c>
      <c r="C57" s="15" t="s">
        <v>102</v>
      </c>
      <c r="D57" s="23" t="s">
        <v>20</v>
      </c>
      <c r="E57" s="24" t="str">
        <f aca="false">IFERROR(AVERAGEIF('🔢 Cálculo'!$B$4:$B$203,'📊 Risco por Setor'!$A$6,'🔢 Cálculo'!$P$4:$P$203),"")</f>
        <v/>
      </c>
      <c r="F57" s="25" t="str">
        <f aca="false">IFERROR((5-E57)/4*100,"")</f>
        <v/>
      </c>
      <c r="G57" s="15" t="str">
        <f aca="false">IFERROR(IF(F57="","",IF(F57&lt;25,"Baixo",IF(F57&lt;50,"Moderado",IF(F57&lt;75,"Alto","Crítico")))),"N/A")</f>
        <v/>
      </c>
      <c r="H57" s="15" t="s">
        <v>89</v>
      </c>
    </row>
    <row r="58" customFormat="false" ht="15" hidden="false" customHeight="false" outlineLevel="0" collapsed="false">
      <c r="A58" s="12" t="str">
        <f aca="false">'📊 Risco por Setor'!$A$6</f>
        <v>Administrativo / Técnico</v>
      </c>
      <c r="B58" s="13" t="s">
        <v>103</v>
      </c>
      <c r="C58" s="12" t="s">
        <v>105</v>
      </c>
      <c r="D58" s="20" t="s">
        <v>21</v>
      </c>
      <c r="E58" s="21" t="str">
        <f aca="false">IFERROR(AVERAGEIF('🔢 Cálculo'!$B$4:$B$203,'📊 Risco por Setor'!$A$6,'🔢 Cálculo'!$Q$4:$Q$203),"")</f>
        <v/>
      </c>
      <c r="F58" s="22" t="str">
        <f aca="false">IFERROR((5-E58)/4*100,"")</f>
        <v/>
      </c>
      <c r="G58" s="12" t="str">
        <f aca="false">IFERROR(IF(F58="","",IF(F58&lt;25,"Baixo",IF(F58&lt;50,"Moderado",IF(F58&lt;75,"Alto","Crítico")))),"N/A")</f>
        <v/>
      </c>
      <c r="H58" s="12" t="s">
        <v>89</v>
      </c>
    </row>
    <row r="59" customFormat="false" ht="15" hidden="false" customHeight="false" outlineLevel="0" collapsed="false">
      <c r="A59" s="15" t="str">
        <f aca="false">'📊 Risco por Setor'!$A$6</f>
        <v>Administrativo / Técnico</v>
      </c>
      <c r="B59" s="5" t="s">
        <v>103</v>
      </c>
      <c r="C59" s="15" t="s">
        <v>107</v>
      </c>
      <c r="D59" s="23" t="s">
        <v>22</v>
      </c>
      <c r="E59" s="24" t="str">
        <f aca="false">IFERROR(AVERAGEIF('🔢 Cálculo'!$B$4:$B$203,'📊 Risco por Setor'!$A$6,'🔢 Cálculo'!$R$4:$R$203),"")</f>
        <v/>
      </c>
      <c r="F59" s="25" t="str">
        <f aca="false">IFERROR((5-E59)/4*100,"")</f>
        <v/>
      </c>
      <c r="G59" s="15" t="str">
        <f aca="false">IFERROR(IF(F59="","",IF(F59&lt;25,"Baixo",IF(F59&lt;50,"Moderado",IF(F59&lt;75,"Alto","Crítico")))),"N/A")</f>
        <v/>
      </c>
      <c r="H59" s="15" t="s">
        <v>89</v>
      </c>
    </row>
    <row r="60" customFormat="false" ht="15" hidden="false" customHeight="false" outlineLevel="0" collapsed="false">
      <c r="A60" s="12" t="str">
        <f aca="false">'📊 Risco por Setor'!$A$6</f>
        <v>Administrativo / Técnico</v>
      </c>
      <c r="B60" s="13" t="s">
        <v>103</v>
      </c>
      <c r="C60" s="12" t="s">
        <v>109</v>
      </c>
      <c r="D60" s="20" t="s">
        <v>23</v>
      </c>
      <c r="E60" s="21" t="str">
        <f aca="false">IFERROR(AVERAGEIF('🔢 Cálculo'!$B$4:$B$203,'📊 Risco por Setor'!$A$6,'🔢 Cálculo'!$S$4:$S$203),"")</f>
        <v/>
      </c>
      <c r="F60" s="22" t="str">
        <f aca="false">IFERROR((5-E60)/4*100,"")</f>
        <v/>
      </c>
      <c r="G60" s="12" t="str">
        <f aca="false">IFERROR(IF(F60="","",IF(F60&lt;25,"Baixo",IF(F60&lt;50,"Moderado",IF(F60&lt;75,"Alto","Crítico")))),"N/A")</f>
        <v/>
      </c>
      <c r="H60" s="12" t="s">
        <v>89</v>
      </c>
    </row>
    <row r="61" customFormat="false" ht="15" hidden="false" customHeight="false" outlineLevel="0" collapsed="false">
      <c r="A61" s="15" t="str">
        <f aca="false">'📊 Risco por Setor'!$A$6</f>
        <v>Administrativo / Técnico</v>
      </c>
      <c r="B61" s="5" t="s">
        <v>103</v>
      </c>
      <c r="C61" s="15" t="s">
        <v>111</v>
      </c>
      <c r="D61" s="23" t="s">
        <v>24</v>
      </c>
      <c r="E61" s="24" t="str">
        <f aca="false">IFERROR(AVERAGEIF('🔢 Cálculo'!$B$4:$B$203,'📊 Risco por Setor'!$A$6,'🔢 Cálculo'!$T$4:$T$203),"")</f>
        <v/>
      </c>
      <c r="F61" s="25" t="str">
        <f aca="false">IFERROR((5-E61)/4*100,"")</f>
        <v/>
      </c>
      <c r="G61" s="15" t="str">
        <f aca="false">IFERROR(IF(F61="","",IF(F61&lt;25,"Baixo",IF(F61&lt;50,"Moderado",IF(F61&lt;75,"Alto","Crítico")))),"N/A")</f>
        <v/>
      </c>
      <c r="H61" s="15" t="s">
        <v>89</v>
      </c>
    </row>
    <row r="62" customFormat="false" ht="15" hidden="false" customHeight="false" outlineLevel="0" collapsed="false">
      <c r="A62" s="12" t="str">
        <f aca="false">'📊 Risco por Setor'!$A$6</f>
        <v>Administrativo / Técnico</v>
      </c>
      <c r="B62" s="13" t="s">
        <v>103</v>
      </c>
      <c r="C62" s="12" t="s">
        <v>113</v>
      </c>
      <c r="D62" s="20" t="s">
        <v>25</v>
      </c>
      <c r="E62" s="21" t="str">
        <f aca="false">IFERROR(AVERAGEIF('🔢 Cálculo'!$B$4:$B$203,'📊 Risco por Setor'!$A$6,'🔢 Cálculo'!$U$4:$U$203),"")</f>
        <v/>
      </c>
      <c r="F62" s="22" t="str">
        <f aca="false">IFERROR((5-E62)/4*100,"")</f>
        <v/>
      </c>
      <c r="G62" s="12" t="str">
        <f aca="false">IFERROR(IF(F62="","",IF(F62&lt;25,"Baixo",IF(F62&lt;50,"Moderado",IF(F62&lt;75,"Alto","Crítico")))),"N/A")</f>
        <v/>
      </c>
      <c r="H62" s="12" t="s">
        <v>89</v>
      </c>
    </row>
    <row r="63" customFormat="false" ht="15" hidden="false" customHeight="false" outlineLevel="0" collapsed="false">
      <c r="A63" s="15" t="str">
        <f aca="false">'📊 Risco por Setor'!$A$6</f>
        <v>Administrativo / Técnico</v>
      </c>
      <c r="B63" s="5" t="s">
        <v>116</v>
      </c>
      <c r="C63" s="15" t="s">
        <v>115</v>
      </c>
      <c r="D63" s="23" t="s">
        <v>26</v>
      </c>
      <c r="E63" s="24" t="str">
        <f aca="false">IFERROR(AVERAGEIF('🔢 Cálculo'!$B$4:$B$203,'📊 Risco por Setor'!$A$6,'🔢 Cálculo'!$V$4:$V$203),"")</f>
        <v/>
      </c>
      <c r="F63" s="25" t="str">
        <f aca="false">IFERROR((5-E63)/4*100,"")</f>
        <v/>
      </c>
      <c r="G63" s="15" t="str">
        <f aca="false">IFERROR(IF(F63="","",IF(F63&lt;25,"Baixo",IF(F63&lt;50,"Moderado",IF(F63&lt;75,"Alto","Crítico")))),"N/A")</f>
        <v/>
      </c>
      <c r="H63" s="15" t="s">
        <v>89</v>
      </c>
    </row>
    <row r="64" customFormat="false" ht="15" hidden="false" customHeight="false" outlineLevel="0" collapsed="false">
      <c r="A64" s="12" t="str">
        <f aca="false">'📊 Risco por Setor'!$A$6</f>
        <v>Administrativo / Técnico</v>
      </c>
      <c r="B64" s="13" t="s">
        <v>116</v>
      </c>
      <c r="C64" s="12" t="s">
        <v>118</v>
      </c>
      <c r="D64" s="20" t="s">
        <v>27</v>
      </c>
      <c r="E64" s="21" t="str">
        <f aca="false">IFERROR(AVERAGEIF('🔢 Cálculo'!$B$4:$B$203,'📊 Risco por Setor'!$A$6,'🔢 Cálculo'!$W$4:$W$203),"")</f>
        <v/>
      </c>
      <c r="F64" s="22" t="str">
        <f aca="false">IFERROR((5-E64)/4*100,"")</f>
        <v/>
      </c>
      <c r="G64" s="12" t="str">
        <f aca="false">IFERROR(IF(F64="","",IF(F64&lt;25,"Baixo",IF(F64&lt;50,"Moderado",IF(F64&lt;75,"Alto","Crítico")))),"N/A")</f>
        <v/>
      </c>
      <c r="H64" s="12" t="s">
        <v>89</v>
      </c>
    </row>
    <row r="65" customFormat="false" ht="15" hidden="false" customHeight="false" outlineLevel="0" collapsed="false">
      <c r="A65" s="15" t="str">
        <f aca="false">'📊 Risco por Setor'!$A$6</f>
        <v>Administrativo / Técnico</v>
      </c>
      <c r="B65" s="5" t="s">
        <v>116</v>
      </c>
      <c r="C65" s="15" t="s">
        <v>120</v>
      </c>
      <c r="D65" s="23" t="s">
        <v>28</v>
      </c>
      <c r="E65" s="24" t="str">
        <f aca="false">IFERROR(AVERAGEIF('🔢 Cálculo'!$B$4:$B$203,'📊 Risco por Setor'!$A$6,'🔢 Cálculo'!$X$4:$X$203),"")</f>
        <v/>
      </c>
      <c r="F65" s="25" t="str">
        <f aca="false">IFERROR((5-E65)/4*100,"")</f>
        <v/>
      </c>
      <c r="G65" s="15" t="str">
        <f aca="false">IFERROR(IF(F65="","",IF(F65&lt;25,"Baixo",IF(F65&lt;50,"Moderado",IF(F65&lt;75,"Alto","Crítico")))),"N/A")</f>
        <v/>
      </c>
      <c r="H65" s="15" t="s">
        <v>89</v>
      </c>
    </row>
    <row r="66" customFormat="false" ht="15" hidden="false" customHeight="false" outlineLevel="0" collapsed="false">
      <c r="A66" s="12" t="str">
        <f aca="false">'📊 Risco por Setor'!$A$6</f>
        <v>Administrativo / Técnico</v>
      </c>
      <c r="B66" s="13" t="s">
        <v>116</v>
      </c>
      <c r="C66" s="12" t="s">
        <v>122</v>
      </c>
      <c r="D66" s="20" t="s">
        <v>29</v>
      </c>
      <c r="E66" s="21" t="str">
        <f aca="false">IFERROR(AVERAGEIF('🔢 Cálculo'!$B$4:$B$203,'📊 Risco por Setor'!$A$6,'🔢 Cálculo'!$Y$4:$Y$203),"")</f>
        <v/>
      </c>
      <c r="F66" s="22" t="str">
        <f aca="false">IFERROR((5-E66)/4*100,"")</f>
        <v/>
      </c>
      <c r="G66" s="12" t="str">
        <f aca="false">IFERROR(IF(F66="","",IF(F66&lt;25,"Baixo",IF(F66&lt;50,"Moderado",IF(F66&lt;75,"Alto","Crítico")))),"N/A")</f>
        <v/>
      </c>
      <c r="H66" s="12" t="s">
        <v>89</v>
      </c>
    </row>
    <row r="67" customFormat="false" ht="15" hidden="false" customHeight="false" outlineLevel="0" collapsed="false">
      <c r="A67" s="15" t="str">
        <f aca="false">'📊 Risco por Setor'!$A$6</f>
        <v>Administrativo / Técnico</v>
      </c>
      <c r="B67" s="5" t="s">
        <v>116</v>
      </c>
      <c r="C67" s="15" t="s">
        <v>124</v>
      </c>
      <c r="D67" s="23" t="s">
        <v>30</v>
      </c>
      <c r="E67" s="24" t="str">
        <f aca="false">IFERROR(AVERAGEIF('🔢 Cálculo'!$B$4:$B$203,'📊 Risco por Setor'!$A$6,'🔢 Cálculo'!$Z$4:$Z$203),"")</f>
        <v/>
      </c>
      <c r="F67" s="25" t="str">
        <f aca="false">IFERROR((5-E67)/4*100,"")</f>
        <v/>
      </c>
      <c r="G67" s="15" t="str">
        <f aca="false">IFERROR(IF(F67="","",IF(F67&lt;25,"Baixo",IF(F67&lt;50,"Moderado",IF(F67&lt;75,"Alto","Crítico")))),"N/A")</f>
        <v/>
      </c>
      <c r="H67" s="15" t="s">
        <v>89</v>
      </c>
    </row>
    <row r="68" customFormat="false" ht="15" hidden="false" customHeight="false" outlineLevel="0" collapsed="false">
      <c r="A68" s="12" t="str">
        <f aca="false">'📊 Risco por Setor'!$A$6</f>
        <v>Administrativo / Técnico</v>
      </c>
      <c r="B68" s="13" t="s">
        <v>127</v>
      </c>
      <c r="C68" s="12" t="s">
        <v>126</v>
      </c>
      <c r="D68" s="20" t="s">
        <v>31</v>
      </c>
      <c r="E68" s="21" t="str">
        <f aca="false">IFERROR(AVERAGEIF('🔢 Cálculo'!$B$4:$B$203,'📊 Risco por Setor'!$A$6,'🔢 Cálculo'!$AA$4:$AA$203),"")</f>
        <v/>
      </c>
      <c r="F68" s="22" t="str">
        <f aca="false">IFERROR((5-E68)/4*100,"")</f>
        <v/>
      </c>
      <c r="G68" s="12" t="str">
        <f aca="false">IFERROR(IF(F68="","",IF(F68&lt;25,"Baixo",IF(F68&lt;50,"Moderado",IF(F68&lt;75,"Alto","Crítico")))),"N/A")</f>
        <v/>
      </c>
      <c r="H68" s="12" t="s">
        <v>89</v>
      </c>
    </row>
    <row r="69" customFormat="false" ht="15" hidden="false" customHeight="false" outlineLevel="0" collapsed="false">
      <c r="A69" s="15" t="str">
        <f aca="false">'📊 Risco por Setor'!$A$6</f>
        <v>Administrativo / Técnico</v>
      </c>
      <c r="B69" s="5" t="s">
        <v>127</v>
      </c>
      <c r="C69" s="15" t="s">
        <v>129</v>
      </c>
      <c r="D69" s="23" t="s">
        <v>32</v>
      </c>
      <c r="E69" s="24" t="str">
        <f aca="false">IFERROR(AVERAGEIF('🔢 Cálculo'!$B$4:$B$203,'📊 Risco por Setor'!$A$6,'🔢 Cálculo'!$AB$4:$AB$203),"")</f>
        <v/>
      </c>
      <c r="F69" s="25" t="str">
        <f aca="false">IFERROR((5-E69)/4*100,"")</f>
        <v/>
      </c>
      <c r="G69" s="15" t="str">
        <f aca="false">IFERROR(IF(F69="","",IF(F69&lt;25,"Baixo",IF(F69&lt;50,"Moderado",IF(F69&lt;75,"Alto","Crítico")))),"N/A")</f>
        <v/>
      </c>
      <c r="H69" s="15" t="s">
        <v>89</v>
      </c>
    </row>
    <row r="70" customFormat="false" ht="15" hidden="false" customHeight="false" outlineLevel="0" collapsed="false">
      <c r="A70" s="12" t="str">
        <f aca="false">'📊 Risco por Setor'!$A$6</f>
        <v>Administrativo / Técnico</v>
      </c>
      <c r="B70" s="13" t="s">
        <v>127</v>
      </c>
      <c r="C70" s="12" t="s">
        <v>131</v>
      </c>
      <c r="D70" s="20" t="s">
        <v>33</v>
      </c>
      <c r="E70" s="21" t="str">
        <f aca="false">IFERROR(AVERAGEIF('🔢 Cálculo'!$B$4:$B$203,'📊 Risco por Setor'!$A$6,'🔢 Cálculo'!$AC$4:$AC$203),"")</f>
        <v/>
      </c>
      <c r="F70" s="22" t="str">
        <f aca="false">IFERROR((5-E70)/4*100,"")</f>
        <v/>
      </c>
      <c r="G70" s="12" t="str">
        <f aca="false">IFERROR(IF(F70="","",IF(F70&lt;25,"Baixo",IF(F70&lt;50,"Moderado",IF(F70&lt;75,"Alto","Crítico")))),"N/A")</f>
        <v/>
      </c>
      <c r="H70" s="12" t="s">
        <v>89</v>
      </c>
    </row>
    <row r="71" customFormat="false" ht="15" hidden="false" customHeight="false" outlineLevel="0" collapsed="false">
      <c r="A71" s="15" t="str">
        <f aca="false">'📊 Risco por Setor'!$A$6</f>
        <v>Administrativo / Técnico</v>
      </c>
      <c r="B71" s="5" t="s">
        <v>127</v>
      </c>
      <c r="C71" s="15" t="s">
        <v>133</v>
      </c>
      <c r="D71" s="23" t="s">
        <v>34</v>
      </c>
      <c r="E71" s="24" t="str">
        <f aca="false">IFERROR(AVERAGEIF('🔢 Cálculo'!$B$4:$B$203,'📊 Risco por Setor'!$A$6,'🔢 Cálculo'!$AD$4:$AD$203),"")</f>
        <v/>
      </c>
      <c r="F71" s="25" t="str">
        <f aca="false">IFERROR((5-E71)/4*100,"")</f>
        <v/>
      </c>
      <c r="G71" s="15" t="str">
        <f aca="false">IFERROR(IF(F71="","",IF(F71&lt;25,"Baixo",IF(F71&lt;50,"Moderado",IF(F71&lt;75,"Alto","Crítico")))),"N/A")</f>
        <v/>
      </c>
      <c r="H71" s="15" t="s">
        <v>89</v>
      </c>
    </row>
    <row r="72" customFormat="false" ht="15" hidden="false" customHeight="false" outlineLevel="0" collapsed="false">
      <c r="A72" s="12" t="str">
        <f aca="false">'📊 Risco por Setor'!$A$6</f>
        <v>Administrativo / Técnico</v>
      </c>
      <c r="B72" s="13" t="s">
        <v>127</v>
      </c>
      <c r="C72" s="12" t="s">
        <v>135</v>
      </c>
      <c r="D72" s="20" t="s">
        <v>35</v>
      </c>
      <c r="E72" s="21" t="str">
        <f aca="false">IFERROR(AVERAGEIF('🔢 Cálculo'!$B$4:$B$203,'📊 Risco por Setor'!$A$6,'🔢 Cálculo'!$AE$4:$AE$203),"")</f>
        <v/>
      </c>
      <c r="F72" s="22" t="str">
        <f aca="false">IFERROR((E72-1)/4*100,"")</f>
        <v/>
      </c>
      <c r="G72" s="12" t="str">
        <f aca="false">IFERROR(IF(F72="","",IF(F72&lt;25,"Baixo",IF(F72&lt;50,"Moderado",IF(F72&lt;75,"Alto","Crítico")))),"N/A")</f>
        <v/>
      </c>
      <c r="H72" s="12" t="s">
        <v>63</v>
      </c>
    </row>
    <row r="73" customFormat="false" ht="15" hidden="false" customHeight="false" outlineLevel="0" collapsed="false">
      <c r="A73" s="15" t="str">
        <f aca="false">'📊 Risco por Setor'!$A$6</f>
        <v>Administrativo / Técnico</v>
      </c>
      <c r="B73" s="5" t="s">
        <v>138</v>
      </c>
      <c r="C73" s="15" t="s">
        <v>137</v>
      </c>
      <c r="D73" s="23" t="s">
        <v>36</v>
      </c>
      <c r="E73" s="24" t="str">
        <f aca="false">IFERROR(AVERAGEIF('🔢 Cálculo'!$B$4:$B$203,'📊 Risco por Setor'!$A$6,'🔢 Cálculo'!$AF$4:$AF$203),"")</f>
        <v/>
      </c>
      <c r="F73" s="25" t="str">
        <f aca="false">IFERROR((5-E73)/4*100,"")</f>
        <v/>
      </c>
      <c r="G73" s="15" t="str">
        <f aca="false">IFERROR(IF(F73="","",IF(F73&lt;25,"Baixo",IF(F73&lt;50,"Moderado",IF(F73&lt;75,"Alto","Crítico")))),"N/A")</f>
        <v/>
      </c>
      <c r="H73" s="15" t="s">
        <v>67</v>
      </c>
    </row>
    <row r="74" customFormat="false" ht="15" hidden="false" customHeight="false" outlineLevel="0" collapsed="false">
      <c r="A74" s="12" t="str">
        <f aca="false">'📊 Risco por Setor'!$A$6</f>
        <v>Administrativo / Técnico</v>
      </c>
      <c r="B74" s="13" t="s">
        <v>138</v>
      </c>
      <c r="C74" s="12" t="s">
        <v>140</v>
      </c>
      <c r="D74" s="20" t="s">
        <v>37</v>
      </c>
      <c r="E74" s="21" t="str">
        <f aca="false">IFERROR(AVERAGEIF('🔢 Cálculo'!$B$4:$B$203,'📊 Risco por Setor'!$A$6,'🔢 Cálculo'!$AG$4:$AG$203),"")</f>
        <v/>
      </c>
      <c r="F74" s="22" t="str">
        <f aca="false">IFERROR((E74-1)/4*100,"")</f>
        <v/>
      </c>
      <c r="G74" s="12" t="str">
        <f aca="false">IFERROR(IF(F74="","",IF(F74&lt;25,"Baixo",IF(F74&lt;50,"Moderado",IF(F74&lt;75,"Alto","Crítico")))),"N/A")</f>
        <v/>
      </c>
      <c r="H74" s="12" t="s">
        <v>63</v>
      </c>
    </row>
    <row r="75" customFormat="false" ht="15" hidden="false" customHeight="false" outlineLevel="0" collapsed="false">
      <c r="A75" s="15" t="str">
        <f aca="false">'📊 Risco por Setor'!$A$6</f>
        <v>Administrativo / Técnico</v>
      </c>
      <c r="B75" s="5" t="s">
        <v>138</v>
      </c>
      <c r="C75" s="15" t="s">
        <v>142</v>
      </c>
      <c r="D75" s="23" t="s">
        <v>38</v>
      </c>
      <c r="E75" s="24" t="str">
        <f aca="false">IFERROR(AVERAGEIF('🔢 Cálculo'!$B$4:$B$203,'📊 Risco por Setor'!$A$6,'🔢 Cálculo'!$AH$4:$AH$203),"")</f>
        <v/>
      </c>
      <c r="F75" s="25" t="str">
        <f aca="false">IFERROR((E75-1)/4*100,"")</f>
        <v/>
      </c>
      <c r="G75" s="15" t="str">
        <f aca="false">IFERROR(IF(F75="","",IF(F75&lt;25,"Baixo",IF(F75&lt;50,"Moderado",IF(F75&lt;75,"Alto","Crítico")))),"N/A")</f>
        <v/>
      </c>
      <c r="H75" s="15" t="s">
        <v>63</v>
      </c>
    </row>
    <row r="76" customFormat="false" ht="15" hidden="false" customHeight="false" outlineLevel="0" collapsed="false">
      <c r="A76" s="12" t="str">
        <f aca="false">'📊 Risco por Setor'!$A$6</f>
        <v>Administrativo / Técnico</v>
      </c>
      <c r="B76" s="13" t="s">
        <v>138</v>
      </c>
      <c r="C76" s="12" t="s">
        <v>144</v>
      </c>
      <c r="D76" s="20" t="s">
        <v>39</v>
      </c>
      <c r="E76" s="21" t="str">
        <f aca="false">IFERROR(AVERAGEIF('🔢 Cálculo'!$B$4:$B$203,'📊 Risco por Setor'!$A$6,'🔢 Cálculo'!$AI$4:$AI$203),"")</f>
        <v/>
      </c>
      <c r="F76" s="22" t="str">
        <f aca="false">IFERROR((E76-1)/4*100,"")</f>
        <v/>
      </c>
      <c r="G76" s="12" t="str">
        <f aca="false">IFERROR(IF(F76="","",IF(F76&lt;25,"Baixo",IF(F76&lt;50,"Moderado",IF(F76&lt;75,"Alto","Crítico")))),"N/A")</f>
        <v/>
      </c>
      <c r="H76" s="12" t="s">
        <v>63</v>
      </c>
    </row>
    <row r="77" customFormat="false" ht="15" hidden="false" customHeight="false" outlineLevel="0" collapsed="false">
      <c r="A77" s="15" t="str">
        <f aca="false">'📊 Risco por Setor'!$A$6</f>
        <v>Administrativo / Técnico</v>
      </c>
      <c r="B77" s="5" t="s">
        <v>138</v>
      </c>
      <c r="C77" s="15" t="s">
        <v>146</v>
      </c>
      <c r="D77" s="23" t="s">
        <v>40</v>
      </c>
      <c r="E77" s="24" t="str">
        <f aca="false">IFERROR(AVERAGEIF('🔢 Cálculo'!$B$4:$B$203,'📊 Risco por Setor'!$A$6,'🔢 Cálculo'!$AJ$4:$AJ$203),"")</f>
        <v/>
      </c>
      <c r="F77" s="25" t="str">
        <f aca="false">IFERROR((E77-1)/4*100,"")</f>
        <v/>
      </c>
      <c r="G77" s="15" t="str">
        <f aca="false">IFERROR(IF(F77="","",IF(F77&lt;25,"Baixo",IF(F77&lt;50,"Moderado",IF(F77&lt;75,"Alto","Crítico")))),"N/A")</f>
        <v/>
      </c>
      <c r="H77" s="15" t="s">
        <v>63</v>
      </c>
    </row>
    <row r="78" customFormat="false" ht="15" hidden="false" customHeight="false" outlineLevel="0" collapsed="false">
      <c r="A78" s="12" t="str">
        <f aca="false">'📊 Risco por Setor'!$A$6</f>
        <v>Administrativo / Técnico</v>
      </c>
      <c r="B78" s="13" t="s">
        <v>138</v>
      </c>
      <c r="C78" s="12" t="s">
        <v>148</v>
      </c>
      <c r="D78" s="20" t="s">
        <v>41</v>
      </c>
      <c r="E78" s="21" t="str">
        <f aca="false">IFERROR(AVERAGEIF('🔢 Cálculo'!$B$4:$B$203,'📊 Risco por Setor'!$A$6,'🔢 Cálculo'!$AK$4:$AK$203),"")</f>
        <v/>
      </c>
      <c r="F78" s="22" t="str">
        <f aca="false">IFERROR((E78-1)/4*100,"")</f>
        <v/>
      </c>
      <c r="G78" s="12" t="str">
        <f aca="false">IFERROR(IF(F78="","",IF(F78&lt;25,"Baixo",IF(F78&lt;50,"Moderado",IF(F78&lt;75,"Alto","Crítico")))),"N/A")</f>
        <v/>
      </c>
      <c r="H78" s="12" t="s">
        <v>63</v>
      </c>
    </row>
    <row r="79" customFormat="false" ht="15" hidden="false" customHeight="false" outlineLevel="0" collapsed="false">
      <c r="A79" s="15" t="str">
        <f aca="false">'📊 Risco por Setor'!$A$6</f>
        <v>Administrativo / Técnico</v>
      </c>
      <c r="B79" s="5" t="s">
        <v>138</v>
      </c>
      <c r="C79" s="15" t="s">
        <v>150</v>
      </c>
      <c r="D79" s="23" t="s">
        <v>42</v>
      </c>
      <c r="E79" s="24" t="str">
        <f aca="false">IFERROR(AVERAGEIF('🔢 Cálculo'!$B$4:$B$203,'📊 Risco por Setor'!$A$6,'🔢 Cálculo'!$AL$4:$AL$203),"")</f>
        <v/>
      </c>
      <c r="F79" s="25" t="str">
        <f aca="false">IFERROR((E79-1)/4*100,"")</f>
        <v/>
      </c>
      <c r="G79" s="15" t="str">
        <f aca="false">IFERROR(IF(F79="","",IF(F79&lt;25,"Baixo",IF(F79&lt;50,"Moderado",IF(F79&lt;75,"Alto","Crítico")))),"N/A")</f>
        <v/>
      </c>
      <c r="H79" s="15" t="s">
        <v>63</v>
      </c>
    </row>
    <row r="80" customFormat="false" ht="15" hidden="false" customHeight="false" outlineLevel="0" collapsed="false">
      <c r="A80" s="12" t="str">
        <f aca="false">'📊 Risco por Setor'!$A$6</f>
        <v>Administrativo / Técnico</v>
      </c>
      <c r="B80" s="13" t="s">
        <v>138</v>
      </c>
      <c r="C80" s="12" t="s">
        <v>152</v>
      </c>
      <c r="D80" s="20" t="s">
        <v>43</v>
      </c>
      <c r="E80" s="21" t="str">
        <f aca="false">IFERROR(AVERAGEIF('🔢 Cálculo'!$B$4:$B$203,'📊 Risco por Setor'!$A$6,'🔢 Cálculo'!$AM$4:$AM$203),"")</f>
        <v/>
      </c>
      <c r="F80" s="22" t="str">
        <f aca="false">IFERROR((E80-1)/4*100,"")</f>
        <v/>
      </c>
      <c r="G80" s="12" t="str">
        <f aca="false">IFERROR(IF(F80="","",IF(F80&lt;25,"Baixo",IF(F80&lt;50,"Moderado",IF(F80&lt;75,"Alto","Crítico")))),"N/A")</f>
        <v/>
      </c>
      <c r="H80" s="12" t="s">
        <v>63</v>
      </c>
    </row>
    <row r="81" customFormat="false" ht="15" hidden="false" customHeight="false" outlineLevel="0" collapsed="false">
      <c r="A81" s="15" t="str">
        <f aca="false">'📊 Risco por Setor'!$A$6</f>
        <v>Administrativo / Técnico</v>
      </c>
      <c r="B81" s="5" t="s">
        <v>138</v>
      </c>
      <c r="C81" s="15" t="s">
        <v>154</v>
      </c>
      <c r="D81" s="23" t="s">
        <v>44</v>
      </c>
      <c r="E81" s="24" t="str">
        <f aca="false">IFERROR(AVERAGEIF('🔢 Cálculo'!$B$4:$B$203,'📊 Risco por Setor'!$A$6,'🔢 Cálculo'!$AN$4:$AN$203),"")</f>
        <v/>
      </c>
      <c r="F81" s="25" t="str">
        <f aca="false">IFERROR((E81-1)/4*100,"")</f>
        <v/>
      </c>
      <c r="G81" s="15" t="str">
        <f aca="false">IFERROR(IF(F81="","",IF(F81&lt;25,"Baixo",IF(F81&lt;50,"Moderado",IF(F81&lt;75,"Alto","Crítico")))),"N/A")</f>
        <v/>
      </c>
      <c r="H81" s="15" t="s">
        <v>63</v>
      </c>
    </row>
    <row r="82" customFormat="false" ht="15" hidden="false" customHeight="false" outlineLevel="0" collapsed="false">
      <c r="A82" s="12" t="str">
        <f aca="false">'📊 Risco por Setor'!$A$6</f>
        <v>Administrativo / Técnico</v>
      </c>
      <c r="B82" s="13" t="s">
        <v>157</v>
      </c>
      <c r="C82" s="12" t="s">
        <v>156</v>
      </c>
      <c r="D82" s="20" t="s">
        <v>45</v>
      </c>
      <c r="E82" s="21" t="str">
        <f aca="false">IFERROR(AVERAGEIF('🔢 Cálculo'!$B$4:$B$203,'📊 Risco por Setor'!$A$6,'🔢 Cálculo'!$AO$4:$AO$203),"")</f>
        <v/>
      </c>
      <c r="F82" s="22" t="str">
        <f aca="false">IFERROR((E82-1)/4*100,"")</f>
        <v/>
      </c>
      <c r="G82" s="12" t="str">
        <f aca="false">IFERROR(IF(F82="","",IF(F82&lt;25,"Baixo",IF(F82&lt;50,"Moderado",IF(F82&lt;75,"Alto","Crítico")))),"N/A")</f>
        <v/>
      </c>
      <c r="H82" s="12" t="s">
        <v>63</v>
      </c>
    </row>
    <row r="83" customFormat="false" ht="15" hidden="false" customHeight="false" outlineLevel="0" collapsed="false">
      <c r="A83" s="15" t="str">
        <f aca="false">'📊 Risco por Setor'!$A$6</f>
        <v>Administrativo / Técnico</v>
      </c>
      <c r="B83" s="5" t="s">
        <v>157</v>
      </c>
      <c r="C83" s="15" t="s">
        <v>159</v>
      </c>
      <c r="D83" s="23" t="s">
        <v>46</v>
      </c>
      <c r="E83" s="24" t="str">
        <f aca="false">IFERROR(AVERAGEIF('🔢 Cálculo'!$B$4:$B$203,'📊 Risco por Setor'!$A$6,'🔢 Cálculo'!$AP$4:$AP$203),"")</f>
        <v/>
      </c>
      <c r="F83" s="25" t="str">
        <f aca="false">IFERROR((E83-1)/4*100,"")</f>
        <v/>
      </c>
      <c r="G83" s="15" t="str">
        <f aca="false">IFERROR(IF(F83="","",IF(F83&lt;25,"Baixo",IF(F83&lt;50,"Moderado",IF(F83&lt;75,"Alto","Crítico")))),"N/A")</f>
        <v/>
      </c>
      <c r="H83" s="15" t="s">
        <v>63</v>
      </c>
    </row>
    <row r="84" customFormat="false" ht="15" hidden="false" customHeight="false" outlineLevel="0" collapsed="false">
      <c r="A84" s="12" t="str">
        <f aca="false">'📊 Risco por Setor'!$A$6</f>
        <v>Administrativo / Técnico</v>
      </c>
      <c r="B84" s="13" t="s">
        <v>157</v>
      </c>
      <c r="C84" s="12" t="s">
        <v>161</v>
      </c>
      <c r="D84" s="20" t="s">
        <v>47</v>
      </c>
      <c r="E84" s="21" t="str">
        <f aca="false">IFERROR(AVERAGEIF('🔢 Cálculo'!$B$4:$B$203,'📊 Risco por Setor'!$A$6,'🔢 Cálculo'!$AQ$4:$AQ$203),"")</f>
        <v/>
      </c>
      <c r="F84" s="22" t="str">
        <f aca="false">IFERROR((E84-1)/4*100,"")</f>
        <v/>
      </c>
      <c r="G84" s="12" t="str">
        <f aca="false">IFERROR(IF(F84="","",IF(F84&lt;25,"Baixo",IF(F84&lt;50,"Moderado",IF(F84&lt;75,"Alto","Crítico")))),"N/A")</f>
        <v/>
      </c>
      <c r="H84" s="12" t="s">
        <v>63</v>
      </c>
    </row>
    <row r="85" customFormat="false" ht="15" hidden="false" customHeight="false" outlineLevel="0" collapsed="false">
      <c r="A85" s="15" t="str">
        <f aca="false">'📊 Risco por Setor'!$A$6</f>
        <v>Administrativo / Técnico</v>
      </c>
      <c r="B85" s="5" t="s">
        <v>157</v>
      </c>
      <c r="C85" s="15" t="s">
        <v>163</v>
      </c>
      <c r="D85" s="23" t="s">
        <v>48</v>
      </c>
      <c r="E85" s="24" t="str">
        <f aca="false">IFERROR(AVERAGEIF('🔢 Cálculo'!$B$4:$B$203,'📊 Risco por Setor'!$A$6,'🔢 Cálculo'!$AR$4:$AR$203),"")</f>
        <v/>
      </c>
      <c r="F85" s="25" t="str">
        <f aca="false">IFERROR((E85-1)/4*100,"")</f>
        <v/>
      </c>
      <c r="G85" s="15" t="str">
        <f aca="false">IFERROR(IF(F85="","",IF(F85&lt;25,"Baixo",IF(F85&lt;50,"Moderado",IF(F85&lt;75,"Alto","Crítico")))),"N/A")</f>
        <v/>
      </c>
      <c r="H85" s="15" t="s">
        <v>63</v>
      </c>
    </row>
    <row r="86" customFormat="false" ht="15" hidden="false" customHeight="false" outlineLevel="0" collapsed="false">
      <c r="A86" s="12" t="n">
        <f aca="false">'📊 Risco por Setor'!$A$7</f>
        <v>0</v>
      </c>
      <c r="B86" s="13" t="s">
        <v>61</v>
      </c>
      <c r="C86" s="12" t="s">
        <v>60</v>
      </c>
      <c r="D86" s="20" t="s">
        <v>8</v>
      </c>
      <c r="E86" s="21" t="str">
        <f aca="false">IFERROR(AVERAGEIF('🔢 Cálculo'!$B$4:$B$203,'📊 Risco por Setor'!$A$7,'🔢 Cálculo'!$D$4:$D$203),"")</f>
        <v/>
      </c>
      <c r="F86" s="22" t="str">
        <f aca="false">IFERROR((E86-1)/4*100,"")</f>
        <v/>
      </c>
      <c r="G86" s="12" t="str">
        <f aca="false">IFERROR(IF(F86="","",IF(F86&lt;25,"Baixo",IF(F86&lt;50,"Moderado",IF(F86&lt;75,"Alto","Crítico")))),"N/A")</f>
        <v/>
      </c>
      <c r="H86" s="12" t="s">
        <v>63</v>
      </c>
    </row>
    <row r="87" customFormat="false" ht="15" hidden="false" customHeight="false" outlineLevel="0" collapsed="false">
      <c r="A87" s="15" t="n">
        <f aca="false">'📊 Risco por Setor'!$A$7</f>
        <v>0</v>
      </c>
      <c r="B87" s="5" t="s">
        <v>61</v>
      </c>
      <c r="C87" s="15" t="s">
        <v>66</v>
      </c>
      <c r="D87" s="23" t="s">
        <v>9</v>
      </c>
      <c r="E87" s="24" t="str">
        <f aca="false">IFERROR(AVERAGEIF('🔢 Cálculo'!$B$4:$B$203,'📊 Risco por Setor'!$A$7,'🔢 Cálculo'!$E$4:$E$203),"")</f>
        <v/>
      </c>
      <c r="F87" s="25" t="str">
        <f aca="false">IFERROR((E87-1)/4*100,"")</f>
        <v/>
      </c>
      <c r="G87" s="15" t="str">
        <f aca="false">IFERROR(IF(F87="","",IF(F87&lt;25,"Baixo",IF(F87&lt;50,"Moderado",IF(F87&lt;75,"Alto","Crítico")))),"N/A")</f>
        <v/>
      </c>
      <c r="H87" s="15" t="s">
        <v>63</v>
      </c>
    </row>
    <row r="88" customFormat="false" ht="15" hidden="false" customHeight="false" outlineLevel="0" collapsed="false">
      <c r="A88" s="12" t="n">
        <f aca="false">'📊 Risco por Setor'!$A$7</f>
        <v>0</v>
      </c>
      <c r="B88" s="13" t="s">
        <v>61</v>
      </c>
      <c r="C88" s="12" t="s">
        <v>70</v>
      </c>
      <c r="D88" s="20" t="s">
        <v>10</v>
      </c>
      <c r="E88" s="21" t="str">
        <f aca="false">IFERROR(AVERAGEIF('🔢 Cálculo'!$B$4:$B$203,'📊 Risco por Setor'!$A$7,'🔢 Cálculo'!$F$4:$F$203),"")</f>
        <v/>
      </c>
      <c r="F88" s="22" t="str">
        <f aca="false">IFERROR((E88-1)/4*100,"")</f>
        <v/>
      </c>
      <c r="G88" s="12" t="str">
        <f aca="false">IFERROR(IF(F88="","",IF(F88&lt;25,"Baixo",IF(F88&lt;50,"Moderado",IF(F88&lt;75,"Alto","Crítico")))),"N/A")</f>
        <v/>
      </c>
      <c r="H88" s="12" t="s">
        <v>63</v>
      </c>
    </row>
    <row r="89" customFormat="false" ht="15" hidden="false" customHeight="false" outlineLevel="0" collapsed="false">
      <c r="A89" s="15" t="n">
        <f aca="false">'📊 Risco por Setor'!$A$7</f>
        <v>0</v>
      </c>
      <c r="B89" s="5" t="s">
        <v>61</v>
      </c>
      <c r="C89" s="15" t="s">
        <v>74</v>
      </c>
      <c r="D89" s="23" t="s">
        <v>11</v>
      </c>
      <c r="E89" s="24" t="str">
        <f aca="false">IFERROR(AVERAGEIF('🔢 Cálculo'!$B$4:$B$203,'📊 Risco por Setor'!$A$7,'🔢 Cálculo'!$G$4:$G$203),"")</f>
        <v/>
      </c>
      <c r="F89" s="25" t="str">
        <f aca="false">IFERROR((E89-1)/4*100,"")</f>
        <v/>
      </c>
      <c r="G89" s="15" t="str">
        <f aca="false">IFERROR(IF(F89="","",IF(F89&lt;25,"Baixo",IF(F89&lt;50,"Moderado",IF(F89&lt;75,"Alto","Crítico")))),"N/A")</f>
        <v/>
      </c>
      <c r="H89" s="15" t="s">
        <v>63</v>
      </c>
    </row>
    <row r="90" customFormat="false" ht="15" hidden="false" customHeight="false" outlineLevel="0" collapsed="false">
      <c r="A90" s="12" t="n">
        <f aca="false">'📊 Risco por Setor'!$A$7</f>
        <v>0</v>
      </c>
      <c r="B90" s="13" t="s">
        <v>61</v>
      </c>
      <c r="C90" s="12" t="s">
        <v>78</v>
      </c>
      <c r="D90" s="20" t="s">
        <v>12</v>
      </c>
      <c r="E90" s="21" t="str">
        <f aca="false">IFERROR(AVERAGEIF('🔢 Cálculo'!$B$4:$B$203,'📊 Risco por Setor'!$A$7,'🔢 Cálculo'!$H$4:$H$203),"")</f>
        <v/>
      </c>
      <c r="F90" s="22" t="str">
        <f aca="false">IFERROR((E90-1)/4*100,"")</f>
        <v/>
      </c>
      <c r="G90" s="12" t="str">
        <f aca="false">IFERROR(IF(F90="","",IF(F90&lt;25,"Baixo",IF(F90&lt;50,"Moderado",IF(F90&lt;75,"Alto","Crítico")))),"N/A")</f>
        <v/>
      </c>
      <c r="H90" s="12" t="s">
        <v>63</v>
      </c>
    </row>
    <row r="91" customFormat="false" ht="15" hidden="false" customHeight="false" outlineLevel="0" collapsed="false">
      <c r="A91" s="15" t="n">
        <f aca="false">'📊 Risco por Setor'!$A$7</f>
        <v>0</v>
      </c>
      <c r="B91" s="5" t="s">
        <v>61</v>
      </c>
      <c r="C91" s="15" t="s">
        <v>82</v>
      </c>
      <c r="D91" s="23" t="s">
        <v>13</v>
      </c>
      <c r="E91" s="24" t="str">
        <f aca="false">IFERROR(AVERAGEIF('🔢 Cálculo'!$B$4:$B$203,'📊 Risco por Setor'!$A$7,'🔢 Cálculo'!$I$4:$I$203),"")</f>
        <v/>
      </c>
      <c r="F91" s="25" t="str">
        <f aca="false">IFERROR((E91-1)/4*100,"")</f>
        <v/>
      </c>
      <c r="G91" s="15" t="str">
        <f aca="false">IFERROR(IF(F91="","",IF(F91&lt;25,"Baixo",IF(F91&lt;50,"Moderado",IF(F91&lt;75,"Alto","Crítico")))),"N/A")</f>
        <v/>
      </c>
      <c r="H91" s="15" t="s">
        <v>63</v>
      </c>
    </row>
    <row r="92" customFormat="false" ht="15" hidden="false" customHeight="false" outlineLevel="0" collapsed="false">
      <c r="A92" s="12" t="n">
        <f aca="false">'📊 Risco por Setor'!$A$7</f>
        <v>0</v>
      </c>
      <c r="B92" s="13" t="s">
        <v>87</v>
      </c>
      <c r="C92" s="12" t="s">
        <v>86</v>
      </c>
      <c r="D92" s="20" t="s">
        <v>14</v>
      </c>
      <c r="E92" s="21" t="str">
        <f aca="false">IFERROR(AVERAGEIF('🔢 Cálculo'!$B$4:$B$203,'📊 Risco por Setor'!$A$7,'🔢 Cálculo'!$J$4:$J$203),"")</f>
        <v/>
      </c>
      <c r="F92" s="22" t="str">
        <f aca="false">IFERROR((5-E92)/4*100,"")</f>
        <v/>
      </c>
      <c r="G92" s="12" t="str">
        <f aca="false">IFERROR(IF(F92="","",IF(F92&lt;25,"Baixo",IF(F92&lt;50,"Moderado",IF(F92&lt;75,"Alto","Crítico")))),"N/A")</f>
        <v/>
      </c>
      <c r="H92" s="12" t="s">
        <v>89</v>
      </c>
    </row>
    <row r="93" customFormat="false" ht="15" hidden="false" customHeight="false" outlineLevel="0" collapsed="false">
      <c r="A93" s="15" t="n">
        <f aca="false">'📊 Risco por Setor'!$A$7</f>
        <v>0</v>
      </c>
      <c r="B93" s="5" t="s">
        <v>87</v>
      </c>
      <c r="C93" s="15" t="s">
        <v>92</v>
      </c>
      <c r="D93" s="23" t="s">
        <v>15</v>
      </c>
      <c r="E93" s="24" t="str">
        <f aca="false">IFERROR(AVERAGEIF('🔢 Cálculo'!$B$4:$B$203,'📊 Risco por Setor'!$A$7,'🔢 Cálculo'!$K$4:$K$203),"")</f>
        <v/>
      </c>
      <c r="F93" s="25" t="str">
        <f aca="false">IFERROR((5-E93)/4*100,"")</f>
        <v/>
      </c>
      <c r="G93" s="15" t="str">
        <f aca="false">IFERROR(IF(F93="","",IF(F93&lt;25,"Baixo",IF(F93&lt;50,"Moderado",IF(F93&lt;75,"Alto","Crítico")))),"N/A")</f>
        <v/>
      </c>
      <c r="H93" s="15" t="s">
        <v>89</v>
      </c>
    </row>
    <row r="94" customFormat="false" ht="15" hidden="false" customHeight="false" outlineLevel="0" collapsed="false">
      <c r="A94" s="12" t="n">
        <f aca="false">'📊 Risco por Setor'!$A$7</f>
        <v>0</v>
      </c>
      <c r="B94" s="13" t="s">
        <v>87</v>
      </c>
      <c r="C94" s="12" t="s">
        <v>94</v>
      </c>
      <c r="D94" s="20" t="s">
        <v>16</v>
      </c>
      <c r="E94" s="21" t="str">
        <f aca="false">IFERROR(AVERAGEIF('🔢 Cálculo'!$B$4:$B$203,'📊 Risco por Setor'!$A$7,'🔢 Cálculo'!$L$4:$L$203),"")</f>
        <v/>
      </c>
      <c r="F94" s="22" t="str">
        <f aca="false">IFERROR((5-E94)/4*100,"")</f>
        <v/>
      </c>
      <c r="G94" s="12" t="str">
        <f aca="false">IFERROR(IF(F94="","",IF(F94&lt;25,"Baixo",IF(F94&lt;50,"Moderado",IF(F94&lt;75,"Alto","Crítico")))),"N/A")</f>
        <v/>
      </c>
      <c r="H94" s="12" t="s">
        <v>89</v>
      </c>
    </row>
    <row r="95" customFormat="false" ht="15" hidden="false" customHeight="false" outlineLevel="0" collapsed="false">
      <c r="A95" s="15" t="n">
        <f aca="false">'📊 Risco por Setor'!$A$7</f>
        <v>0</v>
      </c>
      <c r="B95" s="5" t="s">
        <v>87</v>
      </c>
      <c r="C95" s="15" t="s">
        <v>97</v>
      </c>
      <c r="D95" s="23" t="s">
        <v>17</v>
      </c>
      <c r="E95" s="24" t="str">
        <f aca="false">IFERROR(AVERAGEIF('🔢 Cálculo'!$B$4:$B$203,'📊 Risco por Setor'!$A$7,'🔢 Cálculo'!$M$4:$M$203),"")</f>
        <v/>
      </c>
      <c r="F95" s="25" t="str">
        <f aca="false">IFERROR((5-E95)/4*100,"")</f>
        <v/>
      </c>
      <c r="G95" s="15" t="str">
        <f aca="false">IFERROR(IF(F95="","",IF(F95&lt;25,"Baixo",IF(F95&lt;50,"Moderado",IF(F95&lt;75,"Alto","Crítico")))),"N/A")</f>
        <v/>
      </c>
      <c r="H95" s="15" t="s">
        <v>89</v>
      </c>
    </row>
    <row r="96" customFormat="false" ht="15" hidden="false" customHeight="false" outlineLevel="0" collapsed="false">
      <c r="A96" s="12" t="n">
        <f aca="false">'📊 Risco por Setor'!$A$7</f>
        <v>0</v>
      </c>
      <c r="B96" s="13" t="s">
        <v>87</v>
      </c>
      <c r="C96" s="12" t="s">
        <v>98</v>
      </c>
      <c r="D96" s="20" t="s">
        <v>18</v>
      </c>
      <c r="E96" s="21" t="str">
        <f aca="false">IFERROR(AVERAGEIF('🔢 Cálculo'!$B$4:$B$203,'📊 Risco por Setor'!$A$7,'🔢 Cálculo'!$N$4:$N$203),"")</f>
        <v/>
      </c>
      <c r="F96" s="22" t="str">
        <f aca="false">IFERROR((5-E96)/4*100,"")</f>
        <v/>
      </c>
      <c r="G96" s="12" t="str">
        <f aca="false">IFERROR(IF(F96="","",IF(F96&lt;25,"Baixo",IF(F96&lt;50,"Moderado",IF(F96&lt;75,"Alto","Crítico")))),"N/A")</f>
        <v/>
      </c>
      <c r="H96" s="12" t="s">
        <v>89</v>
      </c>
    </row>
    <row r="97" customFormat="false" ht="15" hidden="false" customHeight="false" outlineLevel="0" collapsed="false">
      <c r="A97" s="15" t="n">
        <f aca="false">'📊 Risco por Setor'!$A$7</f>
        <v>0</v>
      </c>
      <c r="B97" s="5" t="s">
        <v>87</v>
      </c>
      <c r="C97" s="15" t="s">
        <v>100</v>
      </c>
      <c r="D97" s="23" t="s">
        <v>19</v>
      </c>
      <c r="E97" s="24" t="str">
        <f aca="false">IFERROR(AVERAGEIF('🔢 Cálculo'!$B$4:$B$203,'📊 Risco por Setor'!$A$7,'🔢 Cálculo'!$O$4:$O$203),"")</f>
        <v/>
      </c>
      <c r="F97" s="25" t="str">
        <f aca="false">IFERROR((5-E97)/4*100,"")</f>
        <v/>
      </c>
      <c r="G97" s="15" t="str">
        <f aca="false">IFERROR(IF(F97="","",IF(F97&lt;25,"Baixo",IF(F97&lt;50,"Moderado",IF(F97&lt;75,"Alto","Crítico")))),"N/A")</f>
        <v/>
      </c>
      <c r="H97" s="15" t="s">
        <v>89</v>
      </c>
    </row>
    <row r="98" customFormat="false" ht="15" hidden="false" customHeight="false" outlineLevel="0" collapsed="false">
      <c r="A98" s="12" t="n">
        <f aca="false">'📊 Risco por Setor'!$A$7</f>
        <v>0</v>
      </c>
      <c r="B98" s="13" t="s">
        <v>103</v>
      </c>
      <c r="C98" s="12" t="s">
        <v>102</v>
      </c>
      <c r="D98" s="20" t="s">
        <v>20</v>
      </c>
      <c r="E98" s="21" t="str">
        <f aca="false">IFERROR(AVERAGEIF('🔢 Cálculo'!$B$4:$B$203,'📊 Risco por Setor'!$A$7,'🔢 Cálculo'!$P$4:$P$203),"")</f>
        <v/>
      </c>
      <c r="F98" s="22" t="str">
        <f aca="false">IFERROR((5-E98)/4*100,"")</f>
        <v/>
      </c>
      <c r="G98" s="12" t="str">
        <f aca="false">IFERROR(IF(F98="","",IF(F98&lt;25,"Baixo",IF(F98&lt;50,"Moderado",IF(F98&lt;75,"Alto","Crítico")))),"N/A")</f>
        <v/>
      </c>
      <c r="H98" s="12" t="s">
        <v>89</v>
      </c>
    </row>
    <row r="99" customFormat="false" ht="15" hidden="false" customHeight="false" outlineLevel="0" collapsed="false">
      <c r="A99" s="15" t="n">
        <f aca="false">'📊 Risco por Setor'!$A$7</f>
        <v>0</v>
      </c>
      <c r="B99" s="5" t="s">
        <v>103</v>
      </c>
      <c r="C99" s="15" t="s">
        <v>105</v>
      </c>
      <c r="D99" s="23" t="s">
        <v>21</v>
      </c>
      <c r="E99" s="24" t="str">
        <f aca="false">IFERROR(AVERAGEIF('🔢 Cálculo'!$B$4:$B$203,'📊 Risco por Setor'!$A$7,'🔢 Cálculo'!$Q$4:$Q$203),"")</f>
        <v/>
      </c>
      <c r="F99" s="25" t="str">
        <f aca="false">IFERROR((5-E99)/4*100,"")</f>
        <v/>
      </c>
      <c r="G99" s="15" t="str">
        <f aca="false">IFERROR(IF(F99="","",IF(F99&lt;25,"Baixo",IF(F99&lt;50,"Moderado",IF(F99&lt;75,"Alto","Crítico")))),"N/A")</f>
        <v/>
      </c>
      <c r="H99" s="15" t="s">
        <v>89</v>
      </c>
    </row>
    <row r="100" customFormat="false" ht="15" hidden="false" customHeight="false" outlineLevel="0" collapsed="false">
      <c r="A100" s="12" t="n">
        <f aca="false">'📊 Risco por Setor'!$A$7</f>
        <v>0</v>
      </c>
      <c r="B100" s="13" t="s">
        <v>103</v>
      </c>
      <c r="C100" s="12" t="s">
        <v>107</v>
      </c>
      <c r="D100" s="20" t="s">
        <v>22</v>
      </c>
      <c r="E100" s="21" t="str">
        <f aca="false">IFERROR(AVERAGEIF('🔢 Cálculo'!$B$4:$B$203,'📊 Risco por Setor'!$A$7,'🔢 Cálculo'!$R$4:$R$203),"")</f>
        <v/>
      </c>
      <c r="F100" s="22" t="str">
        <f aca="false">IFERROR((5-E100)/4*100,"")</f>
        <v/>
      </c>
      <c r="G100" s="12" t="str">
        <f aca="false">IFERROR(IF(F100="","",IF(F100&lt;25,"Baixo",IF(F100&lt;50,"Moderado",IF(F100&lt;75,"Alto","Crítico")))),"N/A")</f>
        <v/>
      </c>
      <c r="H100" s="12" t="s">
        <v>89</v>
      </c>
    </row>
    <row r="101" customFormat="false" ht="15" hidden="false" customHeight="false" outlineLevel="0" collapsed="false">
      <c r="A101" s="15" t="n">
        <f aca="false">'📊 Risco por Setor'!$A$7</f>
        <v>0</v>
      </c>
      <c r="B101" s="5" t="s">
        <v>103</v>
      </c>
      <c r="C101" s="15" t="s">
        <v>109</v>
      </c>
      <c r="D101" s="23" t="s">
        <v>23</v>
      </c>
      <c r="E101" s="24" t="str">
        <f aca="false">IFERROR(AVERAGEIF('🔢 Cálculo'!$B$4:$B$203,'📊 Risco por Setor'!$A$7,'🔢 Cálculo'!$S$4:$S$203),"")</f>
        <v/>
      </c>
      <c r="F101" s="25" t="str">
        <f aca="false">IFERROR((5-E101)/4*100,"")</f>
        <v/>
      </c>
      <c r="G101" s="15" t="str">
        <f aca="false">IFERROR(IF(F101="","",IF(F101&lt;25,"Baixo",IF(F101&lt;50,"Moderado",IF(F101&lt;75,"Alto","Crítico")))),"N/A")</f>
        <v/>
      </c>
      <c r="H101" s="15" t="s">
        <v>89</v>
      </c>
    </row>
    <row r="102" customFormat="false" ht="15" hidden="false" customHeight="false" outlineLevel="0" collapsed="false">
      <c r="A102" s="12" t="n">
        <f aca="false">'📊 Risco por Setor'!$A$7</f>
        <v>0</v>
      </c>
      <c r="B102" s="13" t="s">
        <v>103</v>
      </c>
      <c r="C102" s="12" t="s">
        <v>111</v>
      </c>
      <c r="D102" s="20" t="s">
        <v>24</v>
      </c>
      <c r="E102" s="21" t="str">
        <f aca="false">IFERROR(AVERAGEIF('🔢 Cálculo'!$B$4:$B$203,'📊 Risco por Setor'!$A$7,'🔢 Cálculo'!$T$4:$T$203),"")</f>
        <v/>
      </c>
      <c r="F102" s="22" t="str">
        <f aca="false">IFERROR((5-E102)/4*100,"")</f>
        <v/>
      </c>
      <c r="G102" s="12" t="str">
        <f aca="false">IFERROR(IF(F102="","",IF(F102&lt;25,"Baixo",IF(F102&lt;50,"Moderado",IF(F102&lt;75,"Alto","Crítico")))),"N/A")</f>
        <v/>
      </c>
      <c r="H102" s="12" t="s">
        <v>89</v>
      </c>
    </row>
    <row r="103" customFormat="false" ht="15" hidden="false" customHeight="false" outlineLevel="0" collapsed="false">
      <c r="A103" s="15" t="n">
        <f aca="false">'📊 Risco por Setor'!$A$7</f>
        <v>0</v>
      </c>
      <c r="B103" s="5" t="s">
        <v>103</v>
      </c>
      <c r="C103" s="15" t="s">
        <v>113</v>
      </c>
      <c r="D103" s="23" t="s">
        <v>25</v>
      </c>
      <c r="E103" s="24" t="str">
        <f aca="false">IFERROR(AVERAGEIF('🔢 Cálculo'!$B$4:$B$203,'📊 Risco por Setor'!$A$7,'🔢 Cálculo'!$U$4:$U$203),"")</f>
        <v/>
      </c>
      <c r="F103" s="25" t="str">
        <f aca="false">IFERROR((5-E103)/4*100,"")</f>
        <v/>
      </c>
      <c r="G103" s="15" t="str">
        <f aca="false">IFERROR(IF(F103="","",IF(F103&lt;25,"Baixo",IF(F103&lt;50,"Moderado",IF(F103&lt;75,"Alto","Crítico")))),"N/A")</f>
        <v/>
      </c>
      <c r="H103" s="15" t="s">
        <v>89</v>
      </c>
    </row>
    <row r="104" customFormat="false" ht="15" hidden="false" customHeight="false" outlineLevel="0" collapsed="false">
      <c r="A104" s="12" t="n">
        <f aca="false">'📊 Risco por Setor'!$A$7</f>
        <v>0</v>
      </c>
      <c r="B104" s="13" t="s">
        <v>116</v>
      </c>
      <c r="C104" s="12" t="s">
        <v>115</v>
      </c>
      <c r="D104" s="20" t="s">
        <v>26</v>
      </c>
      <c r="E104" s="21" t="str">
        <f aca="false">IFERROR(AVERAGEIF('🔢 Cálculo'!$B$4:$B$203,'📊 Risco por Setor'!$A$7,'🔢 Cálculo'!$V$4:$V$203),"")</f>
        <v/>
      </c>
      <c r="F104" s="22" t="str">
        <f aca="false">IFERROR((5-E104)/4*100,"")</f>
        <v/>
      </c>
      <c r="G104" s="12" t="str">
        <f aca="false">IFERROR(IF(F104="","",IF(F104&lt;25,"Baixo",IF(F104&lt;50,"Moderado",IF(F104&lt;75,"Alto","Crítico")))),"N/A")</f>
        <v/>
      </c>
      <c r="H104" s="12" t="s">
        <v>89</v>
      </c>
    </row>
    <row r="105" customFormat="false" ht="15" hidden="false" customHeight="false" outlineLevel="0" collapsed="false">
      <c r="A105" s="15" t="n">
        <f aca="false">'📊 Risco por Setor'!$A$7</f>
        <v>0</v>
      </c>
      <c r="B105" s="5" t="s">
        <v>116</v>
      </c>
      <c r="C105" s="15" t="s">
        <v>118</v>
      </c>
      <c r="D105" s="23" t="s">
        <v>27</v>
      </c>
      <c r="E105" s="24" t="str">
        <f aca="false">IFERROR(AVERAGEIF('🔢 Cálculo'!$B$4:$B$203,'📊 Risco por Setor'!$A$7,'🔢 Cálculo'!$W$4:$W$203),"")</f>
        <v/>
      </c>
      <c r="F105" s="25" t="str">
        <f aca="false">IFERROR((5-E105)/4*100,"")</f>
        <v/>
      </c>
      <c r="G105" s="15" t="str">
        <f aca="false">IFERROR(IF(F105="","",IF(F105&lt;25,"Baixo",IF(F105&lt;50,"Moderado",IF(F105&lt;75,"Alto","Crítico")))),"N/A")</f>
        <v/>
      </c>
      <c r="H105" s="15" t="s">
        <v>89</v>
      </c>
    </row>
    <row r="106" customFormat="false" ht="15" hidden="false" customHeight="false" outlineLevel="0" collapsed="false">
      <c r="A106" s="12" t="n">
        <f aca="false">'📊 Risco por Setor'!$A$7</f>
        <v>0</v>
      </c>
      <c r="B106" s="13" t="s">
        <v>116</v>
      </c>
      <c r="C106" s="12" t="s">
        <v>120</v>
      </c>
      <c r="D106" s="20" t="s">
        <v>28</v>
      </c>
      <c r="E106" s="21" t="str">
        <f aca="false">IFERROR(AVERAGEIF('🔢 Cálculo'!$B$4:$B$203,'📊 Risco por Setor'!$A$7,'🔢 Cálculo'!$X$4:$X$203),"")</f>
        <v/>
      </c>
      <c r="F106" s="22" t="str">
        <f aca="false">IFERROR((5-E106)/4*100,"")</f>
        <v/>
      </c>
      <c r="G106" s="12" t="str">
        <f aca="false">IFERROR(IF(F106="","",IF(F106&lt;25,"Baixo",IF(F106&lt;50,"Moderado",IF(F106&lt;75,"Alto","Crítico")))),"N/A")</f>
        <v/>
      </c>
      <c r="H106" s="12" t="s">
        <v>89</v>
      </c>
    </row>
    <row r="107" customFormat="false" ht="15" hidden="false" customHeight="false" outlineLevel="0" collapsed="false">
      <c r="A107" s="15" t="n">
        <f aca="false">'📊 Risco por Setor'!$A$7</f>
        <v>0</v>
      </c>
      <c r="B107" s="5" t="s">
        <v>116</v>
      </c>
      <c r="C107" s="15" t="s">
        <v>122</v>
      </c>
      <c r="D107" s="23" t="s">
        <v>29</v>
      </c>
      <c r="E107" s="24" t="str">
        <f aca="false">IFERROR(AVERAGEIF('🔢 Cálculo'!$B$4:$B$203,'📊 Risco por Setor'!$A$7,'🔢 Cálculo'!$Y$4:$Y$203),"")</f>
        <v/>
      </c>
      <c r="F107" s="25" t="str">
        <f aca="false">IFERROR((5-E107)/4*100,"")</f>
        <v/>
      </c>
      <c r="G107" s="15" t="str">
        <f aca="false">IFERROR(IF(F107="","",IF(F107&lt;25,"Baixo",IF(F107&lt;50,"Moderado",IF(F107&lt;75,"Alto","Crítico")))),"N/A")</f>
        <v/>
      </c>
      <c r="H107" s="15" t="s">
        <v>89</v>
      </c>
    </row>
    <row r="108" customFormat="false" ht="15" hidden="false" customHeight="false" outlineLevel="0" collapsed="false">
      <c r="A108" s="12" t="n">
        <f aca="false">'📊 Risco por Setor'!$A$7</f>
        <v>0</v>
      </c>
      <c r="B108" s="13" t="s">
        <v>116</v>
      </c>
      <c r="C108" s="12" t="s">
        <v>124</v>
      </c>
      <c r="D108" s="20" t="s">
        <v>30</v>
      </c>
      <c r="E108" s="21" t="str">
        <f aca="false">IFERROR(AVERAGEIF('🔢 Cálculo'!$B$4:$B$203,'📊 Risco por Setor'!$A$7,'🔢 Cálculo'!$Z$4:$Z$203),"")</f>
        <v/>
      </c>
      <c r="F108" s="22" t="str">
        <f aca="false">IFERROR((5-E108)/4*100,"")</f>
        <v/>
      </c>
      <c r="G108" s="12" t="str">
        <f aca="false">IFERROR(IF(F108="","",IF(F108&lt;25,"Baixo",IF(F108&lt;50,"Moderado",IF(F108&lt;75,"Alto","Crítico")))),"N/A")</f>
        <v/>
      </c>
      <c r="H108" s="12" t="s">
        <v>89</v>
      </c>
    </row>
    <row r="109" customFormat="false" ht="15" hidden="false" customHeight="false" outlineLevel="0" collapsed="false">
      <c r="A109" s="15" t="n">
        <f aca="false">'📊 Risco por Setor'!$A$7</f>
        <v>0</v>
      </c>
      <c r="B109" s="5" t="s">
        <v>127</v>
      </c>
      <c r="C109" s="15" t="s">
        <v>126</v>
      </c>
      <c r="D109" s="23" t="s">
        <v>31</v>
      </c>
      <c r="E109" s="24" t="str">
        <f aca="false">IFERROR(AVERAGEIF('🔢 Cálculo'!$B$4:$B$203,'📊 Risco por Setor'!$A$7,'🔢 Cálculo'!$AA$4:$AA$203),"")</f>
        <v/>
      </c>
      <c r="F109" s="25" t="str">
        <f aca="false">IFERROR((5-E109)/4*100,"")</f>
        <v/>
      </c>
      <c r="G109" s="15" t="str">
        <f aca="false">IFERROR(IF(F109="","",IF(F109&lt;25,"Baixo",IF(F109&lt;50,"Moderado",IF(F109&lt;75,"Alto","Crítico")))),"N/A")</f>
        <v/>
      </c>
      <c r="H109" s="15" t="s">
        <v>89</v>
      </c>
    </row>
    <row r="110" customFormat="false" ht="15" hidden="false" customHeight="false" outlineLevel="0" collapsed="false">
      <c r="A110" s="12" t="n">
        <f aca="false">'📊 Risco por Setor'!$A$7</f>
        <v>0</v>
      </c>
      <c r="B110" s="13" t="s">
        <v>127</v>
      </c>
      <c r="C110" s="12" t="s">
        <v>129</v>
      </c>
      <c r="D110" s="20" t="s">
        <v>32</v>
      </c>
      <c r="E110" s="21" t="str">
        <f aca="false">IFERROR(AVERAGEIF('🔢 Cálculo'!$B$4:$B$203,'📊 Risco por Setor'!$A$7,'🔢 Cálculo'!$AB$4:$AB$203),"")</f>
        <v/>
      </c>
      <c r="F110" s="22" t="str">
        <f aca="false">IFERROR((5-E110)/4*100,"")</f>
        <v/>
      </c>
      <c r="G110" s="12" t="str">
        <f aca="false">IFERROR(IF(F110="","",IF(F110&lt;25,"Baixo",IF(F110&lt;50,"Moderado",IF(F110&lt;75,"Alto","Crítico")))),"N/A")</f>
        <v/>
      </c>
      <c r="H110" s="12" t="s">
        <v>89</v>
      </c>
    </row>
    <row r="111" customFormat="false" ht="15" hidden="false" customHeight="false" outlineLevel="0" collapsed="false">
      <c r="A111" s="15" t="n">
        <f aca="false">'📊 Risco por Setor'!$A$7</f>
        <v>0</v>
      </c>
      <c r="B111" s="5" t="s">
        <v>127</v>
      </c>
      <c r="C111" s="15" t="s">
        <v>131</v>
      </c>
      <c r="D111" s="23" t="s">
        <v>33</v>
      </c>
      <c r="E111" s="24" t="str">
        <f aca="false">IFERROR(AVERAGEIF('🔢 Cálculo'!$B$4:$B$203,'📊 Risco por Setor'!$A$7,'🔢 Cálculo'!$AC$4:$AC$203),"")</f>
        <v/>
      </c>
      <c r="F111" s="25" t="str">
        <f aca="false">IFERROR((5-E111)/4*100,"")</f>
        <v/>
      </c>
      <c r="G111" s="15" t="str">
        <f aca="false">IFERROR(IF(F111="","",IF(F111&lt;25,"Baixo",IF(F111&lt;50,"Moderado",IF(F111&lt;75,"Alto","Crítico")))),"N/A")</f>
        <v/>
      </c>
      <c r="H111" s="15" t="s">
        <v>89</v>
      </c>
    </row>
    <row r="112" customFormat="false" ht="15" hidden="false" customHeight="false" outlineLevel="0" collapsed="false">
      <c r="A112" s="12" t="n">
        <f aca="false">'📊 Risco por Setor'!$A$7</f>
        <v>0</v>
      </c>
      <c r="B112" s="13" t="s">
        <v>127</v>
      </c>
      <c r="C112" s="12" t="s">
        <v>133</v>
      </c>
      <c r="D112" s="20" t="s">
        <v>34</v>
      </c>
      <c r="E112" s="21" t="str">
        <f aca="false">IFERROR(AVERAGEIF('🔢 Cálculo'!$B$4:$B$203,'📊 Risco por Setor'!$A$7,'🔢 Cálculo'!$AD$4:$AD$203),"")</f>
        <v/>
      </c>
      <c r="F112" s="22" t="str">
        <f aca="false">IFERROR((5-E112)/4*100,"")</f>
        <v/>
      </c>
      <c r="G112" s="12" t="str">
        <f aca="false">IFERROR(IF(F112="","",IF(F112&lt;25,"Baixo",IF(F112&lt;50,"Moderado",IF(F112&lt;75,"Alto","Crítico")))),"N/A")</f>
        <v/>
      </c>
      <c r="H112" s="12" t="s">
        <v>89</v>
      </c>
    </row>
    <row r="113" customFormat="false" ht="15" hidden="false" customHeight="false" outlineLevel="0" collapsed="false">
      <c r="A113" s="15" t="n">
        <f aca="false">'📊 Risco por Setor'!$A$7</f>
        <v>0</v>
      </c>
      <c r="B113" s="5" t="s">
        <v>127</v>
      </c>
      <c r="C113" s="15" t="s">
        <v>135</v>
      </c>
      <c r="D113" s="23" t="s">
        <v>35</v>
      </c>
      <c r="E113" s="24" t="str">
        <f aca="false">IFERROR(AVERAGEIF('🔢 Cálculo'!$B$4:$B$203,'📊 Risco por Setor'!$A$7,'🔢 Cálculo'!$AE$4:$AE$203),"")</f>
        <v/>
      </c>
      <c r="F113" s="25" t="str">
        <f aca="false">IFERROR((E113-1)/4*100,"")</f>
        <v/>
      </c>
      <c r="G113" s="15" t="str">
        <f aca="false">IFERROR(IF(F113="","",IF(F113&lt;25,"Baixo",IF(F113&lt;50,"Moderado",IF(F113&lt;75,"Alto","Crítico")))),"N/A")</f>
        <v/>
      </c>
      <c r="H113" s="15" t="s">
        <v>63</v>
      </c>
    </row>
    <row r="114" customFormat="false" ht="15" hidden="false" customHeight="false" outlineLevel="0" collapsed="false">
      <c r="A114" s="12" t="n">
        <f aca="false">'📊 Risco por Setor'!$A$7</f>
        <v>0</v>
      </c>
      <c r="B114" s="13" t="s">
        <v>138</v>
      </c>
      <c r="C114" s="12" t="s">
        <v>137</v>
      </c>
      <c r="D114" s="20" t="s">
        <v>36</v>
      </c>
      <c r="E114" s="21" t="str">
        <f aca="false">IFERROR(AVERAGEIF('🔢 Cálculo'!$B$4:$B$203,'📊 Risco por Setor'!$A$7,'🔢 Cálculo'!$AF$4:$AF$203),"")</f>
        <v/>
      </c>
      <c r="F114" s="22" t="str">
        <f aca="false">IFERROR((5-E114)/4*100,"")</f>
        <v/>
      </c>
      <c r="G114" s="12" t="str">
        <f aca="false">IFERROR(IF(F114="","",IF(F114&lt;25,"Baixo",IF(F114&lt;50,"Moderado",IF(F114&lt;75,"Alto","Crítico")))),"N/A")</f>
        <v/>
      </c>
      <c r="H114" s="12" t="s">
        <v>67</v>
      </c>
    </row>
    <row r="115" customFormat="false" ht="15" hidden="false" customHeight="false" outlineLevel="0" collapsed="false">
      <c r="A115" s="15" t="n">
        <f aca="false">'📊 Risco por Setor'!$A$7</f>
        <v>0</v>
      </c>
      <c r="B115" s="5" t="s">
        <v>138</v>
      </c>
      <c r="C115" s="15" t="s">
        <v>140</v>
      </c>
      <c r="D115" s="23" t="s">
        <v>37</v>
      </c>
      <c r="E115" s="24" t="str">
        <f aca="false">IFERROR(AVERAGEIF('🔢 Cálculo'!$B$4:$B$203,'📊 Risco por Setor'!$A$7,'🔢 Cálculo'!$AG$4:$AG$203),"")</f>
        <v/>
      </c>
      <c r="F115" s="25" t="str">
        <f aca="false">IFERROR((E115-1)/4*100,"")</f>
        <v/>
      </c>
      <c r="G115" s="15" t="str">
        <f aca="false">IFERROR(IF(F115="","",IF(F115&lt;25,"Baixo",IF(F115&lt;50,"Moderado",IF(F115&lt;75,"Alto","Crítico")))),"N/A")</f>
        <v/>
      </c>
      <c r="H115" s="15" t="s">
        <v>63</v>
      </c>
    </row>
    <row r="116" customFormat="false" ht="15" hidden="false" customHeight="false" outlineLevel="0" collapsed="false">
      <c r="A116" s="12" t="n">
        <f aca="false">'📊 Risco por Setor'!$A$7</f>
        <v>0</v>
      </c>
      <c r="B116" s="13" t="s">
        <v>138</v>
      </c>
      <c r="C116" s="12" t="s">
        <v>142</v>
      </c>
      <c r="D116" s="20" t="s">
        <v>38</v>
      </c>
      <c r="E116" s="21" t="str">
        <f aca="false">IFERROR(AVERAGEIF('🔢 Cálculo'!$B$4:$B$203,'📊 Risco por Setor'!$A$7,'🔢 Cálculo'!$AH$4:$AH$203),"")</f>
        <v/>
      </c>
      <c r="F116" s="22" t="str">
        <f aca="false">IFERROR((E116-1)/4*100,"")</f>
        <v/>
      </c>
      <c r="G116" s="12" t="str">
        <f aca="false">IFERROR(IF(F116="","",IF(F116&lt;25,"Baixo",IF(F116&lt;50,"Moderado",IF(F116&lt;75,"Alto","Crítico")))),"N/A")</f>
        <v/>
      </c>
      <c r="H116" s="12" t="s">
        <v>63</v>
      </c>
    </row>
    <row r="117" customFormat="false" ht="15" hidden="false" customHeight="false" outlineLevel="0" collapsed="false">
      <c r="A117" s="15" t="n">
        <f aca="false">'📊 Risco por Setor'!$A$7</f>
        <v>0</v>
      </c>
      <c r="B117" s="5" t="s">
        <v>138</v>
      </c>
      <c r="C117" s="15" t="s">
        <v>144</v>
      </c>
      <c r="D117" s="23" t="s">
        <v>39</v>
      </c>
      <c r="E117" s="24" t="str">
        <f aca="false">IFERROR(AVERAGEIF('🔢 Cálculo'!$B$4:$B$203,'📊 Risco por Setor'!$A$7,'🔢 Cálculo'!$AI$4:$AI$203),"")</f>
        <v/>
      </c>
      <c r="F117" s="25" t="str">
        <f aca="false">IFERROR((E117-1)/4*100,"")</f>
        <v/>
      </c>
      <c r="G117" s="15" t="str">
        <f aca="false">IFERROR(IF(F117="","",IF(F117&lt;25,"Baixo",IF(F117&lt;50,"Moderado",IF(F117&lt;75,"Alto","Crítico")))),"N/A")</f>
        <v/>
      </c>
      <c r="H117" s="15" t="s">
        <v>63</v>
      </c>
    </row>
    <row r="118" customFormat="false" ht="15" hidden="false" customHeight="false" outlineLevel="0" collapsed="false">
      <c r="A118" s="12" t="n">
        <f aca="false">'📊 Risco por Setor'!$A$7</f>
        <v>0</v>
      </c>
      <c r="B118" s="13" t="s">
        <v>138</v>
      </c>
      <c r="C118" s="12" t="s">
        <v>146</v>
      </c>
      <c r="D118" s="20" t="s">
        <v>40</v>
      </c>
      <c r="E118" s="21" t="str">
        <f aca="false">IFERROR(AVERAGEIF('🔢 Cálculo'!$B$4:$B$203,'📊 Risco por Setor'!$A$7,'🔢 Cálculo'!$AJ$4:$AJ$203),"")</f>
        <v/>
      </c>
      <c r="F118" s="22" t="str">
        <f aca="false">IFERROR((E118-1)/4*100,"")</f>
        <v/>
      </c>
      <c r="G118" s="12" t="str">
        <f aca="false">IFERROR(IF(F118="","",IF(F118&lt;25,"Baixo",IF(F118&lt;50,"Moderado",IF(F118&lt;75,"Alto","Crítico")))),"N/A")</f>
        <v/>
      </c>
      <c r="H118" s="12" t="s">
        <v>63</v>
      </c>
    </row>
    <row r="119" customFormat="false" ht="15" hidden="false" customHeight="false" outlineLevel="0" collapsed="false">
      <c r="A119" s="15" t="n">
        <f aca="false">'📊 Risco por Setor'!$A$7</f>
        <v>0</v>
      </c>
      <c r="B119" s="5" t="s">
        <v>138</v>
      </c>
      <c r="C119" s="15" t="s">
        <v>148</v>
      </c>
      <c r="D119" s="23" t="s">
        <v>41</v>
      </c>
      <c r="E119" s="24" t="str">
        <f aca="false">IFERROR(AVERAGEIF('🔢 Cálculo'!$B$4:$B$203,'📊 Risco por Setor'!$A$7,'🔢 Cálculo'!$AK$4:$AK$203),"")</f>
        <v/>
      </c>
      <c r="F119" s="25" t="str">
        <f aca="false">IFERROR((E119-1)/4*100,"")</f>
        <v/>
      </c>
      <c r="G119" s="15" t="str">
        <f aca="false">IFERROR(IF(F119="","",IF(F119&lt;25,"Baixo",IF(F119&lt;50,"Moderado",IF(F119&lt;75,"Alto","Crítico")))),"N/A")</f>
        <v/>
      </c>
      <c r="H119" s="15" t="s">
        <v>63</v>
      </c>
    </row>
    <row r="120" customFormat="false" ht="15" hidden="false" customHeight="false" outlineLevel="0" collapsed="false">
      <c r="A120" s="12" t="n">
        <f aca="false">'📊 Risco por Setor'!$A$7</f>
        <v>0</v>
      </c>
      <c r="B120" s="13" t="s">
        <v>138</v>
      </c>
      <c r="C120" s="12" t="s">
        <v>150</v>
      </c>
      <c r="D120" s="20" t="s">
        <v>42</v>
      </c>
      <c r="E120" s="21" t="str">
        <f aca="false">IFERROR(AVERAGEIF('🔢 Cálculo'!$B$4:$B$203,'📊 Risco por Setor'!$A$7,'🔢 Cálculo'!$AL$4:$AL$203),"")</f>
        <v/>
      </c>
      <c r="F120" s="22" t="str">
        <f aca="false">IFERROR((E120-1)/4*100,"")</f>
        <v/>
      </c>
      <c r="G120" s="12" t="str">
        <f aca="false">IFERROR(IF(F120="","",IF(F120&lt;25,"Baixo",IF(F120&lt;50,"Moderado",IF(F120&lt;75,"Alto","Crítico")))),"N/A")</f>
        <v/>
      </c>
      <c r="H120" s="12" t="s">
        <v>63</v>
      </c>
    </row>
    <row r="121" customFormat="false" ht="15" hidden="false" customHeight="false" outlineLevel="0" collapsed="false">
      <c r="A121" s="15" t="n">
        <f aca="false">'📊 Risco por Setor'!$A$7</f>
        <v>0</v>
      </c>
      <c r="B121" s="5" t="s">
        <v>138</v>
      </c>
      <c r="C121" s="15" t="s">
        <v>152</v>
      </c>
      <c r="D121" s="23" t="s">
        <v>43</v>
      </c>
      <c r="E121" s="24" t="str">
        <f aca="false">IFERROR(AVERAGEIF('🔢 Cálculo'!$B$4:$B$203,'📊 Risco por Setor'!$A$7,'🔢 Cálculo'!$AM$4:$AM$203),"")</f>
        <v/>
      </c>
      <c r="F121" s="25" t="str">
        <f aca="false">IFERROR((E121-1)/4*100,"")</f>
        <v/>
      </c>
      <c r="G121" s="15" t="str">
        <f aca="false">IFERROR(IF(F121="","",IF(F121&lt;25,"Baixo",IF(F121&lt;50,"Moderado",IF(F121&lt;75,"Alto","Crítico")))),"N/A")</f>
        <v/>
      </c>
      <c r="H121" s="15" t="s">
        <v>63</v>
      </c>
    </row>
    <row r="122" customFormat="false" ht="15" hidden="false" customHeight="false" outlineLevel="0" collapsed="false">
      <c r="A122" s="12" t="n">
        <f aca="false">'📊 Risco por Setor'!$A$7</f>
        <v>0</v>
      </c>
      <c r="B122" s="13" t="s">
        <v>138</v>
      </c>
      <c r="C122" s="12" t="s">
        <v>154</v>
      </c>
      <c r="D122" s="20" t="s">
        <v>44</v>
      </c>
      <c r="E122" s="21" t="str">
        <f aca="false">IFERROR(AVERAGEIF('🔢 Cálculo'!$B$4:$B$203,'📊 Risco por Setor'!$A$7,'🔢 Cálculo'!$AN$4:$AN$203),"")</f>
        <v/>
      </c>
      <c r="F122" s="22" t="str">
        <f aca="false">IFERROR((E122-1)/4*100,"")</f>
        <v/>
      </c>
      <c r="G122" s="12" t="str">
        <f aca="false">IFERROR(IF(F122="","",IF(F122&lt;25,"Baixo",IF(F122&lt;50,"Moderado",IF(F122&lt;75,"Alto","Crítico")))),"N/A")</f>
        <v/>
      </c>
      <c r="H122" s="12" t="s">
        <v>63</v>
      </c>
    </row>
    <row r="123" customFormat="false" ht="15" hidden="false" customHeight="false" outlineLevel="0" collapsed="false">
      <c r="A123" s="15" t="n">
        <f aca="false">'📊 Risco por Setor'!$A$7</f>
        <v>0</v>
      </c>
      <c r="B123" s="5" t="s">
        <v>157</v>
      </c>
      <c r="C123" s="15" t="s">
        <v>156</v>
      </c>
      <c r="D123" s="23" t="s">
        <v>45</v>
      </c>
      <c r="E123" s="24" t="str">
        <f aca="false">IFERROR(AVERAGEIF('🔢 Cálculo'!$B$4:$B$203,'📊 Risco por Setor'!$A$7,'🔢 Cálculo'!$AO$4:$AO$203),"")</f>
        <v/>
      </c>
      <c r="F123" s="25" t="str">
        <f aca="false">IFERROR((E123-1)/4*100,"")</f>
        <v/>
      </c>
      <c r="G123" s="15" t="str">
        <f aca="false">IFERROR(IF(F123="","",IF(F123&lt;25,"Baixo",IF(F123&lt;50,"Moderado",IF(F123&lt;75,"Alto","Crítico")))),"N/A")</f>
        <v/>
      </c>
      <c r="H123" s="15" t="s">
        <v>63</v>
      </c>
    </row>
    <row r="124" customFormat="false" ht="15" hidden="false" customHeight="false" outlineLevel="0" collapsed="false">
      <c r="A124" s="12" t="n">
        <f aca="false">'📊 Risco por Setor'!$A$7</f>
        <v>0</v>
      </c>
      <c r="B124" s="13" t="s">
        <v>157</v>
      </c>
      <c r="C124" s="12" t="s">
        <v>159</v>
      </c>
      <c r="D124" s="20" t="s">
        <v>46</v>
      </c>
      <c r="E124" s="21" t="str">
        <f aca="false">IFERROR(AVERAGEIF('🔢 Cálculo'!$B$4:$B$203,'📊 Risco por Setor'!$A$7,'🔢 Cálculo'!$AP$4:$AP$203),"")</f>
        <v/>
      </c>
      <c r="F124" s="22" t="str">
        <f aca="false">IFERROR((E124-1)/4*100,"")</f>
        <v/>
      </c>
      <c r="G124" s="12" t="str">
        <f aca="false">IFERROR(IF(F124="","",IF(F124&lt;25,"Baixo",IF(F124&lt;50,"Moderado",IF(F124&lt;75,"Alto","Crítico")))),"N/A")</f>
        <v/>
      </c>
      <c r="H124" s="12" t="s">
        <v>63</v>
      </c>
    </row>
    <row r="125" customFormat="false" ht="15" hidden="false" customHeight="false" outlineLevel="0" collapsed="false">
      <c r="A125" s="15" t="n">
        <f aca="false">'📊 Risco por Setor'!$A$7</f>
        <v>0</v>
      </c>
      <c r="B125" s="5" t="s">
        <v>157</v>
      </c>
      <c r="C125" s="15" t="s">
        <v>161</v>
      </c>
      <c r="D125" s="23" t="s">
        <v>47</v>
      </c>
      <c r="E125" s="24" t="str">
        <f aca="false">IFERROR(AVERAGEIF('🔢 Cálculo'!$B$4:$B$203,'📊 Risco por Setor'!$A$7,'🔢 Cálculo'!$AQ$4:$AQ$203),"")</f>
        <v/>
      </c>
      <c r="F125" s="25" t="str">
        <f aca="false">IFERROR((E125-1)/4*100,"")</f>
        <v/>
      </c>
      <c r="G125" s="15" t="str">
        <f aca="false">IFERROR(IF(F125="","",IF(F125&lt;25,"Baixo",IF(F125&lt;50,"Moderado",IF(F125&lt;75,"Alto","Crítico")))),"N/A")</f>
        <v/>
      </c>
      <c r="H125" s="15" t="s">
        <v>63</v>
      </c>
    </row>
    <row r="126" customFormat="false" ht="15" hidden="false" customHeight="false" outlineLevel="0" collapsed="false">
      <c r="A126" s="12" t="n">
        <f aca="false">'📊 Risco por Setor'!$A$7</f>
        <v>0</v>
      </c>
      <c r="B126" s="13" t="s">
        <v>157</v>
      </c>
      <c r="C126" s="12" t="s">
        <v>163</v>
      </c>
      <c r="D126" s="20" t="s">
        <v>48</v>
      </c>
      <c r="E126" s="21" t="str">
        <f aca="false">IFERROR(AVERAGEIF('🔢 Cálculo'!$B$4:$B$203,'📊 Risco por Setor'!$A$7,'🔢 Cálculo'!$AR$4:$AR$203),"")</f>
        <v/>
      </c>
      <c r="F126" s="22" t="str">
        <f aca="false">IFERROR((E126-1)/4*100,"")</f>
        <v/>
      </c>
      <c r="G126" s="12" t="str">
        <f aca="false">IFERROR(IF(F126="","",IF(F126&lt;25,"Baixo",IF(F126&lt;50,"Moderado",IF(F126&lt;75,"Alto","Crítico")))),"N/A")</f>
        <v/>
      </c>
      <c r="H126" s="12" t="s">
        <v>63</v>
      </c>
    </row>
    <row r="127" customFormat="false" ht="15" hidden="false" customHeight="false" outlineLevel="0" collapsed="false">
      <c r="A127" s="15" t="n">
        <f aca="false">'📊 Risco por Setor'!$A$8</f>
        <v>0</v>
      </c>
      <c r="B127" s="5" t="s">
        <v>61</v>
      </c>
      <c r="C127" s="15" t="s">
        <v>60</v>
      </c>
      <c r="D127" s="23" t="s">
        <v>8</v>
      </c>
      <c r="E127" s="24" t="str">
        <f aca="false">IFERROR(AVERAGEIF('🔢 Cálculo'!$B$4:$B$203,'📊 Risco por Setor'!$A$8,'🔢 Cálculo'!$D$4:$D$203),"")</f>
        <v/>
      </c>
      <c r="F127" s="25" t="str">
        <f aca="false">IFERROR((E127-1)/4*100,"")</f>
        <v/>
      </c>
      <c r="G127" s="15" t="str">
        <f aca="false">IFERROR(IF(F127="","",IF(F127&lt;25,"Baixo",IF(F127&lt;50,"Moderado",IF(F127&lt;75,"Alto","Crítico")))),"N/A")</f>
        <v/>
      </c>
      <c r="H127" s="15" t="s">
        <v>63</v>
      </c>
    </row>
    <row r="128" customFormat="false" ht="15" hidden="false" customHeight="false" outlineLevel="0" collapsed="false">
      <c r="A128" s="12" t="n">
        <f aca="false">'📊 Risco por Setor'!$A$8</f>
        <v>0</v>
      </c>
      <c r="B128" s="13" t="s">
        <v>61</v>
      </c>
      <c r="C128" s="12" t="s">
        <v>66</v>
      </c>
      <c r="D128" s="20" t="s">
        <v>9</v>
      </c>
      <c r="E128" s="21" t="str">
        <f aca="false">IFERROR(AVERAGEIF('🔢 Cálculo'!$B$4:$B$203,'📊 Risco por Setor'!$A$8,'🔢 Cálculo'!$E$4:$E$203),"")</f>
        <v/>
      </c>
      <c r="F128" s="22" t="str">
        <f aca="false">IFERROR((E128-1)/4*100,"")</f>
        <v/>
      </c>
      <c r="G128" s="12" t="str">
        <f aca="false">IFERROR(IF(F128="","",IF(F128&lt;25,"Baixo",IF(F128&lt;50,"Moderado",IF(F128&lt;75,"Alto","Crítico")))),"N/A")</f>
        <v/>
      </c>
      <c r="H128" s="12" t="s">
        <v>63</v>
      </c>
    </row>
    <row r="129" customFormat="false" ht="15" hidden="false" customHeight="false" outlineLevel="0" collapsed="false">
      <c r="A129" s="15" t="n">
        <f aca="false">'📊 Risco por Setor'!$A$8</f>
        <v>0</v>
      </c>
      <c r="B129" s="5" t="s">
        <v>61</v>
      </c>
      <c r="C129" s="15" t="s">
        <v>70</v>
      </c>
      <c r="D129" s="23" t="s">
        <v>10</v>
      </c>
      <c r="E129" s="24" t="str">
        <f aca="false">IFERROR(AVERAGEIF('🔢 Cálculo'!$B$4:$B$203,'📊 Risco por Setor'!$A$8,'🔢 Cálculo'!$F$4:$F$203),"")</f>
        <v/>
      </c>
      <c r="F129" s="25" t="str">
        <f aca="false">IFERROR((E129-1)/4*100,"")</f>
        <v/>
      </c>
      <c r="G129" s="15" t="str">
        <f aca="false">IFERROR(IF(F129="","",IF(F129&lt;25,"Baixo",IF(F129&lt;50,"Moderado",IF(F129&lt;75,"Alto","Crítico")))),"N/A")</f>
        <v/>
      </c>
      <c r="H129" s="15" t="s">
        <v>63</v>
      </c>
    </row>
    <row r="130" customFormat="false" ht="15" hidden="false" customHeight="false" outlineLevel="0" collapsed="false">
      <c r="A130" s="12" t="n">
        <f aca="false">'📊 Risco por Setor'!$A$8</f>
        <v>0</v>
      </c>
      <c r="B130" s="13" t="s">
        <v>61</v>
      </c>
      <c r="C130" s="12" t="s">
        <v>74</v>
      </c>
      <c r="D130" s="20" t="s">
        <v>11</v>
      </c>
      <c r="E130" s="21" t="str">
        <f aca="false">IFERROR(AVERAGEIF('🔢 Cálculo'!$B$4:$B$203,'📊 Risco por Setor'!$A$8,'🔢 Cálculo'!$G$4:$G$203),"")</f>
        <v/>
      </c>
      <c r="F130" s="22" t="str">
        <f aca="false">IFERROR((E130-1)/4*100,"")</f>
        <v/>
      </c>
      <c r="G130" s="12" t="str">
        <f aca="false">IFERROR(IF(F130="","",IF(F130&lt;25,"Baixo",IF(F130&lt;50,"Moderado",IF(F130&lt;75,"Alto","Crítico")))),"N/A")</f>
        <v/>
      </c>
      <c r="H130" s="12" t="s">
        <v>63</v>
      </c>
    </row>
    <row r="131" customFormat="false" ht="15" hidden="false" customHeight="false" outlineLevel="0" collapsed="false">
      <c r="A131" s="15" t="n">
        <f aca="false">'📊 Risco por Setor'!$A$8</f>
        <v>0</v>
      </c>
      <c r="B131" s="5" t="s">
        <v>61</v>
      </c>
      <c r="C131" s="15" t="s">
        <v>78</v>
      </c>
      <c r="D131" s="23" t="s">
        <v>12</v>
      </c>
      <c r="E131" s="24" t="str">
        <f aca="false">IFERROR(AVERAGEIF('🔢 Cálculo'!$B$4:$B$203,'📊 Risco por Setor'!$A$8,'🔢 Cálculo'!$H$4:$H$203),"")</f>
        <v/>
      </c>
      <c r="F131" s="25" t="str">
        <f aca="false">IFERROR((E131-1)/4*100,"")</f>
        <v/>
      </c>
      <c r="G131" s="15" t="str">
        <f aca="false">IFERROR(IF(F131="","",IF(F131&lt;25,"Baixo",IF(F131&lt;50,"Moderado",IF(F131&lt;75,"Alto","Crítico")))),"N/A")</f>
        <v/>
      </c>
      <c r="H131" s="15" t="s">
        <v>63</v>
      </c>
    </row>
    <row r="132" customFormat="false" ht="15" hidden="false" customHeight="false" outlineLevel="0" collapsed="false">
      <c r="A132" s="12" t="n">
        <f aca="false">'📊 Risco por Setor'!$A$8</f>
        <v>0</v>
      </c>
      <c r="B132" s="13" t="s">
        <v>61</v>
      </c>
      <c r="C132" s="12" t="s">
        <v>82</v>
      </c>
      <c r="D132" s="20" t="s">
        <v>13</v>
      </c>
      <c r="E132" s="21" t="str">
        <f aca="false">IFERROR(AVERAGEIF('🔢 Cálculo'!$B$4:$B$203,'📊 Risco por Setor'!$A$8,'🔢 Cálculo'!$I$4:$I$203),"")</f>
        <v/>
      </c>
      <c r="F132" s="22" t="str">
        <f aca="false">IFERROR((E132-1)/4*100,"")</f>
        <v/>
      </c>
      <c r="G132" s="12" t="str">
        <f aca="false">IFERROR(IF(F132="","",IF(F132&lt;25,"Baixo",IF(F132&lt;50,"Moderado",IF(F132&lt;75,"Alto","Crítico")))),"N/A")</f>
        <v/>
      </c>
      <c r="H132" s="12" t="s">
        <v>63</v>
      </c>
    </row>
    <row r="133" customFormat="false" ht="15" hidden="false" customHeight="false" outlineLevel="0" collapsed="false">
      <c r="A133" s="15" t="n">
        <f aca="false">'📊 Risco por Setor'!$A$8</f>
        <v>0</v>
      </c>
      <c r="B133" s="5" t="s">
        <v>87</v>
      </c>
      <c r="C133" s="15" t="s">
        <v>86</v>
      </c>
      <c r="D133" s="23" t="s">
        <v>14</v>
      </c>
      <c r="E133" s="24" t="str">
        <f aca="false">IFERROR(AVERAGEIF('🔢 Cálculo'!$B$4:$B$203,'📊 Risco por Setor'!$A$8,'🔢 Cálculo'!$J$4:$J$203),"")</f>
        <v/>
      </c>
      <c r="F133" s="25" t="str">
        <f aca="false">IFERROR((5-E133)/4*100,"")</f>
        <v/>
      </c>
      <c r="G133" s="15" t="str">
        <f aca="false">IFERROR(IF(F133="","",IF(F133&lt;25,"Baixo",IF(F133&lt;50,"Moderado",IF(F133&lt;75,"Alto","Crítico")))),"N/A")</f>
        <v/>
      </c>
      <c r="H133" s="15" t="s">
        <v>89</v>
      </c>
    </row>
    <row r="134" customFormat="false" ht="15" hidden="false" customHeight="false" outlineLevel="0" collapsed="false">
      <c r="A134" s="12" t="n">
        <f aca="false">'📊 Risco por Setor'!$A$8</f>
        <v>0</v>
      </c>
      <c r="B134" s="13" t="s">
        <v>87</v>
      </c>
      <c r="C134" s="12" t="s">
        <v>92</v>
      </c>
      <c r="D134" s="20" t="s">
        <v>15</v>
      </c>
      <c r="E134" s="21" t="str">
        <f aca="false">IFERROR(AVERAGEIF('🔢 Cálculo'!$B$4:$B$203,'📊 Risco por Setor'!$A$8,'🔢 Cálculo'!$K$4:$K$203),"")</f>
        <v/>
      </c>
      <c r="F134" s="22" t="str">
        <f aca="false">IFERROR((5-E134)/4*100,"")</f>
        <v/>
      </c>
      <c r="G134" s="12" t="str">
        <f aca="false">IFERROR(IF(F134="","",IF(F134&lt;25,"Baixo",IF(F134&lt;50,"Moderado",IF(F134&lt;75,"Alto","Crítico")))),"N/A")</f>
        <v/>
      </c>
      <c r="H134" s="12" t="s">
        <v>89</v>
      </c>
    </row>
    <row r="135" customFormat="false" ht="15" hidden="false" customHeight="false" outlineLevel="0" collapsed="false">
      <c r="A135" s="15" t="n">
        <f aca="false">'📊 Risco por Setor'!$A$8</f>
        <v>0</v>
      </c>
      <c r="B135" s="5" t="s">
        <v>87</v>
      </c>
      <c r="C135" s="15" t="s">
        <v>94</v>
      </c>
      <c r="D135" s="23" t="s">
        <v>16</v>
      </c>
      <c r="E135" s="24" t="str">
        <f aca="false">IFERROR(AVERAGEIF('🔢 Cálculo'!$B$4:$B$203,'📊 Risco por Setor'!$A$8,'🔢 Cálculo'!$L$4:$L$203),"")</f>
        <v/>
      </c>
      <c r="F135" s="25" t="str">
        <f aca="false">IFERROR((5-E135)/4*100,"")</f>
        <v/>
      </c>
      <c r="G135" s="15" t="str">
        <f aca="false">IFERROR(IF(F135="","",IF(F135&lt;25,"Baixo",IF(F135&lt;50,"Moderado",IF(F135&lt;75,"Alto","Crítico")))),"N/A")</f>
        <v/>
      </c>
      <c r="H135" s="15" t="s">
        <v>89</v>
      </c>
    </row>
    <row r="136" customFormat="false" ht="15" hidden="false" customHeight="false" outlineLevel="0" collapsed="false">
      <c r="A136" s="12" t="n">
        <f aca="false">'📊 Risco por Setor'!$A$8</f>
        <v>0</v>
      </c>
      <c r="B136" s="13" t="s">
        <v>87</v>
      </c>
      <c r="C136" s="12" t="s">
        <v>97</v>
      </c>
      <c r="D136" s="20" t="s">
        <v>17</v>
      </c>
      <c r="E136" s="21" t="str">
        <f aca="false">IFERROR(AVERAGEIF('🔢 Cálculo'!$B$4:$B$203,'📊 Risco por Setor'!$A$8,'🔢 Cálculo'!$M$4:$M$203),"")</f>
        <v/>
      </c>
      <c r="F136" s="22" t="str">
        <f aca="false">IFERROR((5-E136)/4*100,"")</f>
        <v/>
      </c>
      <c r="G136" s="12" t="str">
        <f aca="false">IFERROR(IF(F136="","",IF(F136&lt;25,"Baixo",IF(F136&lt;50,"Moderado",IF(F136&lt;75,"Alto","Crítico")))),"N/A")</f>
        <v/>
      </c>
      <c r="H136" s="12" t="s">
        <v>89</v>
      </c>
    </row>
    <row r="137" customFormat="false" ht="15" hidden="false" customHeight="false" outlineLevel="0" collapsed="false">
      <c r="A137" s="15" t="n">
        <f aca="false">'📊 Risco por Setor'!$A$8</f>
        <v>0</v>
      </c>
      <c r="B137" s="5" t="s">
        <v>87</v>
      </c>
      <c r="C137" s="15" t="s">
        <v>98</v>
      </c>
      <c r="D137" s="23" t="s">
        <v>18</v>
      </c>
      <c r="E137" s="24" t="str">
        <f aca="false">IFERROR(AVERAGEIF('🔢 Cálculo'!$B$4:$B$203,'📊 Risco por Setor'!$A$8,'🔢 Cálculo'!$N$4:$N$203),"")</f>
        <v/>
      </c>
      <c r="F137" s="25" t="str">
        <f aca="false">IFERROR((5-E137)/4*100,"")</f>
        <v/>
      </c>
      <c r="G137" s="15" t="str">
        <f aca="false">IFERROR(IF(F137="","",IF(F137&lt;25,"Baixo",IF(F137&lt;50,"Moderado",IF(F137&lt;75,"Alto","Crítico")))),"N/A")</f>
        <v/>
      </c>
      <c r="H137" s="15" t="s">
        <v>89</v>
      </c>
    </row>
    <row r="138" customFormat="false" ht="15" hidden="false" customHeight="false" outlineLevel="0" collapsed="false">
      <c r="A138" s="12" t="n">
        <f aca="false">'📊 Risco por Setor'!$A$8</f>
        <v>0</v>
      </c>
      <c r="B138" s="13" t="s">
        <v>87</v>
      </c>
      <c r="C138" s="12" t="s">
        <v>100</v>
      </c>
      <c r="D138" s="20" t="s">
        <v>19</v>
      </c>
      <c r="E138" s="21" t="str">
        <f aca="false">IFERROR(AVERAGEIF('🔢 Cálculo'!$B$4:$B$203,'📊 Risco por Setor'!$A$8,'🔢 Cálculo'!$O$4:$O$203),"")</f>
        <v/>
      </c>
      <c r="F138" s="22" t="str">
        <f aca="false">IFERROR((5-E138)/4*100,"")</f>
        <v/>
      </c>
      <c r="G138" s="12" t="str">
        <f aca="false">IFERROR(IF(F138="","",IF(F138&lt;25,"Baixo",IF(F138&lt;50,"Moderado",IF(F138&lt;75,"Alto","Crítico")))),"N/A")</f>
        <v/>
      </c>
      <c r="H138" s="12" t="s">
        <v>89</v>
      </c>
    </row>
    <row r="139" customFormat="false" ht="15" hidden="false" customHeight="false" outlineLevel="0" collapsed="false">
      <c r="A139" s="15" t="n">
        <f aca="false">'📊 Risco por Setor'!$A$8</f>
        <v>0</v>
      </c>
      <c r="B139" s="5" t="s">
        <v>103</v>
      </c>
      <c r="C139" s="15" t="s">
        <v>102</v>
      </c>
      <c r="D139" s="23" t="s">
        <v>20</v>
      </c>
      <c r="E139" s="24" t="str">
        <f aca="false">IFERROR(AVERAGEIF('🔢 Cálculo'!$B$4:$B$203,'📊 Risco por Setor'!$A$8,'🔢 Cálculo'!$P$4:$P$203),"")</f>
        <v/>
      </c>
      <c r="F139" s="25" t="str">
        <f aca="false">IFERROR((5-E139)/4*100,"")</f>
        <v/>
      </c>
      <c r="G139" s="15" t="str">
        <f aca="false">IFERROR(IF(F139="","",IF(F139&lt;25,"Baixo",IF(F139&lt;50,"Moderado",IF(F139&lt;75,"Alto","Crítico")))),"N/A")</f>
        <v/>
      </c>
      <c r="H139" s="15" t="s">
        <v>89</v>
      </c>
    </row>
    <row r="140" customFormat="false" ht="15" hidden="false" customHeight="false" outlineLevel="0" collapsed="false">
      <c r="A140" s="12" t="n">
        <f aca="false">'📊 Risco por Setor'!$A$8</f>
        <v>0</v>
      </c>
      <c r="B140" s="13" t="s">
        <v>103</v>
      </c>
      <c r="C140" s="12" t="s">
        <v>105</v>
      </c>
      <c r="D140" s="20" t="s">
        <v>21</v>
      </c>
      <c r="E140" s="21" t="str">
        <f aca="false">IFERROR(AVERAGEIF('🔢 Cálculo'!$B$4:$B$203,'📊 Risco por Setor'!$A$8,'🔢 Cálculo'!$Q$4:$Q$203),"")</f>
        <v/>
      </c>
      <c r="F140" s="22" t="str">
        <f aca="false">IFERROR((5-E140)/4*100,"")</f>
        <v/>
      </c>
      <c r="G140" s="12" t="str">
        <f aca="false">IFERROR(IF(F140="","",IF(F140&lt;25,"Baixo",IF(F140&lt;50,"Moderado",IF(F140&lt;75,"Alto","Crítico")))),"N/A")</f>
        <v/>
      </c>
      <c r="H140" s="12" t="s">
        <v>89</v>
      </c>
    </row>
    <row r="141" customFormat="false" ht="15" hidden="false" customHeight="false" outlineLevel="0" collapsed="false">
      <c r="A141" s="15" t="n">
        <f aca="false">'📊 Risco por Setor'!$A$8</f>
        <v>0</v>
      </c>
      <c r="B141" s="5" t="s">
        <v>103</v>
      </c>
      <c r="C141" s="15" t="s">
        <v>107</v>
      </c>
      <c r="D141" s="23" t="s">
        <v>22</v>
      </c>
      <c r="E141" s="24" t="str">
        <f aca="false">IFERROR(AVERAGEIF('🔢 Cálculo'!$B$4:$B$203,'📊 Risco por Setor'!$A$8,'🔢 Cálculo'!$R$4:$R$203),"")</f>
        <v/>
      </c>
      <c r="F141" s="25" t="str">
        <f aca="false">IFERROR((5-E141)/4*100,"")</f>
        <v/>
      </c>
      <c r="G141" s="15" t="str">
        <f aca="false">IFERROR(IF(F141="","",IF(F141&lt;25,"Baixo",IF(F141&lt;50,"Moderado",IF(F141&lt;75,"Alto","Crítico")))),"N/A")</f>
        <v/>
      </c>
      <c r="H141" s="15" t="s">
        <v>89</v>
      </c>
    </row>
    <row r="142" customFormat="false" ht="15" hidden="false" customHeight="false" outlineLevel="0" collapsed="false">
      <c r="A142" s="12" t="n">
        <f aca="false">'📊 Risco por Setor'!$A$8</f>
        <v>0</v>
      </c>
      <c r="B142" s="13" t="s">
        <v>103</v>
      </c>
      <c r="C142" s="12" t="s">
        <v>109</v>
      </c>
      <c r="D142" s="20" t="s">
        <v>23</v>
      </c>
      <c r="E142" s="21" t="str">
        <f aca="false">IFERROR(AVERAGEIF('🔢 Cálculo'!$B$4:$B$203,'📊 Risco por Setor'!$A$8,'🔢 Cálculo'!$S$4:$S$203),"")</f>
        <v/>
      </c>
      <c r="F142" s="22" t="str">
        <f aca="false">IFERROR((5-E142)/4*100,"")</f>
        <v/>
      </c>
      <c r="G142" s="12" t="str">
        <f aca="false">IFERROR(IF(F142="","",IF(F142&lt;25,"Baixo",IF(F142&lt;50,"Moderado",IF(F142&lt;75,"Alto","Crítico")))),"N/A")</f>
        <v/>
      </c>
      <c r="H142" s="12" t="s">
        <v>89</v>
      </c>
    </row>
    <row r="143" customFormat="false" ht="15" hidden="false" customHeight="false" outlineLevel="0" collapsed="false">
      <c r="A143" s="15" t="n">
        <f aca="false">'📊 Risco por Setor'!$A$8</f>
        <v>0</v>
      </c>
      <c r="B143" s="5" t="s">
        <v>103</v>
      </c>
      <c r="C143" s="15" t="s">
        <v>111</v>
      </c>
      <c r="D143" s="23" t="s">
        <v>24</v>
      </c>
      <c r="E143" s="24" t="str">
        <f aca="false">IFERROR(AVERAGEIF('🔢 Cálculo'!$B$4:$B$203,'📊 Risco por Setor'!$A$8,'🔢 Cálculo'!$T$4:$T$203),"")</f>
        <v/>
      </c>
      <c r="F143" s="25" t="str">
        <f aca="false">IFERROR((5-E143)/4*100,"")</f>
        <v/>
      </c>
      <c r="G143" s="15" t="str">
        <f aca="false">IFERROR(IF(F143="","",IF(F143&lt;25,"Baixo",IF(F143&lt;50,"Moderado",IF(F143&lt;75,"Alto","Crítico")))),"N/A")</f>
        <v/>
      </c>
      <c r="H143" s="15" t="s">
        <v>89</v>
      </c>
    </row>
    <row r="144" customFormat="false" ht="15" hidden="false" customHeight="false" outlineLevel="0" collapsed="false">
      <c r="A144" s="12" t="n">
        <f aca="false">'📊 Risco por Setor'!$A$8</f>
        <v>0</v>
      </c>
      <c r="B144" s="13" t="s">
        <v>103</v>
      </c>
      <c r="C144" s="12" t="s">
        <v>113</v>
      </c>
      <c r="D144" s="20" t="s">
        <v>25</v>
      </c>
      <c r="E144" s="21" t="str">
        <f aca="false">IFERROR(AVERAGEIF('🔢 Cálculo'!$B$4:$B$203,'📊 Risco por Setor'!$A$8,'🔢 Cálculo'!$U$4:$U$203),"")</f>
        <v/>
      </c>
      <c r="F144" s="22" t="str">
        <f aca="false">IFERROR((5-E144)/4*100,"")</f>
        <v/>
      </c>
      <c r="G144" s="12" t="str">
        <f aca="false">IFERROR(IF(F144="","",IF(F144&lt;25,"Baixo",IF(F144&lt;50,"Moderado",IF(F144&lt;75,"Alto","Crítico")))),"N/A")</f>
        <v/>
      </c>
      <c r="H144" s="12" t="s">
        <v>89</v>
      </c>
    </row>
    <row r="145" customFormat="false" ht="15" hidden="false" customHeight="false" outlineLevel="0" collapsed="false">
      <c r="A145" s="15" t="n">
        <f aca="false">'📊 Risco por Setor'!$A$8</f>
        <v>0</v>
      </c>
      <c r="B145" s="5" t="s">
        <v>116</v>
      </c>
      <c r="C145" s="15" t="s">
        <v>115</v>
      </c>
      <c r="D145" s="23" t="s">
        <v>26</v>
      </c>
      <c r="E145" s="24" t="str">
        <f aca="false">IFERROR(AVERAGEIF('🔢 Cálculo'!$B$4:$B$203,'📊 Risco por Setor'!$A$8,'🔢 Cálculo'!$V$4:$V$203),"")</f>
        <v/>
      </c>
      <c r="F145" s="25" t="str">
        <f aca="false">IFERROR((5-E145)/4*100,"")</f>
        <v/>
      </c>
      <c r="G145" s="15" t="str">
        <f aca="false">IFERROR(IF(F145="","",IF(F145&lt;25,"Baixo",IF(F145&lt;50,"Moderado",IF(F145&lt;75,"Alto","Crítico")))),"N/A")</f>
        <v/>
      </c>
      <c r="H145" s="15" t="s">
        <v>89</v>
      </c>
    </row>
    <row r="146" customFormat="false" ht="15" hidden="false" customHeight="false" outlineLevel="0" collapsed="false">
      <c r="A146" s="12" t="n">
        <f aca="false">'📊 Risco por Setor'!$A$8</f>
        <v>0</v>
      </c>
      <c r="B146" s="13" t="s">
        <v>116</v>
      </c>
      <c r="C146" s="12" t="s">
        <v>118</v>
      </c>
      <c r="D146" s="20" t="s">
        <v>27</v>
      </c>
      <c r="E146" s="21" t="str">
        <f aca="false">IFERROR(AVERAGEIF('🔢 Cálculo'!$B$4:$B$203,'📊 Risco por Setor'!$A$8,'🔢 Cálculo'!$W$4:$W$203),"")</f>
        <v/>
      </c>
      <c r="F146" s="22" t="str">
        <f aca="false">IFERROR((5-E146)/4*100,"")</f>
        <v/>
      </c>
      <c r="G146" s="12" t="str">
        <f aca="false">IFERROR(IF(F146="","",IF(F146&lt;25,"Baixo",IF(F146&lt;50,"Moderado",IF(F146&lt;75,"Alto","Crítico")))),"N/A")</f>
        <v/>
      </c>
      <c r="H146" s="12" t="s">
        <v>89</v>
      </c>
    </row>
    <row r="147" customFormat="false" ht="15" hidden="false" customHeight="false" outlineLevel="0" collapsed="false">
      <c r="A147" s="15" t="n">
        <f aca="false">'📊 Risco por Setor'!$A$8</f>
        <v>0</v>
      </c>
      <c r="B147" s="5" t="s">
        <v>116</v>
      </c>
      <c r="C147" s="15" t="s">
        <v>120</v>
      </c>
      <c r="D147" s="23" t="s">
        <v>28</v>
      </c>
      <c r="E147" s="24" t="str">
        <f aca="false">IFERROR(AVERAGEIF('🔢 Cálculo'!$B$4:$B$203,'📊 Risco por Setor'!$A$8,'🔢 Cálculo'!$X$4:$X$203),"")</f>
        <v/>
      </c>
      <c r="F147" s="25" t="str">
        <f aca="false">IFERROR((5-E147)/4*100,"")</f>
        <v/>
      </c>
      <c r="G147" s="15" t="str">
        <f aca="false">IFERROR(IF(F147="","",IF(F147&lt;25,"Baixo",IF(F147&lt;50,"Moderado",IF(F147&lt;75,"Alto","Crítico")))),"N/A")</f>
        <v/>
      </c>
      <c r="H147" s="15" t="s">
        <v>89</v>
      </c>
    </row>
    <row r="148" customFormat="false" ht="15" hidden="false" customHeight="false" outlineLevel="0" collapsed="false">
      <c r="A148" s="12" t="n">
        <f aca="false">'📊 Risco por Setor'!$A$8</f>
        <v>0</v>
      </c>
      <c r="B148" s="13" t="s">
        <v>116</v>
      </c>
      <c r="C148" s="12" t="s">
        <v>122</v>
      </c>
      <c r="D148" s="20" t="s">
        <v>29</v>
      </c>
      <c r="E148" s="21" t="str">
        <f aca="false">IFERROR(AVERAGEIF('🔢 Cálculo'!$B$4:$B$203,'📊 Risco por Setor'!$A$8,'🔢 Cálculo'!$Y$4:$Y$203),"")</f>
        <v/>
      </c>
      <c r="F148" s="22" t="str">
        <f aca="false">IFERROR((5-E148)/4*100,"")</f>
        <v/>
      </c>
      <c r="G148" s="12" t="str">
        <f aca="false">IFERROR(IF(F148="","",IF(F148&lt;25,"Baixo",IF(F148&lt;50,"Moderado",IF(F148&lt;75,"Alto","Crítico")))),"N/A")</f>
        <v/>
      </c>
      <c r="H148" s="12" t="s">
        <v>89</v>
      </c>
    </row>
    <row r="149" customFormat="false" ht="15" hidden="false" customHeight="false" outlineLevel="0" collapsed="false">
      <c r="A149" s="15" t="n">
        <f aca="false">'📊 Risco por Setor'!$A$8</f>
        <v>0</v>
      </c>
      <c r="B149" s="5" t="s">
        <v>116</v>
      </c>
      <c r="C149" s="15" t="s">
        <v>124</v>
      </c>
      <c r="D149" s="23" t="s">
        <v>30</v>
      </c>
      <c r="E149" s="24" t="str">
        <f aca="false">IFERROR(AVERAGEIF('🔢 Cálculo'!$B$4:$B$203,'📊 Risco por Setor'!$A$8,'🔢 Cálculo'!$Z$4:$Z$203),"")</f>
        <v/>
      </c>
      <c r="F149" s="25" t="str">
        <f aca="false">IFERROR((5-E149)/4*100,"")</f>
        <v/>
      </c>
      <c r="G149" s="15" t="str">
        <f aca="false">IFERROR(IF(F149="","",IF(F149&lt;25,"Baixo",IF(F149&lt;50,"Moderado",IF(F149&lt;75,"Alto","Crítico")))),"N/A")</f>
        <v/>
      </c>
      <c r="H149" s="15" t="s">
        <v>89</v>
      </c>
    </row>
    <row r="150" customFormat="false" ht="15" hidden="false" customHeight="false" outlineLevel="0" collapsed="false">
      <c r="A150" s="12" t="n">
        <f aca="false">'📊 Risco por Setor'!$A$8</f>
        <v>0</v>
      </c>
      <c r="B150" s="13" t="s">
        <v>127</v>
      </c>
      <c r="C150" s="12" t="s">
        <v>126</v>
      </c>
      <c r="D150" s="20" t="s">
        <v>31</v>
      </c>
      <c r="E150" s="21" t="str">
        <f aca="false">IFERROR(AVERAGEIF('🔢 Cálculo'!$B$4:$B$203,'📊 Risco por Setor'!$A$8,'🔢 Cálculo'!$AA$4:$AA$203),"")</f>
        <v/>
      </c>
      <c r="F150" s="22" t="str">
        <f aca="false">IFERROR((5-E150)/4*100,"")</f>
        <v/>
      </c>
      <c r="G150" s="12" t="str">
        <f aca="false">IFERROR(IF(F150="","",IF(F150&lt;25,"Baixo",IF(F150&lt;50,"Moderado",IF(F150&lt;75,"Alto","Crítico")))),"N/A")</f>
        <v/>
      </c>
      <c r="H150" s="12" t="s">
        <v>89</v>
      </c>
    </row>
    <row r="151" customFormat="false" ht="15" hidden="false" customHeight="false" outlineLevel="0" collapsed="false">
      <c r="A151" s="15" t="n">
        <f aca="false">'📊 Risco por Setor'!$A$8</f>
        <v>0</v>
      </c>
      <c r="B151" s="5" t="s">
        <v>127</v>
      </c>
      <c r="C151" s="15" t="s">
        <v>129</v>
      </c>
      <c r="D151" s="23" t="s">
        <v>32</v>
      </c>
      <c r="E151" s="24" t="str">
        <f aca="false">IFERROR(AVERAGEIF('🔢 Cálculo'!$B$4:$B$203,'📊 Risco por Setor'!$A$8,'🔢 Cálculo'!$AB$4:$AB$203),"")</f>
        <v/>
      </c>
      <c r="F151" s="25" t="str">
        <f aca="false">IFERROR((5-E151)/4*100,"")</f>
        <v/>
      </c>
      <c r="G151" s="15" t="str">
        <f aca="false">IFERROR(IF(F151="","",IF(F151&lt;25,"Baixo",IF(F151&lt;50,"Moderado",IF(F151&lt;75,"Alto","Crítico")))),"N/A")</f>
        <v/>
      </c>
      <c r="H151" s="15" t="s">
        <v>89</v>
      </c>
    </row>
    <row r="152" customFormat="false" ht="15" hidden="false" customHeight="false" outlineLevel="0" collapsed="false">
      <c r="A152" s="12" t="n">
        <f aca="false">'📊 Risco por Setor'!$A$8</f>
        <v>0</v>
      </c>
      <c r="B152" s="13" t="s">
        <v>127</v>
      </c>
      <c r="C152" s="12" t="s">
        <v>131</v>
      </c>
      <c r="D152" s="20" t="s">
        <v>33</v>
      </c>
      <c r="E152" s="21" t="str">
        <f aca="false">IFERROR(AVERAGEIF('🔢 Cálculo'!$B$4:$B$203,'📊 Risco por Setor'!$A$8,'🔢 Cálculo'!$AC$4:$AC$203),"")</f>
        <v/>
      </c>
      <c r="F152" s="22" t="str">
        <f aca="false">IFERROR((5-E152)/4*100,"")</f>
        <v/>
      </c>
      <c r="G152" s="12" t="str">
        <f aca="false">IFERROR(IF(F152="","",IF(F152&lt;25,"Baixo",IF(F152&lt;50,"Moderado",IF(F152&lt;75,"Alto","Crítico")))),"N/A")</f>
        <v/>
      </c>
      <c r="H152" s="12" t="s">
        <v>89</v>
      </c>
    </row>
    <row r="153" customFormat="false" ht="15" hidden="false" customHeight="false" outlineLevel="0" collapsed="false">
      <c r="A153" s="15" t="n">
        <f aca="false">'📊 Risco por Setor'!$A$8</f>
        <v>0</v>
      </c>
      <c r="B153" s="5" t="s">
        <v>127</v>
      </c>
      <c r="C153" s="15" t="s">
        <v>133</v>
      </c>
      <c r="D153" s="23" t="s">
        <v>34</v>
      </c>
      <c r="E153" s="24" t="str">
        <f aca="false">IFERROR(AVERAGEIF('🔢 Cálculo'!$B$4:$B$203,'📊 Risco por Setor'!$A$8,'🔢 Cálculo'!$AD$4:$AD$203),"")</f>
        <v/>
      </c>
      <c r="F153" s="25" t="str">
        <f aca="false">IFERROR((5-E153)/4*100,"")</f>
        <v/>
      </c>
      <c r="G153" s="15" t="str">
        <f aca="false">IFERROR(IF(F153="","",IF(F153&lt;25,"Baixo",IF(F153&lt;50,"Moderado",IF(F153&lt;75,"Alto","Crítico")))),"N/A")</f>
        <v/>
      </c>
      <c r="H153" s="15" t="s">
        <v>89</v>
      </c>
    </row>
    <row r="154" customFormat="false" ht="15" hidden="false" customHeight="false" outlineLevel="0" collapsed="false">
      <c r="A154" s="12" t="n">
        <f aca="false">'📊 Risco por Setor'!$A$8</f>
        <v>0</v>
      </c>
      <c r="B154" s="13" t="s">
        <v>127</v>
      </c>
      <c r="C154" s="12" t="s">
        <v>135</v>
      </c>
      <c r="D154" s="20" t="s">
        <v>35</v>
      </c>
      <c r="E154" s="21" t="str">
        <f aca="false">IFERROR(AVERAGEIF('🔢 Cálculo'!$B$4:$B$203,'📊 Risco por Setor'!$A$8,'🔢 Cálculo'!$AE$4:$AE$203),"")</f>
        <v/>
      </c>
      <c r="F154" s="22" t="str">
        <f aca="false">IFERROR((E154-1)/4*100,"")</f>
        <v/>
      </c>
      <c r="G154" s="12" t="str">
        <f aca="false">IFERROR(IF(F154="","",IF(F154&lt;25,"Baixo",IF(F154&lt;50,"Moderado",IF(F154&lt;75,"Alto","Crítico")))),"N/A")</f>
        <v/>
      </c>
      <c r="H154" s="12" t="s">
        <v>63</v>
      </c>
    </row>
    <row r="155" customFormat="false" ht="15" hidden="false" customHeight="false" outlineLevel="0" collapsed="false">
      <c r="A155" s="15" t="n">
        <f aca="false">'📊 Risco por Setor'!$A$8</f>
        <v>0</v>
      </c>
      <c r="B155" s="5" t="s">
        <v>138</v>
      </c>
      <c r="C155" s="15" t="s">
        <v>137</v>
      </c>
      <c r="D155" s="23" t="s">
        <v>36</v>
      </c>
      <c r="E155" s="24" t="str">
        <f aca="false">IFERROR(AVERAGEIF('🔢 Cálculo'!$B$4:$B$203,'📊 Risco por Setor'!$A$8,'🔢 Cálculo'!$AF$4:$AF$203),"")</f>
        <v/>
      </c>
      <c r="F155" s="25" t="str">
        <f aca="false">IFERROR((5-E155)/4*100,"")</f>
        <v/>
      </c>
      <c r="G155" s="15" t="str">
        <f aca="false">IFERROR(IF(F155="","",IF(F155&lt;25,"Baixo",IF(F155&lt;50,"Moderado",IF(F155&lt;75,"Alto","Crítico")))),"N/A")</f>
        <v/>
      </c>
      <c r="H155" s="15" t="s">
        <v>67</v>
      </c>
    </row>
    <row r="156" customFormat="false" ht="15" hidden="false" customHeight="false" outlineLevel="0" collapsed="false">
      <c r="A156" s="12" t="n">
        <f aca="false">'📊 Risco por Setor'!$A$8</f>
        <v>0</v>
      </c>
      <c r="B156" s="13" t="s">
        <v>138</v>
      </c>
      <c r="C156" s="12" t="s">
        <v>140</v>
      </c>
      <c r="D156" s="20" t="s">
        <v>37</v>
      </c>
      <c r="E156" s="21" t="str">
        <f aca="false">IFERROR(AVERAGEIF('🔢 Cálculo'!$B$4:$B$203,'📊 Risco por Setor'!$A$8,'🔢 Cálculo'!$AG$4:$AG$203),"")</f>
        <v/>
      </c>
      <c r="F156" s="22" t="str">
        <f aca="false">IFERROR((E156-1)/4*100,"")</f>
        <v/>
      </c>
      <c r="G156" s="12" t="str">
        <f aca="false">IFERROR(IF(F156="","",IF(F156&lt;25,"Baixo",IF(F156&lt;50,"Moderado",IF(F156&lt;75,"Alto","Crítico")))),"N/A")</f>
        <v/>
      </c>
      <c r="H156" s="12" t="s">
        <v>63</v>
      </c>
    </row>
    <row r="157" customFormat="false" ht="15" hidden="false" customHeight="false" outlineLevel="0" collapsed="false">
      <c r="A157" s="15" t="n">
        <f aca="false">'📊 Risco por Setor'!$A$8</f>
        <v>0</v>
      </c>
      <c r="B157" s="5" t="s">
        <v>138</v>
      </c>
      <c r="C157" s="15" t="s">
        <v>142</v>
      </c>
      <c r="D157" s="23" t="s">
        <v>38</v>
      </c>
      <c r="E157" s="24" t="str">
        <f aca="false">IFERROR(AVERAGEIF('🔢 Cálculo'!$B$4:$B$203,'📊 Risco por Setor'!$A$8,'🔢 Cálculo'!$AH$4:$AH$203),"")</f>
        <v/>
      </c>
      <c r="F157" s="25" t="str">
        <f aca="false">IFERROR((E157-1)/4*100,"")</f>
        <v/>
      </c>
      <c r="G157" s="15" t="str">
        <f aca="false">IFERROR(IF(F157="","",IF(F157&lt;25,"Baixo",IF(F157&lt;50,"Moderado",IF(F157&lt;75,"Alto","Crítico")))),"N/A")</f>
        <v/>
      </c>
      <c r="H157" s="15" t="s">
        <v>63</v>
      </c>
    </row>
    <row r="158" customFormat="false" ht="15" hidden="false" customHeight="false" outlineLevel="0" collapsed="false">
      <c r="A158" s="12" t="n">
        <f aca="false">'📊 Risco por Setor'!$A$8</f>
        <v>0</v>
      </c>
      <c r="B158" s="13" t="s">
        <v>138</v>
      </c>
      <c r="C158" s="12" t="s">
        <v>144</v>
      </c>
      <c r="D158" s="20" t="s">
        <v>39</v>
      </c>
      <c r="E158" s="21" t="str">
        <f aca="false">IFERROR(AVERAGEIF('🔢 Cálculo'!$B$4:$B$203,'📊 Risco por Setor'!$A$8,'🔢 Cálculo'!$AI$4:$AI$203),"")</f>
        <v/>
      </c>
      <c r="F158" s="22" t="str">
        <f aca="false">IFERROR((E158-1)/4*100,"")</f>
        <v/>
      </c>
      <c r="G158" s="12" t="str">
        <f aca="false">IFERROR(IF(F158="","",IF(F158&lt;25,"Baixo",IF(F158&lt;50,"Moderado",IF(F158&lt;75,"Alto","Crítico")))),"N/A")</f>
        <v/>
      </c>
      <c r="H158" s="12" t="s">
        <v>63</v>
      </c>
    </row>
    <row r="159" customFormat="false" ht="15" hidden="false" customHeight="false" outlineLevel="0" collapsed="false">
      <c r="A159" s="15" t="n">
        <f aca="false">'📊 Risco por Setor'!$A$8</f>
        <v>0</v>
      </c>
      <c r="B159" s="5" t="s">
        <v>138</v>
      </c>
      <c r="C159" s="15" t="s">
        <v>146</v>
      </c>
      <c r="D159" s="23" t="s">
        <v>40</v>
      </c>
      <c r="E159" s="24" t="str">
        <f aca="false">IFERROR(AVERAGEIF('🔢 Cálculo'!$B$4:$B$203,'📊 Risco por Setor'!$A$8,'🔢 Cálculo'!$AJ$4:$AJ$203),"")</f>
        <v/>
      </c>
      <c r="F159" s="25" t="str">
        <f aca="false">IFERROR((E159-1)/4*100,"")</f>
        <v/>
      </c>
      <c r="G159" s="15" t="str">
        <f aca="false">IFERROR(IF(F159="","",IF(F159&lt;25,"Baixo",IF(F159&lt;50,"Moderado",IF(F159&lt;75,"Alto","Crítico")))),"N/A")</f>
        <v/>
      </c>
      <c r="H159" s="15" t="s">
        <v>63</v>
      </c>
    </row>
    <row r="160" customFormat="false" ht="15" hidden="false" customHeight="false" outlineLevel="0" collapsed="false">
      <c r="A160" s="12" t="n">
        <f aca="false">'📊 Risco por Setor'!$A$8</f>
        <v>0</v>
      </c>
      <c r="B160" s="13" t="s">
        <v>138</v>
      </c>
      <c r="C160" s="12" t="s">
        <v>148</v>
      </c>
      <c r="D160" s="20" t="s">
        <v>41</v>
      </c>
      <c r="E160" s="21" t="str">
        <f aca="false">IFERROR(AVERAGEIF('🔢 Cálculo'!$B$4:$B$203,'📊 Risco por Setor'!$A$8,'🔢 Cálculo'!$AK$4:$AK$203),"")</f>
        <v/>
      </c>
      <c r="F160" s="22" t="str">
        <f aca="false">IFERROR((E160-1)/4*100,"")</f>
        <v/>
      </c>
      <c r="G160" s="12" t="str">
        <f aca="false">IFERROR(IF(F160="","",IF(F160&lt;25,"Baixo",IF(F160&lt;50,"Moderado",IF(F160&lt;75,"Alto","Crítico")))),"N/A")</f>
        <v/>
      </c>
      <c r="H160" s="12" t="s">
        <v>63</v>
      </c>
    </row>
    <row r="161" customFormat="false" ht="15" hidden="false" customHeight="false" outlineLevel="0" collapsed="false">
      <c r="A161" s="15" t="n">
        <f aca="false">'📊 Risco por Setor'!$A$8</f>
        <v>0</v>
      </c>
      <c r="B161" s="5" t="s">
        <v>138</v>
      </c>
      <c r="C161" s="15" t="s">
        <v>150</v>
      </c>
      <c r="D161" s="23" t="s">
        <v>42</v>
      </c>
      <c r="E161" s="24" t="str">
        <f aca="false">IFERROR(AVERAGEIF('🔢 Cálculo'!$B$4:$B$203,'📊 Risco por Setor'!$A$8,'🔢 Cálculo'!$AL$4:$AL$203),"")</f>
        <v/>
      </c>
      <c r="F161" s="25" t="str">
        <f aca="false">IFERROR((E161-1)/4*100,"")</f>
        <v/>
      </c>
      <c r="G161" s="15" t="str">
        <f aca="false">IFERROR(IF(F161="","",IF(F161&lt;25,"Baixo",IF(F161&lt;50,"Moderado",IF(F161&lt;75,"Alto","Crítico")))),"N/A")</f>
        <v/>
      </c>
      <c r="H161" s="15" t="s">
        <v>63</v>
      </c>
    </row>
    <row r="162" customFormat="false" ht="15" hidden="false" customHeight="false" outlineLevel="0" collapsed="false">
      <c r="A162" s="12" t="n">
        <f aca="false">'📊 Risco por Setor'!$A$8</f>
        <v>0</v>
      </c>
      <c r="B162" s="13" t="s">
        <v>138</v>
      </c>
      <c r="C162" s="12" t="s">
        <v>152</v>
      </c>
      <c r="D162" s="20" t="s">
        <v>43</v>
      </c>
      <c r="E162" s="21" t="str">
        <f aca="false">IFERROR(AVERAGEIF('🔢 Cálculo'!$B$4:$B$203,'📊 Risco por Setor'!$A$8,'🔢 Cálculo'!$AM$4:$AM$203),"")</f>
        <v/>
      </c>
      <c r="F162" s="22" t="str">
        <f aca="false">IFERROR((E162-1)/4*100,"")</f>
        <v/>
      </c>
      <c r="G162" s="12" t="str">
        <f aca="false">IFERROR(IF(F162="","",IF(F162&lt;25,"Baixo",IF(F162&lt;50,"Moderado",IF(F162&lt;75,"Alto","Crítico")))),"N/A")</f>
        <v/>
      </c>
      <c r="H162" s="12" t="s">
        <v>63</v>
      </c>
    </row>
    <row r="163" customFormat="false" ht="15" hidden="false" customHeight="false" outlineLevel="0" collapsed="false">
      <c r="A163" s="15" t="n">
        <f aca="false">'📊 Risco por Setor'!$A$8</f>
        <v>0</v>
      </c>
      <c r="B163" s="5" t="s">
        <v>138</v>
      </c>
      <c r="C163" s="15" t="s">
        <v>154</v>
      </c>
      <c r="D163" s="23" t="s">
        <v>44</v>
      </c>
      <c r="E163" s="24" t="str">
        <f aca="false">IFERROR(AVERAGEIF('🔢 Cálculo'!$B$4:$B$203,'📊 Risco por Setor'!$A$8,'🔢 Cálculo'!$AN$4:$AN$203),"")</f>
        <v/>
      </c>
      <c r="F163" s="25" t="str">
        <f aca="false">IFERROR((E163-1)/4*100,"")</f>
        <v/>
      </c>
      <c r="G163" s="15" t="str">
        <f aca="false">IFERROR(IF(F163="","",IF(F163&lt;25,"Baixo",IF(F163&lt;50,"Moderado",IF(F163&lt;75,"Alto","Crítico")))),"N/A")</f>
        <v/>
      </c>
      <c r="H163" s="15" t="s">
        <v>63</v>
      </c>
    </row>
    <row r="164" customFormat="false" ht="15" hidden="false" customHeight="false" outlineLevel="0" collapsed="false">
      <c r="A164" s="12" t="n">
        <f aca="false">'📊 Risco por Setor'!$A$8</f>
        <v>0</v>
      </c>
      <c r="B164" s="13" t="s">
        <v>157</v>
      </c>
      <c r="C164" s="12" t="s">
        <v>156</v>
      </c>
      <c r="D164" s="20" t="s">
        <v>45</v>
      </c>
      <c r="E164" s="21" t="str">
        <f aca="false">IFERROR(AVERAGEIF('🔢 Cálculo'!$B$4:$B$203,'📊 Risco por Setor'!$A$8,'🔢 Cálculo'!$AO$4:$AO$203),"")</f>
        <v/>
      </c>
      <c r="F164" s="22" t="str">
        <f aca="false">IFERROR((E164-1)/4*100,"")</f>
        <v/>
      </c>
      <c r="G164" s="12" t="str">
        <f aca="false">IFERROR(IF(F164="","",IF(F164&lt;25,"Baixo",IF(F164&lt;50,"Moderado",IF(F164&lt;75,"Alto","Crítico")))),"N/A")</f>
        <v/>
      </c>
      <c r="H164" s="12" t="s">
        <v>63</v>
      </c>
    </row>
    <row r="165" customFormat="false" ht="15" hidden="false" customHeight="false" outlineLevel="0" collapsed="false">
      <c r="A165" s="15" t="n">
        <f aca="false">'📊 Risco por Setor'!$A$8</f>
        <v>0</v>
      </c>
      <c r="B165" s="5" t="s">
        <v>157</v>
      </c>
      <c r="C165" s="15" t="s">
        <v>159</v>
      </c>
      <c r="D165" s="23" t="s">
        <v>46</v>
      </c>
      <c r="E165" s="24" t="str">
        <f aca="false">IFERROR(AVERAGEIF('🔢 Cálculo'!$B$4:$B$203,'📊 Risco por Setor'!$A$8,'🔢 Cálculo'!$AP$4:$AP$203),"")</f>
        <v/>
      </c>
      <c r="F165" s="25" t="str">
        <f aca="false">IFERROR((E165-1)/4*100,"")</f>
        <v/>
      </c>
      <c r="G165" s="15" t="str">
        <f aca="false">IFERROR(IF(F165="","",IF(F165&lt;25,"Baixo",IF(F165&lt;50,"Moderado",IF(F165&lt;75,"Alto","Crítico")))),"N/A")</f>
        <v/>
      </c>
      <c r="H165" s="15" t="s">
        <v>63</v>
      </c>
    </row>
    <row r="166" customFormat="false" ht="15" hidden="false" customHeight="false" outlineLevel="0" collapsed="false">
      <c r="A166" s="12" t="n">
        <f aca="false">'📊 Risco por Setor'!$A$8</f>
        <v>0</v>
      </c>
      <c r="B166" s="13" t="s">
        <v>157</v>
      </c>
      <c r="C166" s="12" t="s">
        <v>161</v>
      </c>
      <c r="D166" s="20" t="s">
        <v>47</v>
      </c>
      <c r="E166" s="21" t="str">
        <f aca="false">IFERROR(AVERAGEIF('🔢 Cálculo'!$B$4:$B$203,'📊 Risco por Setor'!$A$8,'🔢 Cálculo'!$AQ$4:$AQ$203),"")</f>
        <v/>
      </c>
      <c r="F166" s="22" t="str">
        <f aca="false">IFERROR((E166-1)/4*100,"")</f>
        <v/>
      </c>
      <c r="G166" s="12" t="str">
        <f aca="false">IFERROR(IF(F166="","",IF(F166&lt;25,"Baixo",IF(F166&lt;50,"Moderado",IF(F166&lt;75,"Alto","Crítico")))),"N/A")</f>
        <v/>
      </c>
      <c r="H166" s="12" t="s">
        <v>63</v>
      </c>
    </row>
    <row r="167" customFormat="false" ht="15" hidden="false" customHeight="false" outlineLevel="0" collapsed="false">
      <c r="A167" s="15" t="n">
        <f aca="false">'📊 Risco por Setor'!$A$8</f>
        <v>0</v>
      </c>
      <c r="B167" s="5" t="s">
        <v>157</v>
      </c>
      <c r="C167" s="15" t="s">
        <v>163</v>
      </c>
      <c r="D167" s="23" t="s">
        <v>48</v>
      </c>
      <c r="E167" s="24" t="str">
        <f aca="false">IFERROR(AVERAGEIF('🔢 Cálculo'!$B$4:$B$203,'📊 Risco por Setor'!$A$8,'🔢 Cálculo'!$AR$4:$AR$203),"")</f>
        <v/>
      </c>
      <c r="F167" s="25" t="str">
        <f aca="false">IFERROR((E167-1)/4*100,"")</f>
        <v/>
      </c>
      <c r="G167" s="15" t="str">
        <f aca="false">IFERROR(IF(F167="","",IF(F167&lt;25,"Baixo",IF(F167&lt;50,"Moderado",IF(F167&lt;75,"Alto","Crítico")))),"N/A")</f>
        <v/>
      </c>
      <c r="H167" s="15" t="s">
        <v>63</v>
      </c>
    </row>
    <row r="168" customFormat="false" ht="15" hidden="false" customHeight="false" outlineLevel="0" collapsed="false">
      <c r="A168" s="12" t="n">
        <f aca="false">'📊 Risco por Setor'!$A$9</f>
        <v>0</v>
      </c>
      <c r="B168" s="13" t="s">
        <v>61</v>
      </c>
      <c r="C168" s="12" t="s">
        <v>60</v>
      </c>
      <c r="D168" s="20" t="s">
        <v>8</v>
      </c>
      <c r="E168" s="21" t="str">
        <f aca="false">IFERROR(AVERAGEIF('🔢 Cálculo'!$B$4:$B$203,'📊 Risco por Setor'!$A$9,'🔢 Cálculo'!$D$4:$D$203),"")</f>
        <v/>
      </c>
      <c r="F168" s="22" t="str">
        <f aca="false">IFERROR((E168-1)/4*100,"")</f>
        <v/>
      </c>
      <c r="G168" s="12" t="str">
        <f aca="false">IFERROR(IF(F168="","",IF(F168&lt;25,"Baixo",IF(F168&lt;50,"Moderado",IF(F168&lt;75,"Alto","Crítico")))),"N/A")</f>
        <v/>
      </c>
      <c r="H168" s="12" t="s">
        <v>63</v>
      </c>
    </row>
    <row r="169" customFormat="false" ht="15" hidden="false" customHeight="false" outlineLevel="0" collapsed="false">
      <c r="A169" s="15" t="n">
        <f aca="false">'📊 Risco por Setor'!$A$9</f>
        <v>0</v>
      </c>
      <c r="B169" s="5" t="s">
        <v>61</v>
      </c>
      <c r="C169" s="15" t="s">
        <v>66</v>
      </c>
      <c r="D169" s="23" t="s">
        <v>9</v>
      </c>
      <c r="E169" s="24" t="str">
        <f aca="false">IFERROR(AVERAGEIF('🔢 Cálculo'!$B$4:$B$203,'📊 Risco por Setor'!$A$9,'🔢 Cálculo'!$E$4:$E$203),"")</f>
        <v/>
      </c>
      <c r="F169" s="25" t="str">
        <f aca="false">IFERROR((E169-1)/4*100,"")</f>
        <v/>
      </c>
      <c r="G169" s="15" t="str">
        <f aca="false">IFERROR(IF(F169="","",IF(F169&lt;25,"Baixo",IF(F169&lt;50,"Moderado",IF(F169&lt;75,"Alto","Crítico")))),"N/A")</f>
        <v/>
      </c>
      <c r="H169" s="15" t="s">
        <v>63</v>
      </c>
    </row>
    <row r="170" customFormat="false" ht="15" hidden="false" customHeight="false" outlineLevel="0" collapsed="false">
      <c r="A170" s="12" t="n">
        <f aca="false">'📊 Risco por Setor'!$A$9</f>
        <v>0</v>
      </c>
      <c r="B170" s="13" t="s">
        <v>61</v>
      </c>
      <c r="C170" s="12" t="s">
        <v>70</v>
      </c>
      <c r="D170" s="20" t="s">
        <v>10</v>
      </c>
      <c r="E170" s="21" t="str">
        <f aca="false">IFERROR(AVERAGEIF('🔢 Cálculo'!$B$4:$B$203,'📊 Risco por Setor'!$A$9,'🔢 Cálculo'!$F$4:$F$203),"")</f>
        <v/>
      </c>
      <c r="F170" s="22" t="str">
        <f aca="false">IFERROR((E170-1)/4*100,"")</f>
        <v/>
      </c>
      <c r="G170" s="12" t="str">
        <f aca="false">IFERROR(IF(F170="","",IF(F170&lt;25,"Baixo",IF(F170&lt;50,"Moderado",IF(F170&lt;75,"Alto","Crítico")))),"N/A")</f>
        <v/>
      </c>
      <c r="H170" s="12" t="s">
        <v>63</v>
      </c>
    </row>
    <row r="171" customFormat="false" ht="15" hidden="false" customHeight="false" outlineLevel="0" collapsed="false">
      <c r="A171" s="15" t="n">
        <f aca="false">'📊 Risco por Setor'!$A$9</f>
        <v>0</v>
      </c>
      <c r="B171" s="5" t="s">
        <v>61</v>
      </c>
      <c r="C171" s="15" t="s">
        <v>74</v>
      </c>
      <c r="D171" s="23" t="s">
        <v>11</v>
      </c>
      <c r="E171" s="24" t="str">
        <f aca="false">IFERROR(AVERAGEIF('🔢 Cálculo'!$B$4:$B$203,'📊 Risco por Setor'!$A$9,'🔢 Cálculo'!$G$4:$G$203),"")</f>
        <v/>
      </c>
      <c r="F171" s="25" t="str">
        <f aca="false">IFERROR((E171-1)/4*100,"")</f>
        <v/>
      </c>
      <c r="G171" s="15" t="str">
        <f aca="false">IFERROR(IF(F171="","",IF(F171&lt;25,"Baixo",IF(F171&lt;50,"Moderado",IF(F171&lt;75,"Alto","Crítico")))),"N/A")</f>
        <v/>
      </c>
      <c r="H171" s="15" t="s">
        <v>63</v>
      </c>
    </row>
    <row r="172" customFormat="false" ht="15" hidden="false" customHeight="false" outlineLevel="0" collapsed="false">
      <c r="A172" s="12" t="n">
        <f aca="false">'📊 Risco por Setor'!$A$9</f>
        <v>0</v>
      </c>
      <c r="B172" s="13" t="s">
        <v>61</v>
      </c>
      <c r="C172" s="12" t="s">
        <v>78</v>
      </c>
      <c r="D172" s="20" t="s">
        <v>12</v>
      </c>
      <c r="E172" s="21" t="str">
        <f aca="false">IFERROR(AVERAGEIF('🔢 Cálculo'!$B$4:$B$203,'📊 Risco por Setor'!$A$9,'🔢 Cálculo'!$H$4:$H$203),"")</f>
        <v/>
      </c>
      <c r="F172" s="22" t="str">
        <f aca="false">IFERROR((E172-1)/4*100,"")</f>
        <v/>
      </c>
      <c r="G172" s="12" t="str">
        <f aca="false">IFERROR(IF(F172="","",IF(F172&lt;25,"Baixo",IF(F172&lt;50,"Moderado",IF(F172&lt;75,"Alto","Crítico")))),"N/A")</f>
        <v/>
      </c>
      <c r="H172" s="12" t="s">
        <v>63</v>
      </c>
    </row>
    <row r="173" customFormat="false" ht="15" hidden="false" customHeight="false" outlineLevel="0" collapsed="false">
      <c r="A173" s="15" t="n">
        <f aca="false">'📊 Risco por Setor'!$A$9</f>
        <v>0</v>
      </c>
      <c r="B173" s="5" t="s">
        <v>61</v>
      </c>
      <c r="C173" s="15" t="s">
        <v>82</v>
      </c>
      <c r="D173" s="23" t="s">
        <v>13</v>
      </c>
      <c r="E173" s="24" t="str">
        <f aca="false">IFERROR(AVERAGEIF('🔢 Cálculo'!$B$4:$B$203,'📊 Risco por Setor'!$A$9,'🔢 Cálculo'!$I$4:$I$203),"")</f>
        <v/>
      </c>
      <c r="F173" s="25" t="str">
        <f aca="false">IFERROR((E173-1)/4*100,"")</f>
        <v/>
      </c>
      <c r="G173" s="15" t="str">
        <f aca="false">IFERROR(IF(F173="","",IF(F173&lt;25,"Baixo",IF(F173&lt;50,"Moderado",IF(F173&lt;75,"Alto","Crítico")))),"N/A")</f>
        <v/>
      </c>
      <c r="H173" s="15" t="s">
        <v>63</v>
      </c>
    </row>
    <row r="174" customFormat="false" ht="15" hidden="false" customHeight="false" outlineLevel="0" collapsed="false">
      <c r="A174" s="12" t="n">
        <f aca="false">'📊 Risco por Setor'!$A$9</f>
        <v>0</v>
      </c>
      <c r="B174" s="13" t="s">
        <v>87</v>
      </c>
      <c r="C174" s="12" t="s">
        <v>86</v>
      </c>
      <c r="D174" s="20" t="s">
        <v>14</v>
      </c>
      <c r="E174" s="21" t="str">
        <f aca="false">IFERROR(AVERAGEIF('🔢 Cálculo'!$B$4:$B$203,'📊 Risco por Setor'!$A$9,'🔢 Cálculo'!$J$4:$J$203),"")</f>
        <v/>
      </c>
      <c r="F174" s="22" t="str">
        <f aca="false">IFERROR((5-E174)/4*100,"")</f>
        <v/>
      </c>
      <c r="G174" s="12" t="str">
        <f aca="false">IFERROR(IF(F174="","",IF(F174&lt;25,"Baixo",IF(F174&lt;50,"Moderado",IF(F174&lt;75,"Alto","Crítico")))),"N/A")</f>
        <v/>
      </c>
      <c r="H174" s="12" t="s">
        <v>89</v>
      </c>
    </row>
    <row r="175" customFormat="false" ht="15" hidden="false" customHeight="false" outlineLevel="0" collapsed="false">
      <c r="A175" s="15" t="n">
        <f aca="false">'📊 Risco por Setor'!$A$9</f>
        <v>0</v>
      </c>
      <c r="B175" s="5" t="s">
        <v>87</v>
      </c>
      <c r="C175" s="15" t="s">
        <v>92</v>
      </c>
      <c r="D175" s="23" t="s">
        <v>15</v>
      </c>
      <c r="E175" s="24" t="str">
        <f aca="false">IFERROR(AVERAGEIF('🔢 Cálculo'!$B$4:$B$203,'📊 Risco por Setor'!$A$9,'🔢 Cálculo'!$K$4:$K$203),"")</f>
        <v/>
      </c>
      <c r="F175" s="25" t="str">
        <f aca="false">IFERROR((5-E175)/4*100,"")</f>
        <v/>
      </c>
      <c r="G175" s="15" t="str">
        <f aca="false">IFERROR(IF(F175="","",IF(F175&lt;25,"Baixo",IF(F175&lt;50,"Moderado",IF(F175&lt;75,"Alto","Crítico")))),"N/A")</f>
        <v/>
      </c>
      <c r="H175" s="15" t="s">
        <v>89</v>
      </c>
    </row>
    <row r="176" customFormat="false" ht="15" hidden="false" customHeight="false" outlineLevel="0" collapsed="false">
      <c r="A176" s="12" t="n">
        <f aca="false">'📊 Risco por Setor'!$A$9</f>
        <v>0</v>
      </c>
      <c r="B176" s="13" t="s">
        <v>87</v>
      </c>
      <c r="C176" s="12" t="s">
        <v>94</v>
      </c>
      <c r="D176" s="20" t="s">
        <v>16</v>
      </c>
      <c r="E176" s="21" t="str">
        <f aca="false">IFERROR(AVERAGEIF('🔢 Cálculo'!$B$4:$B$203,'📊 Risco por Setor'!$A$9,'🔢 Cálculo'!$L$4:$L$203),"")</f>
        <v/>
      </c>
      <c r="F176" s="22" t="str">
        <f aca="false">IFERROR((5-E176)/4*100,"")</f>
        <v/>
      </c>
      <c r="G176" s="12" t="str">
        <f aca="false">IFERROR(IF(F176="","",IF(F176&lt;25,"Baixo",IF(F176&lt;50,"Moderado",IF(F176&lt;75,"Alto","Crítico")))),"N/A")</f>
        <v/>
      </c>
      <c r="H176" s="12" t="s">
        <v>89</v>
      </c>
    </row>
    <row r="177" customFormat="false" ht="15" hidden="false" customHeight="false" outlineLevel="0" collapsed="false">
      <c r="A177" s="15" t="n">
        <f aca="false">'📊 Risco por Setor'!$A$9</f>
        <v>0</v>
      </c>
      <c r="B177" s="5" t="s">
        <v>87</v>
      </c>
      <c r="C177" s="15" t="s">
        <v>97</v>
      </c>
      <c r="D177" s="23" t="s">
        <v>17</v>
      </c>
      <c r="E177" s="24" t="str">
        <f aca="false">IFERROR(AVERAGEIF('🔢 Cálculo'!$B$4:$B$203,'📊 Risco por Setor'!$A$9,'🔢 Cálculo'!$M$4:$M$203),"")</f>
        <v/>
      </c>
      <c r="F177" s="25" t="str">
        <f aca="false">IFERROR((5-E177)/4*100,"")</f>
        <v/>
      </c>
      <c r="G177" s="15" t="str">
        <f aca="false">IFERROR(IF(F177="","",IF(F177&lt;25,"Baixo",IF(F177&lt;50,"Moderado",IF(F177&lt;75,"Alto","Crítico")))),"N/A")</f>
        <v/>
      </c>
      <c r="H177" s="15" t="s">
        <v>89</v>
      </c>
    </row>
    <row r="178" customFormat="false" ht="15" hidden="false" customHeight="false" outlineLevel="0" collapsed="false">
      <c r="A178" s="12" t="n">
        <f aca="false">'📊 Risco por Setor'!$A$9</f>
        <v>0</v>
      </c>
      <c r="B178" s="13" t="s">
        <v>87</v>
      </c>
      <c r="C178" s="12" t="s">
        <v>98</v>
      </c>
      <c r="D178" s="20" t="s">
        <v>18</v>
      </c>
      <c r="E178" s="21" t="str">
        <f aca="false">IFERROR(AVERAGEIF('🔢 Cálculo'!$B$4:$B$203,'📊 Risco por Setor'!$A$9,'🔢 Cálculo'!$N$4:$N$203),"")</f>
        <v/>
      </c>
      <c r="F178" s="22" t="str">
        <f aca="false">IFERROR((5-E178)/4*100,"")</f>
        <v/>
      </c>
      <c r="G178" s="12" t="str">
        <f aca="false">IFERROR(IF(F178="","",IF(F178&lt;25,"Baixo",IF(F178&lt;50,"Moderado",IF(F178&lt;75,"Alto","Crítico")))),"N/A")</f>
        <v/>
      </c>
      <c r="H178" s="12" t="s">
        <v>89</v>
      </c>
    </row>
    <row r="179" customFormat="false" ht="15" hidden="false" customHeight="false" outlineLevel="0" collapsed="false">
      <c r="A179" s="15" t="n">
        <f aca="false">'📊 Risco por Setor'!$A$9</f>
        <v>0</v>
      </c>
      <c r="B179" s="5" t="s">
        <v>87</v>
      </c>
      <c r="C179" s="15" t="s">
        <v>100</v>
      </c>
      <c r="D179" s="23" t="s">
        <v>19</v>
      </c>
      <c r="E179" s="24" t="str">
        <f aca="false">IFERROR(AVERAGEIF('🔢 Cálculo'!$B$4:$B$203,'📊 Risco por Setor'!$A$9,'🔢 Cálculo'!$O$4:$O$203),"")</f>
        <v/>
      </c>
      <c r="F179" s="25" t="str">
        <f aca="false">IFERROR((5-E179)/4*100,"")</f>
        <v/>
      </c>
      <c r="G179" s="15" t="str">
        <f aca="false">IFERROR(IF(F179="","",IF(F179&lt;25,"Baixo",IF(F179&lt;50,"Moderado",IF(F179&lt;75,"Alto","Crítico")))),"N/A")</f>
        <v/>
      </c>
      <c r="H179" s="15" t="s">
        <v>89</v>
      </c>
    </row>
    <row r="180" customFormat="false" ht="15" hidden="false" customHeight="false" outlineLevel="0" collapsed="false">
      <c r="A180" s="12" t="n">
        <f aca="false">'📊 Risco por Setor'!$A$9</f>
        <v>0</v>
      </c>
      <c r="B180" s="13" t="s">
        <v>103</v>
      </c>
      <c r="C180" s="12" t="s">
        <v>102</v>
      </c>
      <c r="D180" s="20" t="s">
        <v>20</v>
      </c>
      <c r="E180" s="21" t="str">
        <f aca="false">IFERROR(AVERAGEIF('🔢 Cálculo'!$B$4:$B$203,'📊 Risco por Setor'!$A$9,'🔢 Cálculo'!$P$4:$P$203),"")</f>
        <v/>
      </c>
      <c r="F180" s="22" t="str">
        <f aca="false">IFERROR((5-E180)/4*100,"")</f>
        <v/>
      </c>
      <c r="G180" s="12" t="str">
        <f aca="false">IFERROR(IF(F180="","",IF(F180&lt;25,"Baixo",IF(F180&lt;50,"Moderado",IF(F180&lt;75,"Alto","Crítico")))),"N/A")</f>
        <v/>
      </c>
      <c r="H180" s="12" t="s">
        <v>89</v>
      </c>
    </row>
    <row r="181" customFormat="false" ht="15" hidden="false" customHeight="false" outlineLevel="0" collapsed="false">
      <c r="A181" s="15" t="n">
        <f aca="false">'📊 Risco por Setor'!$A$9</f>
        <v>0</v>
      </c>
      <c r="B181" s="5" t="s">
        <v>103</v>
      </c>
      <c r="C181" s="15" t="s">
        <v>105</v>
      </c>
      <c r="D181" s="23" t="s">
        <v>21</v>
      </c>
      <c r="E181" s="24" t="str">
        <f aca="false">IFERROR(AVERAGEIF('🔢 Cálculo'!$B$4:$B$203,'📊 Risco por Setor'!$A$9,'🔢 Cálculo'!$Q$4:$Q$203),"")</f>
        <v/>
      </c>
      <c r="F181" s="25" t="str">
        <f aca="false">IFERROR((5-E181)/4*100,"")</f>
        <v/>
      </c>
      <c r="G181" s="15" t="str">
        <f aca="false">IFERROR(IF(F181="","",IF(F181&lt;25,"Baixo",IF(F181&lt;50,"Moderado",IF(F181&lt;75,"Alto","Crítico")))),"N/A")</f>
        <v/>
      </c>
      <c r="H181" s="15" t="s">
        <v>89</v>
      </c>
    </row>
    <row r="182" customFormat="false" ht="15" hidden="false" customHeight="false" outlineLevel="0" collapsed="false">
      <c r="A182" s="12" t="n">
        <f aca="false">'📊 Risco por Setor'!$A$9</f>
        <v>0</v>
      </c>
      <c r="B182" s="13" t="s">
        <v>103</v>
      </c>
      <c r="C182" s="12" t="s">
        <v>107</v>
      </c>
      <c r="D182" s="20" t="s">
        <v>22</v>
      </c>
      <c r="E182" s="21" t="str">
        <f aca="false">IFERROR(AVERAGEIF('🔢 Cálculo'!$B$4:$B$203,'📊 Risco por Setor'!$A$9,'🔢 Cálculo'!$R$4:$R$203),"")</f>
        <v/>
      </c>
      <c r="F182" s="22" t="str">
        <f aca="false">IFERROR((5-E182)/4*100,"")</f>
        <v/>
      </c>
      <c r="G182" s="12" t="str">
        <f aca="false">IFERROR(IF(F182="","",IF(F182&lt;25,"Baixo",IF(F182&lt;50,"Moderado",IF(F182&lt;75,"Alto","Crítico")))),"N/A")</f>
        <v/>
      </c>
      <c r="H182" s="12" t="s">
        <v>89</v>
      </c>
    </row>
    <row r="183" customFormat="false" ht="15" hidden="false" customHeight="false" outlineLevel="0" collapsed="false">
      <c r="A183" s="15" t="n">
        <f aca="false">'📊 Risco por Setor'!$A$9</f>
        <v>0</v>
      </c>
      <c r="B183" s="5" t="s">
        <v>103</v>
      </c>
      <c r="C183" s="15" t="s">
        <v>109</v>
      </c>
      <c r="D183" s="23" t="s">
        <v>23</v>
      </c>
      <c r="E183" s="24" t="str">
        <f aca="false">IFERROR(AVERAGEIF('🔢 Cálculo'!$B$4:$B$203,'📊 Risco por Setor'!$A$9,'🔢 Cálculo'!$S$4:$S$203),"")</f>
        <v/>
      </c>
      <c r="F183" s="25" t="str">
        <f aca="false">IFERROR((5-E183)/4*100,"")</f>
        <v/>
      </c>
      <c r="G183" s="15" t="str">
        <f aca="false">IFERROR(IF(F183="","",IF(F183&lt;25,"Baixo",IF(F183&lt;50,"Moderado",IF(F183&lt;75,"Alto","Crítico")))),"N/A")</f>
        <v/>
      </c>
      <c r="H183" s="15" t="s">
        <v>89</v>
      </c>
    </row>
    <row r="184" customFormat="false" ht="15" hidden="false" customHeight="false" outlineLevel="0" collapsed="false">
      <c r="A184" s="12" t="n">
        <f aca="false">'📊 Risco por Setor'!$A$9</f>
        <v>0</v>
      </c>
      <c r="B184" s="13" t="s">
        <v>103</v>
      </c>
      <c r="C184" s="12" t="s">
        <v>111</v>
      </c>
      <c r="D184" s="20" t="s">
        <v>24</v>
      </c>
      <c r="E184" s="21" t="str">
        <f aca="false">IFERROR(AVERAGEIF('🔢 Cálculo'!$B$4:$B$203,'📊 Risco por Setor'!$A$9,'🔢 Cálculo'!$T$4:$T$203),"")</f>
        <v/>
      </c>
      <c r="F184" s="22" t="str">
        <f aca="false">IFERROR((5-E184)/4*100,"")</f>
        <v/>
      </c>
      <c r="G184" s="12" t="str">
        <f aca="false">IFERROR(IF(F184="","",IF(F184&lt;25,"Baixo",IF(F184&lt;50,"Moderado",IF(F184&lt;75,"Alto","Crítico")))),"N/A")</f>
        <v/>
      </c>
      <c r="H184" s="12" t="s">
        <v>89</v>
      </c>
    </row>
    <row r="185" customFormat="false" ht="15" hidden="false" customHeight="false" outlineLevel="0" collapsed="false">
      <c r="A185" s="15" t="n">
        <f aca="false">'📊 Risco por Setor'!$A$9</f>
        <v>0</v>
      </c>
      <c r="B185" s="5" t="s">
        <v>103</v>
      </c>
      <c r="C185" s="15" t="s">
        <v>113</v>
      </c>
      <c r="D185" s="23" t="s">
        <v>25</v>
      </c>
      <c r="E185" s="24" t="str">
        <f aca="false">IFERROR(AVERAGEIF('🔢 Cálculo'!$B$4:$B$203,'📊 Risco por Setor'!$A$9,'🔢 Cálculo'!$U$4:$U$203),"")</f>
        <v/>
      </c>
      <c r="F185" s="25" t="str">
        <f aca="false">IFERROR((5-E185)/4*100,"")</f>
        <v/>
      </c>
      <c r="G185" s="15" t="str">
        <f aca="false">IFERROR(IF(F185="","",IF(F185&lt;25,"Baixo",IF(F185&lt;50,"Moderado",IF(F185&lt;75,"Alto","Crítico")))),"N/A")</f>
        <v/>
      </c>
      <c r="H185" s="15" t="s">
        <v>89</v>
      </c>
    </row>
    <row r="186" customFormat="false" ht="15" hidden="false" customHeight="false" outlineLevel="0" collapsed="false">
      <c r="A186" s="12" t="n">
        <f aca="false">'📊 Risco por Setor'!$A$9</f>
        <v>0</v>
      </c>
      <c r="B186" s="13" t="s">
        <v>116</v>
      </c>
      <c r="C186" s="12" t="s">
        <v>115</v>
      </c>
      <c r="D186" s="20" t="s">
        <v>26</v>
      </c>
      <c r="E186" s="21" t="str">
        <f aca="false">IFERROR(AVERAGEIF('🔢 Cálculo'!$B$4:$B$203,'📊 Risco por Setor'!$A$9,'🔢 Cálculo'!$V$4:$V$203),"")</f>
        <v/>
      </c>
      <c r="F186" s="22" t="str">
        <f aca="false">IFERROR((5-E186)/4*100,"")</f>
        <v/>
      </c>
      <c r="G186" s="12" t="str">
        <f aca="false">IFERROR(IF(F186="","",IF(F186&lt;25,"Baixo",IF(F186&lt;50,"Moderado",IF(F186&lt;75,"Alto","Crítico")))),"N/A")</f>
        <v/>
      </c>
      <c r="H186" s="12" t="s">
        <v>89</v>
      </c>
    </row>
    <row r="187" customFormat="false" ht="15" hidden="false" customHeight="false" outlineLevel="0" collapsed="false">
      <c r="A187" s="15" t="n">
        <f aca="false">'📊 Risco por Setor'!$A$9</f>
        <v>0</v>
      </c>
      <c r="B187" s="5" t="s">
        <v>116</v>
      </c>
      <c r="C187" s="15" t="s">
        <v>118</v>
      </c>
      <c r="D187" s="23" t="s">
        <v>27</v>
      </c>
      <c r="E187" s="24" t="str">
        <f aca="false">IFERROR(AVERAGEIF('🔢 Cálculo'!$B$4:$B$203,'📊 Risco por Setor'!$A$9,'🔢 Cálculo'!$W$4:$W$203),"")</f>
        <v/>
      </c>
      <c r="F187" s="25" t="str">
        <f aca="false">IFERROR((5-E187)/4*100,"")</f>
        <v/>
      </c>
      <c r="G187" s="15" t="str">
        <f aca="false">IFERROR(IF(F187="","",IF(F187&lt;25,"Baixo",IF(F187&lt;50,"Moderado",IF(F187&lt;75,"Alto","Crítico")))),"N/A")</f>
        <v/>
      </c>
      <c r="H187" s="15" t="s">
        <v>89</v>
      </c>
    </row>
    <row r="188" customFormat="false" ht="15" hidden="false" customHeight="false" outlineLevel="0" collapsed="false">
      <c r="A188" s="12" t="n">
        <f aca="false">'📊 Risco por Setor'!$A$9</f>
        <v>0</v>
      </c>
      <c r="B188" s="13" t="s">
        <v>116</v>
      </c>
      <c r="C188" s="12" t="s">
        <v>120</v>
      </c>
      <c r="D188" s="20" t="s">
        <v>28</v>
      </c>
      <c r="E188" s="21" t="str">
        <f aca="false">IFERROR(AVERAGEIF('🔢 Cálculo'!$B$4:$B$203,'📊 Risco por Setor'!$A$9,'🔢 Cálculo'!$X$4:$X$203),"")</f>
        <v/>
      </c>
      <c r="F188" s="22" t="str">
        <f aca="false">IFERROR((5-E188)/4*100,"")</f>
        <v/>
      </c>
      <c r="G188" s="12" t="str">
        <f aca="false">IFERROR(IF(F188="","",IF(F188&lt;25,"Baixo",IF(F188&lt;50,"Moderado",IF(F188&lt;75,"Alto","Crítico")))),"N/A")</f>
        <v/>
      </c>
      <c r="H188" s="12" t="s">
        <v>89</v>
      </c>
    </row>
    <row r="189" customFormat="false" ht="15" hidden="false" customHeight="false" outlineLevel="0" collapsed="false">
      <c r="A189" s="15" t="n">
        <f aca="false">'📊 Risco por Setor'!$A$9</f>
        <v>0</v>
      </c>
      <c r="B189" s="5" t="s">
        <v>116</v>
      </c>
      <c r="C189" s="15" t="s">
        <v>122</v>
      </c>
      <c r="D189" s="23" t="s">
        <v>29</v>
      </c>
      <c r="E189" s="24" t="str">
        <f aca="false">IFERROR(AVERAGEIF('🔢 Cálculo'!$B$4:$B$203,'📊 Risco por Setor'!$A$9,'🔢 Cálculo'!$Y$4:$Y$203),"")</f>
        <v/>
      </c>
      <c r="F189" s="25" t="str">
        <f aca="false">IFERROR((5-E189)/4*100,"")</f>
        <v/>
      </c>
      <c r="G189" s="15" t="str">
        <f aca="false">IFERROR(IF(F189="","",IF(F189&lt;25,"Baixo",IF(F189&lt;50,"Moderado",IF(F189&lt;75,"Alto","Crítico")))),"N/A")</f>
        <v/>
      </c>
      <c r="H189" s="15" t="s">
        <v>89</v>
      </c>
    </row>
    <row r="190" customFormat="false" ht="15" hidden="false" customHeight="false" outlineLevel="0" collapsed="false">
      <c r="A190" s="12" t="n">
        <f aca="false">'📊 Risco por Setor'!$A$9</f>
        <v>0</v>
      </c>
      <c r="B190" s="13" t="s">
        <v>116</v>
      </c>
      <c r="C190" s="12" t="s">
        <v>124</v>
      </c>
      <c r="D190" s="20" t="s">
        <v>30</v>
      </c>
      <c r="E190" s="21" t="str">
        <f aca="false">IFERROR(AVERAGEIF('🔢 Cálculo'!$B$4:$B$203,'📊 Risco por Setor'!$A$9,'🔢 Cálculo'!$Z$4:$Z$203),"")</f>
        <v/>
      </c>
      <c r="F190" s="22" t="str">
        <f aca="false">IFERROR((5-E190)/4*100,"")</f>
        <v/>
      </c>
      <c r="G190" s="12" t="str">
        <f aca="false">IFERROR(IF(F190="","",IF(F190&lt;25,"Baixo",IF(F190&lt;50,"Moderado",IF(F190&lt;75,"Alto","Crítico")))),"N/A")</f>
        <v/>
      </c>
      <c r="H190" s="12" t="s">
        <v>89</v>
      </c>
    </row>
    <row r="191" customFormat="false" ht="15" hidden="false" customHeight="false" outlineLevel="0" collapsed="false">
      <c r="A191" s="15" t="n">
        <f aca="false">'📊 Risco por Setor'!$A$9</f>
        <v>0</v>
      </c>
      <c r="B191" s="5" t="s">
        <v>127</v>
      </c>
      <c r="C191" s="15" t="s">
        <v>126</v>
      </c>
      <c r="D191" s="23" t="s">
        <v>31</v>
      </c>
      <c r="E191" s="24" t="str">
        <f aca="false">IFERROR(AVERAGEIF('🔢 Cálculo'!$B$4:$B$203,'📊 Risco por Setor'!$A$9,'🔢 Cálculo'!$AA$4:$AA$203),"")</f>
        <v/>
      </c>
      <c r="F191" s="25" t="str">
        <f aca="false">IFERROR((5-E191)/4*100,"")</f>
        <v/>
      </c>
      <c r="G191" s="15" t="str">
        <f aca="false">IFERROR(IF(F191="","",IF(F191&lt;25,"Baixo",IF(F191&lt;50,"Moderado",IF(F191&lt;75,"Alto","Crítico")))),"N/A")</f>
        <v/>
      </c>
      <c r="H191" s="15" t="s">
        <v>89</v>
      </c>
    </row>
    <row r="192" customFormat="false" ht="15" hidden="false" customHeight="false" outlineLevel="0" collapsed="false">
      <c r="A192" s="12" t="n">
        <f aca="false">'📊 Risco por Setor'!$A$9</f>
        <v>0</v>
      </c>
      <c r="B192" s="13" t="s">
        <v>127</v>
      </c>
      <c r="C192" s="12" t="s">
        <v>129</v>
      </c>
      <c r="D192" s="20" t="s">
        <v>32</v>
      </c>
      <c r="E192" s="21" t="str">
        <f aca="false">IFERROR(AVERAGEIF('🔢 Cálculo'!$B$4:$B$203,'📊 Risco por Setor'!$A$9,'🔢 Cálculo'!$AB$4:$AB$203),"")</f>
        <v/>
      </c>
      <c r="F192" s="22" t="str">
        <f aca="false">IFERROR((5-E192)/4*100,"")</f>
        <v/>
      </c>
      <c r="G192" s="12" t="str">
        <f aca="false">IFERROR(IF(F192="","",IF(F192&lt;25,"Baixo",IF(F192&lt;50,"Moderado",IF(F192&lt;75,"Alto","Crítico")))),"N/A")</f>
        <v/>
      </c>
      <c r="H192" s="12" t="s">
        <v>89</v>
      </c>
    </row>
    <row r="193" customFormat="false" ht="15" hidden="false" customHeight="false" outlineLevel="0" collapsed="false">
      <c r="A193" s="15" t="n">
        <f aca="false">'📊 Risco por Setor'!$A$9</f>
        <v>0</v>
      </c>
      <c r="B193" s="5" t="s">
        <v>127</v>
      </c>
      <c r="C193" s="15" t="s">
        <v>131</v>
      </c>
      <c r="D193" s="23" t="s">
        <v>33</v>
      </c>
      <c r="E193" s="24" t="str">
        <f aca="false">IFERROR(AVERAGEIF('🔢 Cálculo'!$B$4:$B$203,'📊 Risco por Setor'!$A$9,'🔢 Cálculo'!$AC$4:$AC$203),"")</f>
        <v/>
      </c>
      <c r="F193" s="25" t="str">
        <f aca="false">IFERROR((5-E193)/4*100,"")</f>
        <v/>
      </c>
      <c r="G193" s="15" t="str">
        <f aca="false">IFERROR(IF(F193="","",IF(F193&lt;25,"Baixo",IF(F193&lt;50,"Moderado",IF(F193&lt;75,"Alto","Crítico")))),"N/A")</f>
        <v/>
      </c>
      <c r="H193" s="15" t="s">
        <v>89</v>
      </c>
    </row>
    <row r="194" customFormat="false" ht="15" hidden="false" customHeight="false" outlineLevel="0" collapsed="false">
      <c r="A194" s="12" t="n">
        <f aca="false">'📊 Risco por Setor'!$A$9</f>
        <v>0</v>
      </c>
      <c r="B194" s="13" t="s">
        <v>127</v>
      </c>
      <c r="C194" s="12" t="s">
        <v>133</v>
      </c>
      <c r="D194" s="20" t="s">
        <v>34</v>
      </c>
      <c r="E194" s="21" t="str">
        <f aca="false">IFERROR(AVERAGEIF('🔢 Cálculo'!$B$4:$B$203,'📊 Risco por Setor'!$A$9,'🔢 Cálculo'!$AD$4:$AD$203),"")</f>
        <v/>
      </c>
      <c r="F194" s="22" t="str">
        <f aca="false">IFERROR((5-E194)/4*100,"")</f>
        <v/>
      </c>
      <c r="G194" s="12" t="str">
        <f aca="false">IFERROR(IF(F194="","",IF(F194&lt;25,"Baixo",IF(F194&lt;50,"Moderado",IF(F194&lt;75,"Alto","Crítico")))),"N/A")</f>
        <v/>
      </c>
      <c r="H194" s="12" t="s">
        <v>89</v>
      </c>
    </row>
    <row r="195" customFormat="false" ht="15" hidden="false" customHeight="false" outlineLevel="0" collapsed="false">
      <c r="A195" s="15" t="n">
        <f aca="false">'📊 Risco por Setor'!$A$9</f>
        <v>0</v>
      </c>
      <c r="B195" s="5" t="s">
        <v>127</v>
      </c>
      <c r="C195" s="15" t="s">
        <v>135</v>
      </c>
      <c r="D195" s="23" t="s">
        <v>35</v>
      </c>
      <c r="E195" s="24" t="str">
        <f aca="false">IFERROR(AVERAGEIF('🔢 Cálculo'!$B$4:$B$203,'📊 Risco por Setor'!$A$9,'🔢 Cálculo'!$AE$4:$AE$203),"")</f>
        <v/>
      </c>
      <c r="F195" s="25" t="str">
        <f aca="false">IFERROR((E195-1)/4*100,"")</f>
        <v/>
      </c>
      <c r="G195" s="15" t="str">
        <f aca="false">IFERROR(IF(F195="","",IF(F195&lt;25,"Baixo",IF(F195&lt;50,"Moderado",IF(F195&lt;75,"Alto","Crítico")))),"N/A")</f>
        <v/>
      </c>
      <c r="H195" s="15" t="s">
        <v>63</v>
      </c>
    </row>
    <row r="196" customFormat="false" ht="15" hidden="false" customHeight="false" outlineLevel="0" collapsed="false">
      <c r="A196" s="12" t="n">
        <f aca="false">'📊 Risco por Setor'!$A$9</f>
        <v>0</v>
      </c>
      <c r="B196" s="13" t="s">
        <v>138</v>
      </c>
      <c r="C196" s="12" t="s">
        <v>137</v>
      </c>
      <c r="D196" s="20" t="s">
        <v>36</v>
      </c>
      <c r="E196" s="21" t="str">
        <f aca="false">IFERROR(AVERAGEIF('🔢 Cálculo'!$B$4:$B$203,'📊 Risco por Setor'!$A$9,'🔢 Cálculo'!$AF$4:$AF$203),"")</f>
        <v/>
      </c>
      <c r="F196" s="22" t="str">
        <f aca="false">IFERROR((5-E196)/4*100,"")</f>
        <v/>
      </c>
      <c r="G196" s="12" t="str">
        <f aca="false">IFERROR(IF(F196="","",IF(F196&lt;25,"Baixo",IF(F196&lt;50,"Moderado",IF(F196&lt;75,"Alto","Crítico")))),"N/A")</f>
        <v/>
      </c>
      <c r="H196" s="12" t="s">
        <v>67</v>
      </c>
    </row>
    <row r="197" customFormat="false" ht="15" hidden="false" customHeight="false" outlineLevel="0" collapsed="false">
      <c r="A197" s="15" t="n">
        <f aca="false">'📊 Risco por Setor'!$A$9</f>
        <v>0</v>
      </c>
      <c r="B197" s="5" t="s">
        <v>138</v>
      </c>
      <c r="C197" s="15" t="s">
        <v>140</v>
      </c>
      <c r="D197" s="23" t="s">
        <v>37</v>
      </c>
      <c r="E197" s="24" t="str">
        <f aca="false">IFERROR(AVERAGEIF('🔢 Cálculo'!$B$4:$B$203,'📊 Risco por Setor'!$A$9,'🔢 Cálculo'!$AG$4:$AG$203),"")</f>
        <v/>
      </c>
      <c r="F197" s="25" t="str">
        <f aca="false">IFERROR((E197-1)/4*100,"")</f>
        <v/>
      </c>
      <c r="G197" s="15" t="str">
        <f aca="false">IFERROR(IF(F197="","",IF(F197&lt;25,"Baixo",IF(F197&lt;50,"Moderado",IF(F197&lt;75,"Alto","Crítico")))),"N/A")</f>
        <v/>
      </c>
      <c r="H197" s="15" t="s">
        <v>63</v>
      </c>
    </row>
    <row r="198" customFormat="false" ht="15" hidden="false" customHeight="false" outlineLevel="0" collapsed="false">
      <c r="A198" s="12" t="n">
        <f aca="false">'📊 Risco por Setor'!$A$9</f>
        <v>0</v>
      </c>
      <c r="B198" s="13" t="s">
        <v>138</v>
      </c>
      <c r="C198" s="12" t="s">
        <v>142</v>
      </c>
      <c r="D198" s="20" t="s">
        <v>38</v>
      </c>
      <c r="E198" s="21" t="str">
        <f aca="false">IFERROR(AVERAGEIF('🔢 Cálculo'!$B$4:$B$203,'📊 Risco por Setor'!$A$9,'🔢 Cálculo'!$AH$4:$AH$203),"")</f>
        <v/>
      </c>
      <c r="F198" s="22" t="str">
        <f aca="false">IFERROR((E198-1)/4*100,"")</f>
        <v/>
      </c>
      <c r="G198" s="12" t="str">
        <f aca="false">IFERROR(IF(F198="","",IF(F198&lt;25,"Baixo",IF(F198&lt;50,"Moderado",IF(F198&lt;75,"Alto","Crítico")))),"N/A")</f>
        <v/>
      </c>
      <c r="H198" s="12" t="s">
        <v>63</v>
      </c>
    </row>
    <row r="199" customFormat="false" ht="15" hidden="false" customHeight="false" outlineLevel="0" collapsed="false">
      <c r="A199" s="15" t="n">
        <f aca="false">'📊 Risco por Setor'!$A$9</f>
        <v>0</v>
      </c>
      <c r="B199" s="5" t="s">
        <v>138</v>
      </c>
      <c r="C199" s="15" t="s">
        <v>144</v>
      </c>
      <c r="D199" s="23" t="s">
        <v>39</v>
      </c>
      <c r="E199" s="24" t="str">
        <f aca="false">IFERROR(AVERAGEIF('🔢 Cálculo'!$B$4:$B$203,'📊 Risco por Setor'!$A$9,'🔢 Cálculo'!$AI$4:$AI$203),"")</f>
        <v/>
      </c>
      <c r="F199" s="25" t="str">
        <f aca="false">IFERROR((E199-1)/4*100,"")</f>
        <v/>
      </c>
      <c r="G199" s="15" t="str">
        <f aca="false">IFERROR(IF(F199="","",IF(F199&lt;25,"Baixo",IF(F199&lt;50,"Moderado",IF(F199&lt;75,"Alto","Crítico")))),"N/A")</f>
        <v/>
      </c>
      <c r="H199" s="15" t="s">
        <v>63</v>
      </c>
    </row>
    <row r="200" customFormat="false" ht="15" hidden="false" customHeight="false" outlineLevel="0" collapsed="false">
      <c r="A200" s="12" t="n">
        <f aca="false">'📊 Risco por Setor'!$A$9</f>
        <v>0</v>
      </c>
      <c r="B200" s="13" t="s">
        <v>138</v>
      </c>
      <c r="C200" s="12" t="s">
        <v>146</v>
      </c>
      <c r="D200" s="20" t="s">
        <v>40</v>
      </c>
      <c r="E200" s="21" t="str">
        <f aca="false">IFERROR(AVERAGEIF('🔢 Cálculo'!$B$4:$B$203,'📊 Risco por Setor'!$A$9,'🔢 Cálculo'!$AJ$4:$AJ$203),"")</f>
        <v/>
      </c>
      <c r="F200" s="22" t="str">
        <f aca="false">IFERROR((E200-1)/4*100,"")</f>
        <v/>
      </c>
      <c r="G200" s="12" t="str">
        <f aca="false">IFERROR(IF(F200="","",IF(F200&lt;25,"Baixo",IF(F200&lt;50,"Moderado",IF(F200&lt;75,"Alto","Crítico")))),"N/A")</f>
        <v/>
      </c>
      <c r="H200" s="12" t="s">
        <v>63</v>
      </c>
    </row>
    <row r="201" customFormat="false" ht="15" hidden="false" customHeight="false" outlineLevel="0" collapsed="false">
      <c r="A201" s="15" t="n">
        <f aca="false">'📊 Risco por Setor'!$A$9</f>
        <v>0</v>
      </c>
      <c r="B201" s="5" t="s">
        <v>138</v>
      </c>
      <c r="C201" s="15" t="s">
        <v>148</v>
      </c>
      <c r="D201" s="23" t="s">
        <v>41</v>
      </c>
      <c r="E201" s="24" t="str">
        <f aca="false">IFERROR(AVERAGEIF('🔢 Cálculo'!$B$4:$B$203,'📊 Risco por Setor'!$A$9,'🔢 Cálculo'!$AK$4:$AK$203),"")</f>
        <v/>
      </c>
      <c r="F201" s="25" t="str">
        <f aca="false">IFERROR((E201-1)/4*100,"")</f>
        <v/>
      </c>
      <c r="G201" s="15" t="str">
        <f aca="false">IFERROR(IF(F201="","",IF(F201&lt;25,"Baixo",IF(F201&lt;50,"Moderado",IF(F201&lt;75,"Alto","Crítico")))),"N/A")</f>
        <v/>
      </c>
      <c r="H201" s="15" t="s">
        <v>63</v>
      </c>
    </row>
    <row r="202" customFormat="false" ht="15" hidden="false" customHeight="false" outlineLevel="0" collapsed="false">
      <c r="A202" s="12" t="n">
        <f aca="false">'📊 Risco por Setor'!$A$9</f>
        <v>0</v>
      </c>
      <c r="B202" s="13" t="s">
        <v>138</v>
      </c>
      <c r="C202" s="12" t="s">
        <v>150</v>
      </c>
      <c r="D202" s="20" t="s">
        <v>42</v>
      </c>
      <c r="E202" s="21" t="str">
        <f aca="false">IFERROR(AVERAGEIF('🔢 Cálculo'!$B$4:$B$203,'📊 Risco por Setor'!$A$9,'🔢 Cálculo'!$AL$4:$AL$203),"")</f>
        <v/>
      </c>
      <c r="F202" s="22" t="str">
        <f aca="false">IFERROR((E202-1)/4*100,"")</f>
        <v/>
      </c>
      <c r="G202" s="12" t="str">
        <f aca="false">IFERROR(IF(F202="","",IF(F202&lt;25,"Baixo",IF(F202&lt;50,"Moderado",IF(F202&lt;75,"Alto","Crítico")))),"N/A")</f>
        <v/>
      </c>
      <c r="H202" s="12" t="s">
        <v>63</v>
      </c>
    </row>
    <row r="203" customFormat="false" ht="15" hidden="false" customHeight="false" outlineLevel="0" collapsed="false">
      <c r="A203" s="15" t="n">
        <f aca="false">'📊 Risco por Setor'!$A$9</f>
        <v>0</v>
      </c>
      <c r="B203" s="5" t="s">
        <v>138</v>
      </c>
      <c r="C203" s="15" t="s">
        <v>152</v>
      </c>
      <c r="D203" s="23" t="s">
        <v>43</v>
      </c>
      <c r="E203" s="24" t="str">
        <f aca="false">IFERROR(AVERAGEIF('🔢 Cálculo'!$B$4:$B$203,'📊 Risco por Setor'!$A$9,'🔢 Cálculo'!$AM$4:$AM$203),"")</f>
        <v/>
      </c>
      <c r="F203" s="25" t="str">
        <f aca="false">IFERROR((E203-1)/4*100,"")</f>
        <v/>
      </c>
      <c r="G203" s="15" t="str">
        <f aca="false">IFERROR(IF(F203="","",IF(F203&lt;25,"Baixo",IF(F203&lt;50,"Moderado",IF(F203&lt;75,"Alto","Crítico")))),"N/A")</f>
        <v/>
      </c>
      <c r="H203" s="15" t="s">
        <v>63</v>
      </c>
    </row>
    <row r="204" customFormat="false" ht="15" hidden="false" customHeight="false" outlineLevel="0" collapsed="false">
      <c r="A204" s="12" t="n">
        <f aca="false">'📊 Risco por Setor'!$A$9</f>
        <v>0</v>
      </c>
      <c r="B204" s="13" t="s">
        <v>138</v>
      </c>
      <c r="C204" s="12" t="s">
        <v>154</v>
      </c>
      <c r="D204" s="20" t="s">
        <v>44</v>
      </c>
      <c r="E204" s="21" t="str">
        <f aca="false">IFERROR(AVERAGEIF('🔢 Cálculo'!$B$4:$B$203,'📊 Risco por Setor'!$A$9,'🔢 Cálculo'!$AN$4:$AN$203),"")</f>
        <v/>
      </c>
      <c r="F204" s="22" t="str">
        <f aca="false">IFERROR((E204-1)/4*100,"")</f>
        <v/>
      </c>
      <c r="G204" s="12" t="str">
        <f aca="false">IFERROR(IF(F204="","",IF(F204&lt;25,"Baixo",IF(F204&lt;50,"Moderado",IF(F204&lt;75,"Alto","Crítico")))),"N/A")</f>
        <v/>
      </c>
      <c r="H204" s="12" t="s">
        <v>63</v>
      </c>
    </row>
    <row r="205" customFormat="false" ht="15" hidden="false" customHeight="false" outlineLevel="0" collapsed="false">
      <c r="A205" s="15" t="n">
        <f aca="false">'📊 Risco por Setor'!$A$9</f>
        <v>0</v>
      </c>
      <c r="B205" s="5" t="s">
        <v>157</v>
      </c>
      <c r="C205" s="15" t="s">
        <v>156</v>
      </c>
      <c r="D205" s="23" t="s">
        <v>45</v>
      </c>
      <c r="E205" s="24" t="str">
        <f aca="false">IFERROR(AVERAGEIF('🔢 Cálculo'!$B$4:$B$203,'📊 Risco por Setor'!$A$9,'🔢 Cálculo'!$AO$4:$AO$203),"")</f>
        <v/>
      </c>
      <c r="F205" s="25" t="str">
        <f aca="false">IFERROR((E205-1)/4*100,"")</f>
        <v/>
      </c>
      <c r="G205" s="15" t="str">
        <f aca="false">IFERROR(IF(F205="","",IF(F205&lt;25,"Baixo",IF(F205&lt;50,"Moderado",IF(F205&lt;75,"Alto","Crítico")))),"N/A")</f>
        <v/>
      </c>
      <c r="H205" s="15" t="s">
        <v>63</v>
      </c>
    </row>
    <row r="206" customFormat="false" ht="15" hidden="false" customHeight="false" outlineLevel="0" collapsed="false">
      <c r="A206" s="12" t="n">
        <f aca="false">'📊 Risco por Setor'!$A$9</f>
        <v>0</v>
      </c>
      <c r="B206" s="13" t="s">
        <v>157</v>
      </c>
      <c r="C206" s="12" t="s">
        <v>159</v>
      </c>
      <c r="D206" s="20" t="s">
        <v>46</v>
      </c>
      <c r="E206" s="21" t="str">
        <f aca="false">IFERROR(AVERAGEIF('🔢 Cálculo'!$B$4:$B$203,'📊 Risco por Setor'!$A$9,'🔢 Cálculo'!$AP$4:$AP$203),"")</f>
        <v/>
      </c>
      <c r="F206" s="22" t="str">
        <f aca="false">IFERROR((E206-1)/4*100,"")</f>
        <v/>
      </c>
      <c r="G206" s="12" t="str">
        <f aca="false">IFERROR(IF(F206="","",IF(F206&lt;25,"Baixo",IF(F206&lt;50,"Moderado",IF(F206&lt;75,"Alto","Crítico")))),"N/A")</f>
        <v/>
      </c>
      <c r="H206" s="12" t="s">
        <v>63</v>
      </c>
    </row>
    <row r="207" customFormat="false" ht="15" hidden="false" customHeight="false" outlineLevel="0" collapsed="false">
      <c r="A207" s="15" t="n">
        <f aca="false">'📊 Risco por Setor'!$A$9</f>
        <v>0</v>
      </c>
      <c r="B207" s="5" t="s">
        <v>157</v>
      </c>
      <c r="C207" s="15" t="s">
        <v>161</v>
      </c>
      <c r="D207" s="23" t="s">
        <v>47</v>
      </c>
      <c r="E207" s="24" t="str">
        <f aca="false">IFERROR(AVERAGEIF('🔢 Cálculo'!$B$4:$B$203,'📊 Risco por Setor'!$A$9,'🔢 Cálculo'!$AQ$4:$AQ$203),"")</f>
        <v/>
      </c>
      <c r="F207" s="25" t="str">
        <f aca="false">IFERROR((E207-1)/4*100,"")</f>
        <v/>
      </c>
      <c r="G207" s="15" t="str">
        <f aca="false">IFERROR(IF(F207="","",IF(F207&lt;25,"Baixo",IF(F207&lt;50,"Moderado",IF(F207&lt;75,"Alto","Crítico")))),"N/A")</f>
        <v/>
      </c>
      <c r="H207" s="15" t="s">
        <v>63</v>
      </c>
    </row>
    <row r="208" customFormat="false" ht="15" hidden="false" customHeight="false" outlineLevel="0" collapsed="false">
      <c r="A208" s="12" t="n">
        <f aca="false">'📊 Risco por Setor'!$A$9</f>
        <v>0</v>
      </c>
      <c r="B208" s="13" t="s">
        <v>157</v>
      </c>
      <c r="C208" s="12" t="s">
        <v>163</v>
      </c>
      <c r="D208" s="20" t="s">
        <v>48</v>
      </c>
      <c r="E208" s="21" t="str">
        <f aca="false">IFERROR(AVERAGEIF('🔢 Cálculo'!$B$4:$B$203,'📊 Risco por Setor'!$A$9,'🔢 Cálculo'!$AR$4:$AR$203),"")</f>
        <v/>
      </c>
      <c r="F208" s="22" t="str">
        <f aca="false">IFERROR((E208-1)/4*100,"")</f>
        <v/>
      </c>
      <c r="G208" s="12" t="str">
        <f aca="false">IFERROR(IF(F208="","",IF(F208&lt;25,"Baixo",IF(F208&lt;50,"Moderado",IF(F208&lt;75,"Alto","Crítico")))),"N/A")</f>
        <v/>
      </c>
      <c r="H208" s="12" t="s">
        <v>63</v>
      </c>
    </row>
    <row r="209" customFormat="false" ht="15" hidden="false" customHeight="false" outlineLevel="0" collapsed="false">
      <c r="A209" s="15" t="n">
        <f aca="false">'📊 Risco por Setor'!$A$10</f>
        <v>0</v>
      </c>
      <c r="B209" s="5" t="s">
        <v>61</v>
      </c>
      <c r="C209" s="15" t="s">
        <v>60</v>
      </c>
      <c r="D209" s="23" t="s">
        <v>8</v>
      </c>
      <c r="E209" s="24" t="str">
        <f aca="false">IFERROR(AVERAGEIF('🔢 Cálculo'!$B$4:$B$203,'📊 Risco por Setor'!$A$10,'🔢 Cálculo'!$D$4:$D$203),"")</f>
        <v/>
      </c>
      <c r="F209" s="25" t="str">
        <f aca="false">IFERROR((E209-1)/4*100,"")</f>
        <v/>
      </c>
      <c r="G209" s="15" t="str">
        <f aca="false">IFERROR(IF(F209="","",IF(F209&lt;25,"Baixo",IF(F209&lt;50,"Moderado",IF(F209&lt;75,"Alto","Crítico")))),"N/A")</f>
        <v/>
      </c>
      <c r="H209" s="15" t="s">
        <v>63</v>
      </c>
    </row>
    <row r="210" customFormat="false" ht="15" hidden="false" customHeight="false" outlineLevel="0" collapsed="false">
      <c r="A210" s="12" t="n">
        <f aca="false">'📊 Risco por Setor'!$A$10</f>
        <v>0</v>
      </c>
      <c r="B210" s="13" t="s">
        <v>61</v>
      </c>
      <c r="C210" s="12" t="s">
        <v>66</v>
      </c>
      <c r="D210" s="20" t="s">
        <v>9</v>
      </c>
      <c r="E210" s="21" t="str">
        <f aca="false">IFERROR(AVERAGEIF('🔢 Cálculo'!$B$4:$B$203,'📊 Risco por Setor'!$A$10,'🔢 Cálculo'!$E$4:$E$203),"")</f>
        <v/>
      </c>
      <c r="F210" s="22" t="str">
        <f aca="false">IFERROR((E210-1)/4*100,"")</f>
        <v/>
      </c>
      <c r="G210" s="12" t="str">
        <f aca="false">IFERROR(IF(F210="","",IF(F210&lt;25,"Baixo",IF(F210&lt;50,"Moderado",IF(F210&lt;75,"Alto","Crítico")))),"N/A")</f>
        <v/>
      </c>
      <c r="H210" s="12" t="s">
        <v>63</v>
      </c>
    </row>
    <row r="211" customFormat="false" ht="15" hidden="false" customHeight="false" outlineLevel="0" collapsed="false">
      <c r="A211" s="15" t="n">
        <f aca="false">'📊 Risco por Setor'!$A$10</f>
        <v>0</v>
      </c>
      <c r="B211" s="5" t="s">
        <v>61</v>
      </c>
      <c r="C211" s="15" t="s">
        <v>70</v>
      </c>
      <c r="D211" s="23" t="s">
        <v>10</v>
      </c>
      <c r="E211" s="24" t="str">
        <f aca="false">IFERROR(AVERAGEIF('🔢 Cálculo'!$B$4:$B$203,'📊 Risco por Setor'!$A$10,'🔢 Cálculo'!$F$4:$F$203),"")</f>
        <v/>
      </c>
      <c r="F211" s="25" t="str">
        <f aca="false">IFERROR((E211-1)/4*100,"")</f>
        <v/>
      </c>
      <c r="G211" s="15" t="str">
        <f aca="false">IFERROR(IF(F211="","",IF(F211&lt;25,"Baixo",IF(F211&lt;50,"Moderado",IF(F211&lt;75,"Alto","Crítico")))),"N/A")</f>
        <v/>
      </c>
      <c r="H211" s="15" t="s">
        <v>63</v>
      </c>
    </row>
    <row r="212" customFormat="false" ht="15" hidden="false" customHeight="false" outlineLevel="0" collapsed="false">
      <c r="A212" s="12" t="n">
        <f aca="false">'📊 Risco por Setor'!$A$10</f>
        <v>0</v>
      </c>
      <c r="B212" s="13" t="s">
        <v>61</v>
      </c>
      <c r="C212" s="12" t="s">
        <v>74</v>
      </c>
      <c r="D212" s="20" t="s">
        <v>11</v>
      </c>
      <c r="E212" s="21" t="str">
        <f aca="false">IFERROR(AVERAGEIF('🔢 Cálculo'!$B$4:$B$203,'📊 Risco por Setor'!$A$10,'🔢 Cálculo'!$G$4:$G$203),"")</f>
        <v/>
      </c>
      <c r="F212" s="22" t="str">
        <f aca="false">IFERROR((E212-1)/4*100,"")</f>
        <v/>
      </c>
      <c r="G212" s="12" t="str">
        <f aca="false">IFERROR(IF(F212="","",IF(F212&lt;25,"Baixo",IF(F212&lt;50,"Moderado",IF(F212&lt;75,"Alto","Crítico")))),"N/A")</f>
        <v/>
      </c>
      <c r="H212" s="12" t="s">
        <v>63</v>
      </c>
    </row>
    <row r="213" customFormat="false" ht="15" hidden="false" customHeight="false" outlineLevel="0" collapsed="false">
      <c r="A213" s="15" t="n">
        <f aca="false">'📊 Risco por Setor'!$A$10</f>
        <v>0</v>
      </c>
      <c r="B213" s="5" t="s">
        <v>61</v>
      </c>
      <c r="C213" s="15" t="s">
        <v>78</v>
      </c>
      <c r="D213" s="23" t="s">
        <v>12</v>
      </c>
      <c r="E213" s="24" t="str">
        <f aca="false">IFERROR(AVERAGEIF('🔢 Cálculo'!$B$4:$B$203,'📊 Risco por Setor'!$A$10,'🔢 Cálculo'!$H$4:$H$203),"")</f>
        <v/>
      </c>
      <c r="F213" s="25" t="str">
        <f aca="false">IFERROR((E213-1)/4*100,"")</f>
        <v/>
      </c>
      <c r="G213" s="15" t="str">
        <f aca="false">IFERROR(IF(F213="","",IF(F213&lt;25,"Baixo",IF(F213&lt;50,"Moderado",IF(F213&lt;75,"Alto","Crítico")))),"N/A")</f>
        <v/>
      </c>
      <c r="H213" s="15" t="s">
        <v>63</v>
      </c>
    </row>
    <row r="214" customFormat="false" ht="15" hidden="false" customHeight="false" outlineLevel="0" collapsed="false">
      <c r="A214" s="12" t="n">
        <f aca="false">'📊 Risco por Setor'!$A$10</f>
        <v>0</v>
      </c>
      <c r="B214" s="13" t="s">
        <v>61</v>
      </c>
      <c r="C214" s="12" t="s">
        <v>82</v>
      </c>
      <c r="D214" s="20" t="s">
        <v>13</v>
      </c>
      <c r="E214" s="21" t="str">
        <f aca="false">IFERROR(AVERAGEIF('🔢 Cálculo'!$B$4:$B$203,'📊 Risco por Setor'!$A$10,'🔢 Cálculo'!$I$4:$I$203),"")</f>
        <v/>
      </c>
      <c r="F214" s="22" t="str">
        <f aca="false">IFERROR((E214-1)/4*100,"")</f>
        <v/>
      </c>
      <c r="G214" s="12" t="str">
        <f aca="false">IFERROR(IF(F214="","",IF(F214&lt;25,"Baixo",IF(F214&lt;50,"Moderado",IF(F214&lt;75,"Alto","Crítico")))),"N/A")</f>
        <v/>
      </c>
      <c r="H214" s="12" t="s">
        <v>63</v>
      </c>
    </row>
    <row r="215" customFormat="false" ht="15" hidden="false" customHeight="false" outlineLevel="0" collapsed="false">
      <c r="A215" s="15" t="n">
        <f aca="false">'📊 Risco por Setor'!$A$10</f>
        <v>0</v>
      </c>
      <c r="B215" s="5" t="s">
        <v>87</v>
      </c>
      <c r="C215" s="15" t="s">
        <v>86</v>
      </c>
      <c r="D215" s="23" t="s">
        <v>14</v>
      </c>
      <c r="E215" s="24" t="str">
        <f aca="false">IFERROR(AVERAGEIF('🔢 Cálculo'!$B$4:$B$203,'📊 Risco por Setor'!$A$10,'🔢 Cálculo'!$J$4:$J$203),"")</f>
        <v/>
      </c>
      <c r="F215" s="25" t="str">
        <f aca="false">IFERROR((5-E215)/4*100,"")</f>
        <v/>
      </c>
      <c r="G215" s="15" t="str">
        <f aca="false">IFERROR(IF(F215="","",IF(F215&lt;25,"Baixo",IF(F215&lt;50,"Moderado",IF(F215&lt;75,"Alto","Crítico")))),"N/A")</f>
        <v/>
      </c>
      <c r="H215" s="15" t="s">
        <v>89</v>
      </c>
    </row>
    <row r="216" customFormat="false" ht="15" hidden="false" customHeight="false" outlineLevel="0" collapsed="false">
      <c r="A216" s="12" t="n">
        <f aca="false">'📊 Risco por Setor'!$A$10</f>
        <v>0</v>
      </c>
      <c r="B216" s="13" t="s">
        <v>87</v>
      </c>
      <c r="C216" s="12" t="s">
        <v>92</v>
      </c>
      <c r="D216" s="20" t="s">
        <v>15</v>
      </c>
      <c r="E216" s="21" t="str">
        <f aca="false">IFERROR(AVERAGEIF('🔢 Cálculo'!$B$4:$B$203,'📊 Risco por Setor'!$A$10,'🔢 Cálculo'!$K$4:$K$203),"")</f>
        <v/>
      </c>
      <c r="F216" s="22" t="str">
        <f aca="false">IFERROR((5-E216)/4*100,"")</f>
        <v/>
      </c>
      <c r="G216" s="12" t="str">
        <f aca="false">IFERROR(IF(F216="","",IF(F216&lt;25,"Baixo",IF(F216&lt;50,"Moderado",IF(F216&lt;75,"Alto","Crítico")))),"N/A")</f>
        <v/>
      </c>
      <c r="H216" s="12" t="s">
        <v>89</v>
      </c>
    </row>
    <row r="217" customFormat="false" ht="15" hidden="false" customHeight="false" outlineLevel="0" collapsed="false">
      <c r="A217" s="15" t="n">
        <f aca="false">'📊 Risco por Setor'!$A$10</f>
        <v>0</v>
      </c>
      <c r="B217" s="5" t="s">
        <v>87</v>
      </c>
      <c r="C217" s="15" t="s">
        <v>94</v>
      </c>
      <c r="D217" s="23" t="s">
        <v>16</v>
      </c>
      <c r="E217" s="24" t="str">
        <f aca="false">IFERROR(AVERAGEIF('🔢 Cálculo'!$B$4:$B$203,'📊 Risco por Setor'!$A$10,'🔢 Cálculo'!$L$4:$L$203),"")</f>
        <v/>
      </c>
      <c r="F217" s="25" t="str">
        <f aca="false">IFERROR((5-E217)/4*100,"")</f>
        <v/>
      </c>
      <c r="G217" s="15" t="str">
        <f aca="false">IFERROR(IF(F217="","",IF(F217&lt;25,"Baixo",IF(F217&lt;50,"Moderado",IF(F217&lt;75,"Alto","Crítico")))),"N/A")</f>
        <v/>
      </c>
      <c r="H217" s="15" t="s">
        <v>89</v>
      </c>
    </row>
    <row r="218" customFormat="false" ht="15" hidden="false" customHeight="false" outlineLevel="0" collapsed="false">
      <c r="A218" s="12" t="n">
        <f aca="false">'📊 Risco por Setor'!$A$10</f>
        <v>0</v>
      </c>
      <c r="B218" s="13" t="s">
        <v>87</v>
      </c>
      <c r="C218" s="12" t="s">
        <v>97</v>
      </c>
      <c r="D218" s="20" t="s">
        <v>17</v>
      </c>
      <c r="E218" s="21" t="str">
        <f aca="false">IFERROR(AVERAGEIF('🔢 Cálculo'!$B$4:$B$203,'📊 Risco por Setor'!$A$10,'🔢 Cálculo'!$M$4:$M$203),"")</f>
        <v/>
      </c>
      <c r="F218" s="22" t="str">
        <f aca="false">IFERROR((5-E218)/4*100,"")</f>
        <v/>
      </c>
      <c r="G218" s="12" t="str">
        <f aca="false">IFERROR(IF(F218="","",IF(F218&lt;25,"Baixo",IF(F218&lt;50,"Moderado",IF(F218&lt;75,"Alto","Crítico")))),"N/A")</f>
        <v/>
      </c>
      <c r="H218" s="12" t="s">
        <v>89</v>
      </c>
    </row>
    <row r="219" customFormat="false" ht="15" hidden="false" customHeight="false" outlineLevel="0" collapsed="false">
      <c r="A219" s="15" t="n">
        <f aca="false">'📊 Risco por Setor'!$A$10</f>
        <v>0</v>
      </c>
      <c r="B219" s="5" t="s">
        <v>87</v>
      </c>
      <c r="C219" s="15" t="s">
        <v>98</v>
      </c>
      <c r="D219" s="23" t="s">
        <v>18</v>
      </c>
      <c r="E219" s="24" t="str">
        <f aca="false">IFERROR(AVERAGEIF('🔢 Cálculo'!$B$4:$B$203,'📊 Risco por Setor'!$A$10,'🔢 Cálculo'!$N$4:$N$203),"")</f>
        <v/>
      </c>
      <c r="F219" s="25" t="str">
        <f aca="false">IFERROR((5-E219)/4*100,"")</f>
        <v/>
      </c>
      <c r="G219" s="15" t="str">
        <f aca="false">IFERROR(IF(F219="","",IF(F219&lt;25,"Baixo",IF(F219&lt;50,"Moderado",IF(F219&lt;75,"Alto","Crítico")))),"N/A")</f>
        <v/>
      </c>
      <c r="H219" s="15" t="s">
        <v>89</v>
      </c>
    </row>
    <row r="220" customFormat="false" ht="15" hidden="false" customHeight="false" outlineLevel="0" collapsed="false">
      <c r="A220" s="12" t="n">
        <f aca="false">'📊 Risco por Setor'!$A$10</f>
        <v>0</v>
      </c>
      <c r="B220" s="13" t="s">
        <v>87</v>
      </c>
      <c r="C220" s="12" t="s">
        <v>100</v>
      </c>
      <c r="D220" s="20" t="s">
        <v>19</v>
      </c>
      <c r="E220" s="21" t="str">
        <f aca="false">IFERROR(AVERAGEIF('🔢 Cálculo'!$B$4:$B$203,'📊 Risco por Setor'!$A$10,'🔢 Cálculo'!$O$4:$O$203),"")</f>
        <v/>
      </c>
      <c r="F220" s="22" t="str">
        <f aca="false">IFERROR((5-E220)/4*100,"")</f>
        <v/>
      </c>
      <c r="G220" s="12" t="str">
        <f aca="false">IFERROR(IF(F220="","",IF(F220&lt;25,"Baixo",IF(F220&lt;50,"Moderado",IF(F220&lt;75,"Alto","Crítico")))),"N/A")</f>
        <v/>
      </c>
      <c r="H220" s="12" t="s">
        <v>89</v>
      </c>
    </row>
    <row r="221" customFormat="false" ht="15" hidden="false" customHeight="false" outlineLevel="0" collapsed="false">
      <c r="A221" s="15" t="n">
        <f aca="false">'📊 Risco por Setor'!$A$10</f>
        <v>0</v>
      </c>
      <c r="B221" s="5" t="s">
        <v>103</v>
      </c>
      <c r="C221" s="15" t="s">
        <v>102</v>
      </c>
      <c r="D221" s="23" t="s">
        <v>20</v>
      </c>
      <c r="E221" s="24" t="str">
        <f aca="false">IFERROR(AVERAGEIF('🔢 Cálculo'!$B$4:$B$203,'📊 Risco por Setor'!$A$10,'🔢 Cálculo'!$P$4:$P$203),"")</f>
        <v/>
      </c>
      <c r="F221" s="25" t="str">
        <f aca="false">IFERROR((5-E221)/4*100,"")</f>
        <v/>
      </c>
      <c r="G221" s="15" t="str">
        <f aca="false">IFERROR(IF(F221="","",IF(F221&lt;25,"Baixo",IF(F221&lt;50,"Moderado",IF(F221&lt;75,"Alto","Crítico")))),"N/A")</f>
        <v/>
      </c>
      <c r="H221" s="15" t="s">
        <v>89</v>
      </c>
    </row>
    <row r="222" customFormat="false" ht="15" hidden="false" customHeight="false" outlineLevel="0" collapsed="false">
      <c r="A222" s="12" t="n">
        <f aca="false">'📊 Risco por Setor'!$A$10</f>
        <v>0</v>
      </c>
      <c r="B222" s="13" t="s">
        <v>103</v>
      </c>
      <c r="C222" s="12" t="s">
        <v>105</v>
      </c>
      <c r="D222" s="20" t="s">
        <v>21</v>
      </c>
      <c r="E222" s="21" t="str">
        <f aca="false">IFERROR(AVERAGEIF('🔢 Cálculo'!$B$4:$B$203,'📊 Risco por Setor'!$A$10,'🔢 Cálculo'!$Q$4:$Q$203),"")</f>
        <v/>
      </c>
      <c r="F222" s="22" t="str">
        <f aca="false">IFERROR((5-E222)/4*100,"")</f>
        <v/>
      </c>
      <c r="G222" s="12" t="str">
        <f aca="false">IFERROR(IF(F222="","",IF(F222&lt;25,"Baixo",IF(F222&lt;50,"Moderado",IF(F222&lt;75,"Alto","Crítico")))),"N/A")</f>
        <v/>
      </c>
      <c r="H222" s="12" t="s">
        <v>89</v>
      </c>
    </row>
    <row r="223" customFormat="false" ht="15" hidden="false" customHeight="false" outlineLevel="0" collapsed="false">
      <c r="A223" s="15" t="n">
        <f aca="false">'📊 Risco por Setor'!$A$10</f>
        <v>0</v>
      </c>
      <c r="B223" s="5" t="s">
        <v>103</v>
      </c>
      <c r="C223" s="15" t="s">
        <v>107</v>
      </c>
      <c r="D223" s="23" t="s">
        <v>22</v>
      </c>
      <c r="E223" s="24" t="str">
        <f aca="false">IFERROR(AVERAGEIF('🔢 Cálculo'!$B$4:$B$203,'📊 Risco por Setor'!$A$10,'🔢 Cálculo'!$R$4:$R$203),"")</f>
        <v/>
      </c>
      <c r="F223" s="25" t="str">
        <f aca="false">IFERROR((5-E223)/4*100,"")</f>
        <v/>
      </c>
      <c r="G223" s="15" t="str">
        <f aca="false">IFERROR(IF(F223="","",IF(F223&lt;25,"Baixo",IF(F223&lt;50,"Moderado",IF(F223&lt;75,"Alto","Crítico")))),"N/A")</f>
        <v/>
      </c>
      <c r="H223" s="15" t="s">
        <v>89</v>
      </c>
    </row>
    <row r="224" customFormat="false" ht="15" hidden="false" customHeight="false" outlineLevel="0" collapsed="false">
      <c r="A224" s="12" t="n">
        <f aca="false">'📊 Risco por Setor'!$A$10</f>
        <v>0</v>
      </c>
      <c r="B224" s="13" t="s">
        <v>103</v>
      </c>
      <c r="C224" s="12" t="s">
        <v>109</v>
      </c>
      <c r="D224" s="20" t="s">
        <v>23</v>
      </c>
      <c r="E224" s="21" t="str">
        <f aca="false">IFERROR(AVERAGEIF('🔢 Cálculo'!$B$4:$B$203,'📊 Risco por Setor'!$A$10,'🔢 Cálculo'!$S$4:$S$203),"")</f>
        <v/>
      </c>
      <c r="F224" s="22" t="str">
        <f aca="false">IFERROR((5-E224)/4*100,"")</f>
        <v/>
      </c>
      <c r="G224" s="12" t="str">
        <f aca="false">IFERROR(IF(F224="","",IF(F224&lt;25,"Baixo",IF(F224&lt;50,"Moderado",IF(F224&lt;75,"Alto","Crítico")))),"N/A")</f>
        <v/>
      </c>
      <c r="H224" s="12" t="s">
        <v>89</v>
      </c>
    </row>
    <row r="225" customFormat="false" ht="15" hidden="false" customHeight="false" outlineLevel="0" collapsed="false">
      <c r="A225" s="15" t="n">
        <f aca="false">'📊 Risco por Setor'!$A$10</f>
        <v>0</v>
      </c>
      <c r="B225" s="5" t="s">
        <v>103</v>
      </c>
      <c r="C225" s="15" t="s">
        <v>111</v>
      </c>
      <c r="D225" s="23" t="s">
        <v>24</v>
      </c>
      <c r="E225" s="24" t="str">
        <f aca="false">IFERROR(AVERAGEIF('🔢 Cálculo'!$B$4:$B$203,'📊 Risco por Setor'!$A$10,'🔢 Cálculo'!$T$4:$T$203),"")</f>
        <v/>
      </c>
      <c r="F225" s="25" t="str">
        <f aca="false">IFERROR((5-E225)/4*100,"")</f>
        <v/>
      </c>
      <c r="G225" s="15" t="str">
        <f aca="false">IFERROR(IF(F225="","",IF(F225&lt;25,"Baixo",IF(F225&lt;50,"Moderado",IF(F225&lt;75,"Alto","Crítico")))),"N/A")</f>
        <v/>
      </c>
      <c r="H225" s="15" t="s">
        <v>89</v>
      </c>
    </row>
    <row r="226" customFormat="false" ht="15" hidden="false" customHeight="false" outlineLevel="0" collapsed="false">
      <c r="A226" s="12" t="n">
        <f aca="false">'📊 Risco por Setor'!$A$10</f>
        <v>0</v>
      </c>
      <c r="B226" s="13" t="s">
        <v>103</v>
      </c>
      <c r="C226" s="12" t="s">
        <v>113</v>
      </c>
      <c r="D226" s="20" t="s">
        <v>25</v>
      </c>
      <c r="E226" s="21" t="str">
        <f aca="false">IFERROR(AVERAGEIF('🔢 Cálculo'!$B$4:$B$203,'📊 Risco por Setor'!$A$10,'🔢 Cálculo'!$U$4:$U$203),"")</f>
        <v/>
      </c>
      <c r="F226" s="22" t="str">
        <f aca="false">IFERROR((5-E226)/4*100,"")</f>
        <v/>
      </c>
      <c r="G226" s="12" t="str">
        <f aca="false">IFERROR(IF(F226="","",IF(F226&lt;25,"Baixo",IF(F226&lt;50,"Moderado",IF(F226&lt;75,"Alto","Crítico")))),"N/A")</f>
        <v/>
      </c>
      <c r="H226" s="12" t="s">
        <v>89</v>
      </c>
    </row>
    <row r="227" customFormat="false" ht="15" hidden="false" customHeight="false" outlineLevel="0" collapsed="false">
      <c r="A227" s="15" t="n">
        <f aca="false">'📊 Risco por Setor'!$A$10</f>
        <v>0</v>
      </c>
      <c r="B227" s="5" t="s">
        <v>116</v>
      </c>
      <c r="C227" s="15" t="s">
        <v>115</v>
      </c>
      <c r="D227" s="23" t="s">
        <v>26</v>
      </c>
      <c r="E227" s="24" t="str">
        <f aca="false">IFERROR(AVERAGEIF('🔢 Cálculo'!$B$4:$B$203,'📊 Risco por Setor'!$A$10,'🔢 Cálculo'!$V$4:$V$203),"")</f>
        <v/>
      </c>
      <c r="F227" s="25" t="str">
        <f aca="false">IFERROR((5-E227)/4*100,"")</f>
        <v/>
      </c>
      <c r="G227" s="15" t="str">
        <f aca="false">IFERROR(IF(F227="","",IF(F227&lt;25,"Baixo",IF(F227&lt;50,"Moderado",IF(F227&lt;75,"Alto","Crítico")))),"N/A")</f>
        <v/>
      </c>
      <c r="H227" s="15" t="s">
        <v>89</v>
      </c>
    </row>
    <row r="228" customFormat="false" ht="15" hidden="false" customHeight="false" outlineLevel="0" collapsed="false">
      <c r="A228" s="12" t="n">
        <f aca="false">'📊 Risco por Setor'!$A$10</f>
        <v>0</v>
      </c>
      <c r="B228" s="13" t="s">
        <v>116</v>
      </c>
      <c r="C228" s="12" t="s">
        <v>118</v>
      </c>
      <c r="D228" s="20" t="s">
        <v>27</v>
      </c>
      <c r="E228" s="21" t="str">
        <f aca="false">IFERROR(AVERAGEIF('🔢 Cálculo'!$B$4:$B$203,'📊 Risco por Setor'!$A$10,'🔢 Cálculo'!$W$4:$W$203),"")</f>
        <v/>
      </c>
      <c r="F228" s="22" t="str">
        <f aca="false">IFERROR((5-E228)/4*100,"")</f>
        <v/>
      </c>
      <c r="G228" s="12" t="str">
        <f aca="false">IFERROR(IF(F228="","",IF(F228&lt;25,"Baixo",IF(F228&lt;50,"Moderado",IF(F228&lt;75,"Alto","Crítico")))),"N/A")</f>
        <v/>
      </c>
      <c r="H228" s="12" t="s">
        <v>89</v>
      </c>
    </row>
    <row r="229" customFormat="false" ht="15" hidden="false" customHeight="false" outlineLevel="0" collapsed="false">
      <c r="A229" s="15" t="n">
        <f aca="false">'📊 Risco por Setor'!$A$10</f>
        <v>0</v>
      </c>
      <c r="B229" s="5" t="s">
        <v>116</v>
      </c>
      <c r="C229" s="15" t="s">
        <v>120</v>
      </c>
      <c r="D229" s="23" t="s">
        <v>28</v>
      </c>
      <c r="E229" s="24" t="str">
        <f aca="false">IFERROR(AVERAGEIF('🔢 Cálculo'!$B$4:$B$203,'📊 Risco por Setor'!$A$10,'🔢 Cálculo'!$X$4:$X$203),"")</f>
        <v/>
      </c>
      <c r="F229" s="25" t="str">
        <f aca="false">IFERROR((5-E229)/4*100,"")</f>
        <v/>
      </c>
      <c r="G229" s="15" t="str">
        <f aca="false">IFERROR(IF(F229="","",IF(F229&lt;25,"Baixo",IF(F229&lt;50,"Moderado",IF(F229&lt;75,"Alto","Crítico")))),"N/A")</f>
        <v/>
      </c>
      <c r="H229" s="15" t="s">
        <v>89</v>
      </c>
    </row>
    <row r="230" customFormat="false" ht="15" hidden="false" customHeight="false" outlineLevel="0" collapsed="false">
      <c r="A230" s="12" t="n">
        <f aca="false">'📊 Risco por Setor'!$A$10</f>
        <v>0</v>
      </c>
      <c r="B230" s="13" t="s">
        <v>116</v>
      </c>
      <c r="C230" s="12" t="s">
        <v>122</v>
      </c>
      <c r="D230" s="20" t="s">
        <v>29</v>
      </c>
      <c r="E230" s="21" t="str">
        <f aca="false">IFERROR(AVERAGEIF('🔢 Cálculo'!$B$4:$B$203,'📊 Risco por Setor'!$A$10,'🔢 Cálculo'!$Y$4:$Y$203),"")</f>
        <v/>
      </c>
      <c r="F230" s="22" t="str">
        <f aca="false">IFERROR((5-E230)/4*100,"")</f>
        <v/>
      </c>
      <c r="G230" s="12" t="str">
        <f aca="false">IFERROR(IF(F230="","",IF(F230&lt;25,"Baixo",IF(F230&lt;50,"Moderado",IF(F230&lt;75,"Alto","Crítico")))),"N/A")</f>
        <v/>
      </c>
      <c r="H230" s="12" t="s">
        <v>89</v>
      </c>
    </row>
    <row r="231" customFormat="false" ht="15" hidden="false" customHeight="false" outlineLevel="0" collapsed="false">
      <c r="A231" s="15" t="n">
        <f aca="false">'📊 Risco por Setor'!$A$10</f>
        <v>0</v>
      </c>
      <c r="B231" s="5" t="s">
        <v>116</v>
      </c>
      <c r="C231" s="15" t="s">
        <v>124</v>
      </c>
      <c r="D231" s="23" t="s">
        <v>30</v>
      </c>
      <c r="E231" s="24" t="str">
        <f aca="false">IFERROR(AVERAGEIF('🔢 Cálculo'!$B$4:$B$203,'📊 Risco por Setor'!$A$10,'🔢 Cálculo'!$Z$4:$Z$203),"")</f>
        <v/>
      </c>
      <c r="F231" s="25" t="str">
        <f aca="false">IFERROR((5-E231)/4*100,"")</f>
        <v/>
      </c>
      <c r="G231" s="15" t="str">
        <f aca="false">IFERROR(IF(F231="","",IF(F231&lt;25,"Baixo",IF(F231&lt;50,"Moderado",IF(F231&lt;75,"Alto","Crítico")))),"N/A")</f>
        <v/>
      </c>
      <c r="H231" s="15" t="s">
        <v>89</v>
      </c>
    </row>
    <row r="232" customFormat="false" ht="15" hidden="false" customHeight="false" outlineLevel="0" collapsed="false">
      <c r="A232" s="12" t="n">
        <f aca="false">'📊 Risco por Setor'!$A$10</f>
        <v>0</v>
      </c>
      <c r="B232" s="13" t="s">
        <v>127</v>
      </c>
      <c r="C232" s="12" t="s">
        <v>126</v>
      </c>
      <c r="D232" s="20" t="s">
        <v>31</v>
      </c>
      <c r="E232" s="21" t="str">
        <f aca="false">IFERROR(AVERAGEIF('🔢 Cálculo'!$B$4:$B$203,'📊 Risco por Setor'!$A$10,'🔢 Cálculo'!$AA$4:$AA$203),"")</f>
        <v/>
      </c>
      <c r="F232" s="22" t="str">
        <f aca="false">IFERROR((5-E232)/4*100,"")</f>
        <v/>
      </c>
      <c r="G232" s="12" t="str">
        <f aca="false">IFERROR(IF(F232="","",IF(F232&lt;25,"Baixo",IF(F232&lt;50,"Moderado",IF(F232&lt;75,"Alto","Crítico")))),"N/A")</f>
        <v/>
      </c>
      <c r="H232" s="12" t="s">
        <v>89</v>
      </c>
    </row>
    <row r="233" customFormat="false" ht="15" hidden="false" customHeight="false" outlineLevel="0" collapsed="false">
      <c r="A233" s="15" t="n">
        <f aca="false">'📊 Risco por Setor'!$A$10</f>
        <v>0</v>
      </c>
      <c r="B233" s="5" t="s">
        <v>127</v>
      </c>
      <c r="C233" s="15" t="s">
        <v>129</v>
      </c>
      <c r="D233" s="23" t="s">
        <v>32</v>
      </c>
      <c r="E233" s="24" t="str">
        <f aca="false">IFERROR(AVERAGEIF('🔢 Cálculo'!$B$4:$B$203,'📊 Risco por Setor'!$A$10,'🔢 Cálculo'!$AB$4:$AB$203),"")</f>
        <v/>
      </c>
      <c r="F233" s="25" t="str">
        <f aca="false">IFERROR((5-E233)/4*100,"")</f>
        <v/>
      </c>
      <c r="G233" s="15" t="str">
        <f aca="false">IFERROR(IF(F233="","",IF(F233&lt;25,"Baixo",IF(F233&lt;50,"Moderado",IF(F233&lt;75,"Alto","Crítico")))),"N/A")</f>
        <v/>
      </c>
      <c r="H233" s="15" t="s">
        <v>89</v>
      </c>
    </row>
    <row r="234" customFormat="false" ht="15" hidden="false" customHeight="false" outlineLevel="0" collapsed="false">
      <c r="A234" s="12" t="n">
        <f aca="false">'📊 Risco por Setor'!$A$10</f>
        <v>0</v>
      </c>
      <c r="B234" s="13" t="s">
        <v>127</v>
      </c>
      <c r="C234" s="12" t="s">
        <v>131</v>
      </c>
      <c r="D234" s="20" t="s">
        <v>33</v>
      </c>
      <c r="E234" s="21" t="str">
        <f aca="false">IFERROR(AVERAGEIF('🔢 Cálculo'!$B$4:$B$203,'📊 Risco por Setor'!$A$10,'🔢 Cálculo'!$AC$4:$AC$203),"")</f>
        <v/>
      </c>
      <c r="F234" s="22" t="str">
        <f aca="false">IFERROR((5-E234)/4*100,"")</f>
        <v/>
      </c>
      <c r="G234" s="12" t="str">
        <f aca="false">IFERROR(IF(F234="","",IF(F234&lt;25,"Baixo",IF(F234&lt;50,"Moderado",IF(F234&lt;75,"Alto","Crítico")))),"N/A")</f>
        <v/>
      </c>
      <c r="H234" s="12" t="s">
        <v>89</v>
      </c>
    </row>
    <row r="235" customFormat="false" ht="15" hidden="false" customHeight="false" outlineLevel="0" collapsed="false">
      <c r="A235" s="15" t="n">
        <f aca="false">'📊 Risco por Setor'!$A$10</f>
        <v>0</v>
      </c>
      <c r="B235" s="5" t="s">
        <v>127</v>
      </c>
      <c r="C235" s="15" t="s">
        <v>133</v>
      </c>
      <c r="D235" s="23" t="s">
        <v>34</v>
      </c>
      <c r="E235" s="24" t="str">
        <f aca="false">IFERROR(AVERAGEIF('🔢 Cálculo'!$B$4:$B$203,'📊 Risco por Setor'!$A$10,'🔢 Cálculo'!$AD$4:$AD$203),"")</f>
        <v/>
      </c>
      <c r="F235" s="25" t="str">
        <f aca="false">IFERROR((5-E235)/4*100,"")</f>
        <v/>
      </c>
      <c r="G235" s="15" t="str">
        <f aca="false">IFERROR(IF(F235="","",IF(F235&lt;25,"Baixo",IF(F235&lt;50,"Moderado",IF(F235&lt;75,"Alto","Crítico")))),"N/A")</f>
        <v/>
      </c>
      <c r="H235" s="15" t="s">
        <v>89</v>
      </c>
    </row>
    <row r="236" customFormat="false" ht="15" hidden="false" customHeight="false" outlineLevel="0" collapsed="false">
      <c r="A236" s="12" t="n">
        <f aca="false">'📊 Risco por Setor'!$A$10</f>
        <v>0</v>
      </c>
      <c r="B236" s="13" t="s">
        <v>127</v>
      </c>
      <c r="C236" s="12" t="s">
        <v>135</v>
      </c>
      <c r="D236" s="20" t="s">
        <v>35</v>
      </c>
      <c r="E236" s="21" t="str">
        <f aca="false">IFERROR(AVERAGEIF('🔢 Cálculo'!$B$4:$B$203,'📊 Risco por Setor'!$A$10,'🔢 Cálculo'!$AE$4:$AE$203),"")</f>
        <v/>
      </c>
      <c r="F236" s="22" t="str">
        <f aca="false">IFERROR((E236-1)/4*100,"")</f>
        <v/>
      </c>
      <c r="G236" s="12" t="str">
        <f aca="false">IFERROR(IF(F236="","",IF(F236&lt;25,"Baixo",IF(F236&lt;50,"Moderado",IF(F236&lt;75,"Alto","Crítico")))),"N/A")</f>
        <v/>
      </c>
      <c r="H236" s="12" t="s">
        <v>63</v>
      </c>
    </row>
    <row r="237" customFormat="false" ht="15" hidden="false" customHeight="false" outlineLevel="0" collapsed="false">
      <c r="A237" s="15" t="n">
        <f aca="false">'📊 Risco por Setor'!$A$10</f>
        <v>0</v>
      </c>
      <c r="B237" s="5" t="s">
        <v>138</v>
      </c>
      <c r="C237" s="15" t="s">
        <v>137</v>
      </c>
      <c r="D237" s="23" t="s">
        <v>36</v>
      </c>
      <c r="E237" s="24" t="str">
        <f aca="false">IFERROR(AVERAGEIF('🔢 Cálculo'!$B$4:$B$203,'📊 Risco por Setor'!$A$10,'🔢 Cálculo'!$AF$4:$AF$203),"")</f>
        <v/>
      </c>
      <c r="F237" s="25" t="str">
        <f aca="false">IFERROR((5-E237)/4*100,"")</f>
        <v/>
      </c>
      <c r="G237" s="15" t="str">
        <f aca="false">IFERROR(IF(F237="","",IF(F237&lt;25,"Baixo",IF(F237&lt;50,"Moderado",IF(F237&lt;75,"Alto","Crítico")))),"N/A")</f>
        <v/>
      </c>
      <c r="H237" s="15" t="s">
        <v>67</v>
      </c>
    </row>
    <row r="238" customFormat="false" ht="15" hidden="false" customHeight="false" outlineLevel="0" collapsed="false">
      <c r="A238" s="12" t="n">
        <f aca="false">'📊 Risco por Setor'!$A$10</f>
        <v>0</v>
      </c>
      <c r="B238" s="13" t="s">
        <v>138</v>
      </c>
      <c r="C238" s="12" t="s">
        <v>140</v>
      </c>
      <c r="D238" s="20" t="s">
        <v>37</v>
      </c>
      <c r="E238" s="21" t="str">
        <f aca="false">IFERROR(AVERAGEIF('🔢 Cálculo'!$B$4:$B$203,'📊 Risco por Setor'!$A$10,'🔢 Cálculo'!$AG$4:$AG$203),"")</f>
        <v/>
      </c>
      <c r="F238" s="22" t="str">
        <f aca="false">IFERROR((E238-1)/4*100,"")</f>
        <v/>
      </c>
      <c r="G238" s="12" t="str">
        <f aca="false">IFERROR(IF(F238="","",IF(F238&lt;25,"Baixo",IF(F238&lt;50,"Moderado",IF(F238&lt;75,"Alto","Crítico")))),"N/A")</f>
        <v/>
      </c>
      <c r="H238" s="12" t="s">
        <v>63</v>
      </c>
    </row>
    <row r="239" customFormat="false" ht="15" hidden="false" customHeight="false" outlineLevel="0" collapsed="false">
      <c r="A239" s="15" t="n">
        <f aca="false">'📊 Risco por Setor'!$A$10</f>
        <v>0</v>
      </c>
      <c r="B239" s="5" t="s">
        <v>138</v>
      </c>
      <c r="C239" s="15" t="s">
        <v>142</v>
      </c>
      <c r="D239" s="23" t="s">
        <v>38</v>
      </c>
      <c r="E239" s="24" t="str">
        <f aca="false">IFERROR(AVERAGEIF('🔢 Cálculo'!$B$4:$B$203,'📊 Risco por Setor'!$A$10,'🔢 Cálculo'!$AH$4:$AH$203),"")</f>
        <v/>
      </c>
      <c r="F239" s="25" t="str">
        <f aca="false">IFERROR((E239-1)/4*100,"")</f>
        <v/>
      </c>
      <c r="G239" s="15" t="str">
        <f aca="false">IFERROR(IF(F239="","",IF(F239&lt;25,"Baixo",IF(F239&lt;50,"Moderado",IF(F239&lt;75,"Alto","Crítico")))),"N/A")</f>
        <v/>
      </c>
      <c r="H239" s="15" t="s">
        <v>63</v>
      </c>
    </row>
    <row r="240" customFormat="false" ht="15" hidden="false" customHeight="false" outlineLevel="0" collapsed="false">
      <c r="A240" s="12" t="n">
        <f aca="false">'📊 Risco por Setor'!$A$10</f>
        <v>0</v>
      </c>
      <c r="B240" s="13" t="s">
        <v>138</v>
      </c>
      <c r="C240" s="12" t="s">
        <v>144</v>
      </c>
      <c r="D240" s="20" t="s">
        <v>39</v>
      </c>
      <c r="E240" s="21" t="str">
        <f aca="false">IFERROR(AVERAGEIF('🔢 Cálculo'!$B$4:$B$203,'📊 Risco por Setor'!$A$10,'🔢 Cálculo'!$AI$4:$AI$203),"")</f>
        <v/>
      </c>
      <c r="F240" s="22" t="str">
        <f aca="false">IFERROR((E240-1)/4*100,"")</f>
        <v/>
      </c>
      <c r="G240" s="12" t="str">
        <f aca="false">IFERROR(IF(F240="","",IF(F240&lt;25,"Baixo",IF(F240&lt;50,"Moderado",IF(F240&lt;75,"Alto","Crítico")))),"N/A")</f>
        <v/>
      </c>
      <c r="H240" s="12" t="s">
        <v>63</v>
      </c>
    </row>
    <row r="241" customFormat="false" ht="15" hidden="false" customHeight="false" outlineLevel="0" collapsed="false">
      <c r="A241" s="15" t="n">
        <f aca="false">'📊 Risco por Setor'!$A$10</f>
        <v>0</v>
      </c>
      <c r="B241" s="5" t="s">
        <v>138</v>
      </c>
      <c r="C241" s="15" t="s">
        <v>146</v>
      </c>
      <c r="D241" s="23" t="s">
        <v>40</v>
      </c>
      <c r="E241" s="24" t="str">
        <f aca="false">IFERROR(AVERAGEIF('🔢 Cálculo'!$B$4:$B$203,'📊 Risco por Setor'!$A$10,'🔢 Cálculo'!$AJ$4:$AJ$203),"")</f>
        <v/>
      </c>
      <c r="F241" s="25" t="str">
        <f aca="false">IFERROR((E241-1)/4*100,"")</f>
        <v/>
      </c>
      <c r="G241" s="15" t="str">
        <f aca="false">IFERROR(IF(F241="","",IF(F241&lt;25,"Baixo",IF(F241&lt;50,"Moderado",IF(F241&lt;75,"Alto","Crítico")))),"N/A")</f>
        <v/>
      </c>
      <c r="H241" s="15" t="s">
        <v>63</v>
      </c>
    </row>
    <row r="242" customFormat="false" ht="15" hidden="false" customHeight="false" outlineLevel="0" collapsed="false">
      <c r="A242" s="12" t="n">
        <f aca="false">'📊 Risco por Setor'!$A$10</f>
        <v>0</v>
      </c>
      <c r="B242" s="13" t="s">
        <v>138</v>
      </c>
      <c r="C242" s="12" t="s">
        <v>148</v>
      </c>
      <c r="D242" s="20" t="s">
        <v>41</v>
      </c>
      <c r="E242" s="21" t="str">
        <f aca="false">IFERROR(AVERAGEIF('🔢 Cálculo'!$B$4:$B$203,'📊 Risco por Setor'!$A$10,'🔢 Cálculo'!$AK$4:$AK$203),"")</f>
        <v/>
      </c>
      <c r="F242" s="22" t="str">
        <f aca="false">IFERROR((E242-1)/4*100,"")</f>
        <v/>
      </c>
      <c r="G242" s="12" t="str">
        <f aca="false">IFERROR(IF(F242="","",IF(F242&lt;25,"Baixo",IF(F242&lt;50,"Moderado",IF(F242&lt;75,"Alto","Crítico")))),"N/A")</f>
        <v/>
      </c>
      <c r="H242" s="12" t="s">
        <v>63</v>
      </c>
    </row>
    <row r="243" customFormat="false" ht="15" hidden="false" customHeight="false" outlineLevel="0" collapsed="false">
      <c r="A243" s="15" t="n">
        <f aca="false">'📊 Risco por Setor'!$A$10</f>
        <v>0</v>
      </c>
      <c r="B243" s="5" t="s">
        <v>138</v>
      </c>
      <c r="C243" s="15" t="s">
        <v>150</v>
      </c>
      <c r="D243" s="23" t="s">
        <v>42</v>
      </c>
      <c r="E243" s="24" t="str">
        <f aca="false">IFERROR(AVERAGEIF('🔢 Cálculo'!$B$4:$B$203,'📊 Risco por Setor'!$A$10,'🔢 Cálculo'!$AL$4:$AL$203),"")</f>
        <v/>
      </c>
      <c r="F243" s="25" t="str">
        <f aca="false">IFERROR((E243-1)/4*100,"")</f>
        <v/>
      </c>
      <c r="G243" s="15" t="str">
        <f aca="false">IFERROR(IF(F243="","",IF(F243&lt;25,"Baixo",IF(F243&lt;50,"Moderado",IF(F243&lt;75,"Alto","Crítico")))),"N/A")</f>
        <v/>
      </c>
      <c r="H243" s="15" t="s">
        <v>63</v>
      </c>
    </row>
    <row r="244" customFormat="false" ht="15" hidden="false" customHeight="false" outlineLevel="0" collapsed="false">
      <c r="A244" s="12" t="n">
        <f aca="false">'📊 Risco por Setor'!$A$10</f>
        <v>0</v>
      </c>
      <c r="B244" s="13" t="s">
        <v>138</v>
      </c>
      <c r="C244" s="12" t="s">
        <v>152</v>
      </c>
      <c r="D244" s="20" t="s">
        <v>43</v>
      </c>
      <c r="E244" s="21" t="str">
        <f aca="false">IFERROR(AVERAGEIF('🔢 Cálculo'!$B$4:$B$203,'📊 Risco por Setor'!$A$10,'🔢 Cálculo'!$AM$4:$AM$203),"")</f>
        <v/>
      </c>
      <c r="F244" s="22" t="str">
        <f aca="false">IFERROR((E244-1)/4*100,"")</f>
        <v/>
      </c>
      <c r="G244" s="12" t="str">
        <f aca="false">IFERROR(IF(F244="","",IF(F244&lt;25,"Baixo",IF(F244&lt;50,"Moderado",IF(F244&lt;75,"Alto","Crítico")))),"N/A")</f>
        <v/>
      </c>
      <c r="H244" s="12" t="s">
        <v>63</v>
      </c>
    </row>
    <row r="245" customFormat="false" ht="15" hidden="false" customHeight="false" outlineLevel="0" collapsed="false">
      <c r="A245" s="15" t="n">
        <f aca="false">'📊 Risco por Setor'!$A$10</f>
        <v>0</v>
      </c>
      <c r="B245" s="5" t="s">
        <v>138</v>
      </c>
      <c r="C245" s="15" t="s">
        <v>154</v>
      </c>
      <c r="D245" s="23" t="s">
        <v>44</v>
      </c>
      <c r="E245" s="24" t="str">
        <f aca="false">IFERROR(AVERAGEIF('🔢 Cálculo'!$B$4:$B$203,'📊 Risco por Setor'!$A$10,'🔢 Cálculo'!$AN$4:$AN$203),"")</f>
        <v/>
      </c>
      <c r="F245" s="25" t="str">
        <f aca="false">IFERROR((E245-1)/4*100,"")</f>
        <v/>
      </c>
      <c r="G245" s="15" t="str">
        <f aca="false">IFERROR(IF(F245="","",IF(F245&lt;25,"Baixo",IF(F245&lt;50,"Moderado",IF(F245&lt;75,"Alto","Crítico")))),"N/A")</f>
        <v/>
      </c>
      <c r="H245" s="15" t="s">
        <v>63</v>
      </c>
    </row>
    <row r="246" customFormat="false" ht="15" hidden="false" customHeight="false" outlineLevel="0" collapsed="false">
      <c r="A246" s="12" t="n">
        <f aca="false">'📊 Risco por Setor'!$A$10</f>
        <v>0</v>
      </c>
      <c r="B246" s="13" t="s">
        <v>157</v>
      </c>
      <c r="C246" s="12" t="s">
        <v>156</v>
      </c>
      <c r="D246" s="20" t="s">
        <v>45</v>
      </c>
      <c r="E246" s="21" t="str">
        <f aca="false">IFERROR(AVERAGEIF('🔢 Cálculo'!$B$4:$B$203,'📊 Risco por Setor'!$A$10,'🔢 Cálculo'!$AO$4:$AO$203),"")</f>
        <v/>
      </c>
      <c r="F246" s="22" t="str">
        <f aca="false">IFERROR((E246-1)/4*100,"")</f>
        <v/>
      </c>
      <c r="G246" s="12" t="str">
        <f aca="false">IFERROR(IF(F246="","",IF(F246&lt;25,"Baixo",IF(F246&lt;50,"Moderado",IF(F246&lt;75,"Alto","Crítico")))),"N/A")</f>
        <v/>
      </c>
      <c r="H246" s="12" t="s">
        <v>63</v>
      </c>
    </row>
    <row r="247" customFormat="false" ht="15" hidden="false" customHeight="false" outlineLevel="0" collapsed="false">
      <c r="A247" s="15" t="n">
        <f aca="false">'📊 Risco por Setor'!$A$10</f>
        <v>0</v>
      </c>
      <c r="B247" s="5" t="s">
        <v>157</v>
      </c>
      <c r="C247" s="15" t="s">
        <v>159</v>
      </c>
      <c r="D247" s="23" t="s">
        <v>46</v>
      </c>
      <c r="E247" s="24" t="str">
        <f aca="false">IFERROR(AVERAGEIF('🔢 Cálculo'!$B$4:$B$203,'📊 Risco por Setor'!$A$10,'🔢 Cálculo'!$AP$4:$AP$203),"")</f>
        <v/>
      </c>
      <c r="F247" s="25" t="str">
        <f aca="false">IFERROR((E247-1)/4*100,"")</f>
        <v/>
      </c>
      <c r="G247" s="15" t="str">
        <f aca="false">IFERROR(IF(F247="","",IF(F247&lt;25,"Baixo",IF(F247&lt;50,"Moderado",IF(F247&lt;75,"Alto","Crítico")))),"N/A")</f>
        <v/>
      </c>
      <c r="H247" s="15" t="s">
        <v>63</v>
      </c>
    </row>
    <row r="248" customFormat="false" ht="15" hidden="false" customHeight="false" outlineLevel="0" collapsed="false">
      <c r="A248" s="12" t="n">
        <f aca="false">'📊 Risco por Setor'!$A$10</f>
        <v>0</v>
      </c>
      <c r="B248" s="13" t="s">
        <v>157</v>
      </c>
      <c r="C248" s="12" t="s">
        <v>161</v>
      </c>
      <c r="D248" s="20" t="s">
        <v>47</v>
      </c>
      <c r="E248" s="21" t="str">
        <f aca="false">IFERROR(AVERAGEIF('🔢 Cálculo'!$B$4:$B$203,'📊 Risco por Setor'!$A$10,'🔢 Cálculo'!$AQ$4:$AQ$203),"")</f>
        <v/>
      </c>
      <c r="F248" s="22" t="str">
        <f aca="false">IFERROR((E248-1)/4*100,"")</f>
        <v/>
      </c>
      <c r="G248" s="12" t="str">
        <f aca="false">IFERROR(IF(F248="","",IF(F248&lt;25,"Baixo",IF(F248&lt;50,"Moderado",IF(F248&lt;75,"Alto","Crítico")))),"N/A")</f>
        <v/>
      </c>
      <c r="H248" s="12" t="s">
        <v>63</v>
      </c>
    </row>
    <row r="249" customFormat="false" ht="15" hidden="false" customHeight="false" outlineLevel="0" collapsed="false">
      <c r="A249" s="15" t="n">
        <f aca="false">'📊 Risco por Setor'!$A$10</f>
        <v>0</v>
      </c>
      <c r="B249" s="5" t="s">
        <v>157</v>
      </c>
      <c r="C249" s="15" t="s">
        <v>163</v>
      </c>
      <c r="D249" s="23" t="s">
        <v>48</v>
      </c>
      <c r="E249" s="24" t="str">
        <f aca="false">IFERROR(AVERAGEIF('🔢 Cálculo'!$B$4:$B$203,'📊 Risco por Setor'!$A$10,'🔢 Cálculo'!$AR$4:$AR$203),"")</f>
        <v/>
      </c>
      <c r="F249" s="25" t="str">
        <f aca="false">IFERROR((E249-1)/4*100,"")</f>
        <v/>
      </c>
      <c r="G249" s="15" t="str">
        <f aca="false">IFERROR(IF(F249="","",IF(F249&lt;25,"Baixo",IF(F249&lt;50,"Moderado",IF(F249&lt;75,"Alto","Crítico")))),"N/A")</f>
        <v/>
      </c>
      <c r="H249" s="15" t="s">
        <v>63</v>
      </c>
    </row>
    <row r="250" customFormat="false" ht="15" hidden="false" customHeight="false" outlineLevel="0" collapsed="false">
      <c r="A250" s="12" t="n">
        <f aca="false">'📊 Risco por Setor'!$A$11</f>
        <v>0</v>
      </c>
      <c r="B250" s="13" t="s">
        <v>61</v>
      </c>
      <c r="C250" s="12" t="s">
        <v>60</v>
      </c>
      <c r="D250" s="20" t="s">
        <v>8</v>
      </c>
      <c r="E250" s="21" t="str">
        <f aca="false">IFERROR(AVERAGEIF('🔢 Cálculo'!$B$4:$B$203,'📊 Risco por Setor'!$A$11,'🔢 Cálculo'!$D$4:$D$203),"")</f>
        <v/>
      </c>
      <c r="F250" s="22" t="str">
        <f aca="false">IFERROR((E250-1)/4*100,"")</f>
        <v/>
      </c>
      <c r="G250" s="12" t="str">
        <f aca="false">IFERROR(IF(F250="","",IF(F250&lt;25,"Baixo",IF(F250&lt;50,"Moderado",IF(F250&lt;75,"Alto","Crítico")))),"N/A")</f>
        <v/>
      </c>
      <c r="H250" s="12" t="s">
        <v>63</v>
      </c>
    </row>
    <row r="251" customFormat="false" ht="15" hidden="false" customHeight="false" outlineLevel="0" collapsed="false">
      <c r="A251" s="15" t="n">
        <f aca="false">'📊 Risco por Setor'!$A$11</f>
        <v>0</v>
      </c>
      <c r="B251" s="5" t="s">
        <v>61</v>
      </c>
      <c r="C251" s="15" t="s">
        <v>66</v>
      </c>
      <c r="D251" s="23" t="s">
        <v>9</v>
      </c>
      <c r="E251" s="24" t="str">
        <f aca="false">IFERROR(AVERAGEIF('🔢 Cálculo'!$B$4:$B$203,'📊 Risco por Setor'!$A$11,'🔢 Cálculo'!$E$4:$E$203),"")</f>
        <v/>
      </c>
      <c r="F251" s="25" t="str">
        <f aca="false">IFERROR((E251-1)/4*100,"")</f>
        <v/>
      </c>
      <c r="G251" s="15" t="str">
        <f aca="false">IFERROR(IF(F251="","",IF(F251&lt;25,"Baixo",IF(F251&lt;50,"Moderado",IF(F251&lt;75,"Alto","Crítico")))),"N/A")</f>
        <v/>
      </c>
      <c r="H251" s="15" t="s">
        <v>63</v>
      </c>
    </row>
    <row r="252" customFormat="false" ht="15" hidden="false" customHeight="false" outlineLevel="0" collapsed="false">
      <c r="A252" s="12" t="n">
        <f aca="false">'📊 Risco por Setor'!$A$11</f>
        <v>0</v>
      </c>
      <c r="B252" s="13" t="s">
        <v>61</v>
      </c>
      <c r="C252" s="12" t="s">
        <v>70</v>
      </c>
      <c r="D252" s="20" t="s">
        <v>10</v>
      </c>
      <c r="E252" s="21" t="str">
        <f aca="false">IFERROR(AVERAGEIF('🔢 Cálculo'!$B$4:$B$203,'📊 Risco por Setor'!$A$11,'🔢 Cálculo'!$F$4:$F$203),"")</f>
        <v/>
      </c>
      <c r="F252" s="22" t="str">
        <f aca="false">IFERROR((E252-1)/4*100,"")</f>
        <v/>
      </c>
      <c r="G252" s="12" t="str">
        <f aca="false">IFERROR(IF(F252="","",IF(F252&lt;25,"Baixo",IF(F252&lt;50,"Moderado",IF(F252&lt;75,"Alto","Crítico")))),"N/A")</f>
        <v/>
      </c>
      <c r="H252" s="12" t="s">
        <v>63</v>
      </c>
    </row>
    <row r="253" customFormat="false" ht="15" hidden="false" customHeight="false" outlineLevel="0" collapsed="false">
      <c r="A253" s="15" t="n">
        <f aca="false">'📊 Risco por Setor'!$A$11</f>
        <v>0</v>
      </c>
      <c r="B253" s="5" t="s">
        <v>61</v>
      </c>
      <c r="C253" s="15" t="s">
        <v>74</v>
      </c>
      <c r="D253" s="23" t="s">
        <v>11</v>
      </c>
      <c r="E253" s="24" t="str">
        <f aca="false">IFERROR(AVERAGEIF('🔢 Cálculo'!$B$4:$B$203,'📊 Risco por Setor'!$A$11,'🔢 Cálculo'!$G$4:$G$203),"")</f>
        <v/>
      </c>
      <c r="F253" s="25" t="str">
        <f aca="false">IFERROR((E253-1)/4*100,"")</f>
        <v/>
      </c>
      <c r="G253" s="15" t="str">
        <f aca="false">IFERROR(IF(F253="","",IF(F253&lt;25,"Baixo",IF(F253&lt;50,"Moderado",IF(F253&lt;75,"Alto","Crítico")))),"N/A")</f>
        <v/>
      </c>
      <c r="H253" s="15" t="s">
        <v>63</v>
      </c>
    </row>
    <row r="254" customFormat="false" ht="15" hidden="false" customHeight="false" outlineLevel="0" collapsed="false">
      <c r="A254" s="12" t="n">
        <f aca="false">'📊 Risco por Setor'!$A$11</f>
        <v>0</v>
      </c>
      <c r="B254" s="13" t="s">
        <v>61</v>
      </c>
      <c r="C254" s="12" t="s">
        <v>78</v>
      </c>
      <c r="D254" s="20" t="s">
        <v>12</v>
      </c>
      <c r="E254" s="21" t="str">
        <f aca="false">IFERROR(AVERAGEIF('🔢 Cálculo'!$B$4:$B$203,'📊 Risco por Setor'!$A$11,'🔢 Cálculo'!$H$4:$H$203),"")</f>
        <v/>
      </c>
      <c r="F254" s="22" t="str">
        <f aca="false">IFERROR((E254-1)/4*100,"")</f>
        <v/>
      </c>
      <c r="G254" s="12" t="str">
        <f aca="false">IFERROR(IF(F254="","",IF(F254&lt;25,"Baixo",IF(F254&lt;50,"Moderado",IF(F254&lt;75,"Alto","Crítico")))),"N/A")</f>
        <v/>
      </c>
      <c r="H254" s="12" t="s">
        <v>63</v>
      </c>
    </row>
    <row r="255" customFormat="false" ht="15" hidden="false" customHeight="false" outlineLevel="0" collapsed="false">
      <c r="A255" s="15" t="n">
        <f aca="false">'📊 Risco por Setor'!$A$11</f>
        <v>0</v>
      </c>
      <c r="B255" s="5" t="s">
        <v>61</v>
      </c>
      <c r="C255" s="15" t="s">
        <v>82</v>
      </c>
      <c r="D255" s="23" t="s">
        <v>13</v>
      </c>
      <c r="E255" s="24" t="str">
        <f aca="false">IFERROR(AVERAGEIF('🔢 Cálculo'!$B$4:$B$203,'📊 Risco por Setor'!$A$11,'🔢 Cálculo'!$I$4:$I$203),"")</f>
        <v/>
      </c>
      <c r="F255" s="25" t="str">
        <f aca="false">IFERROR((E255-1)/4*100,"")</f>
        <v/>
      </c>
      <c r="G255" s="15" t="str">
        <f aca="false">IFERROR(IF(F255="","",IF(F255&lt;25,"Baixo",IF(F255&lt;50,"Moderado",IF(F255&lt;75,"Alto","Crítico")))),"N/A")</f>
        <v/>
      </c>
      <c r="H255" s="15" t="s">
        <v>63</v>
      </c>
    </row>
    <row r="256" customFormat="false" ht="15" hidden="false" customHeight="false" outlineLevel="0" collapsed="false">
      <c r="A256" s="12" t="n">
        <f aca="false">'📊 Risco por Setor'!$A$11</f>
        <v>0</v>
      </c>
      <c r="B256" s="13" t="s">
        <v>87</v>
      </c>
      <c r="C256" s="12" t="s">
        <v>86</v>
      </c>
      <c r="D256" s="20" t="s">
        <v>14</v>
      </c>
      <c r="E256" s="21" t="str">
        <f aca="false">IFERROR(AVERAGEIF('🔢 Cálculo'!$B$4:$B$203,'📊 Risco por Setor'!$A$11,'🔢 Cálculo'!$J$4:$J$203),"")</f>
        <v/>
      </c>
      <c r="F256" s="22" t="str">
        <f aca="false">IFERROR((5-E256)/4*100,"")</f>
        <v/>
      </c>
      <c r="G256" s="12" t="str">
        <f aca="false">IFERROR(IF(F256="","",IF(F256&lt;25,"Baixo",IF(F256&lt;50,"Moderado",IF(F256&lt;75,"Alto","Crítico")))),"N/A")</f>
        <v/>
      </c>
      <c r="H256" s="12" t="s">
        <v>89</v>
      </c>
    </row>
    <row r="257" customFormat="false" ht="15" hidden="false" customHeight="false" outlineLevel="0" collapsed="false">
      <c r="A257" s="15" t="n">
        <f aca="false">'📊 Risco por Setor'!$A$11</f>
        <v>0</v>
      </c>
      <c r="B257" s="5" t="s">
        <v>87</v>
      </c>
      <c r="C257" s="15" t="s">
        <v>92</v>
      </c>
      <c r="D257" s="23" t="s">
        <v>15</v>
      </c>
      <c r="E257" s="24" t="str">
        <f aca="false">IFERROR(AVERAGEIF('🔢 Cálculo'!$B$4:$B$203,'📊 Risco por Setor'!$A$11,'🔢 Cálculo'!$K$4:$K$203),"")</f>
        <v/>
      </c>
      <c r="F257" s="25" t="str">
        <f aca="false">IFERROR((5-E257)/4*100,"")</f>
        <v/>
      </c>
      <c r="G257" s="15" t="str">
        <f aca="false">IFERROR(IF(F257="","",IF(F257&lt;25,"Baixo",IF(F257&lt;50,"Moderado",IF(F257&lt;75,"Alto","Crítico")))),"N/A")</f>
        <v/>
      </c>
      <c r="H257" s="15" t="s">
        <v>89</v>
      </c>
    </row>
    <row r="258" customFormat="false" ht="15" hidden="false" customHeight="false" outlineLevel="0" collapsed="false">
      <c r="A258" s="12" t="n">
        <f aca="false">'📊 Risco por Setor'!$A$11</f>
        <v>0</v>
      </c>
      <c r="B258" s="13" t="s">
        <v>87</v>
      </c>
      <c r="C258" s="12" t="s">
        <v>94</v>
      </c>
      <c r="D258" s="20" t="s">
        <v>16</v>
      </c>
      <c r="E258" s="21" t="str">
        <f aca="false">IFERROR(AVERAGEIF('🔢 Cálculo'!$B$4:$B$203,'📊 Risco por Setor'!$A$11,'🔢 Cálculo'!$L$4:$L$203),"")</f>
        <v/>
      </c>
      <c r="F258" s="22" t="str">
        <f aca="false">IFERROR((5-E258)/4*100,"")</f>
        <v/>
      </c>
      <c r="G258" s="12" t="str">
        <f aca="false">IFERROR(IF(F258="","",IF(F258&lt;25,"Baixo",IF(F258&lt;50,"Moderado",IF(F258&lt;75,"Alto","Crítico")))),"N/A")</f>
        <v/>
      </c>
      <c r="H258" s="12" t="s">
        <v>89</v>
      </c>
    </row>
    <row r="259" customFormat="false" ht="15" hidden="false" customHeight="false" outlineLevel="0" collapsed="false">
      <c r="A259" s="15" t="n">
        <f aca="false">'📊 Risco por Setor'!$A$11</f>
        <v>0</v>
      </c>
      <c r="B259" s="5" t="s">
        <v>87</v>
      </c>
      <c r="C259" s="15" t="s">
        <v>97</v>
      </c>
      <c r="D259" s="23" t="s">
        <v>17</v>
      </c>
      <c r="E259" s="24" t="str">
        <f aca="false">IFERROR(AVERAGEIF('🔢 Cálculo'!$B$4:$B$203,'📊 Risco por Setor'!$A$11,'🔢 Cálculo'!$M$4:$M$203),"")</f>
        <v/>
      </c>
      <c r="F259" s="25" t="str">
        <f aca="false">IFERROR((5-E259)/4*100,"")</f>
        <v/>
      </c>
      <c r="G259" s="15" t="str">
        <f aca="false">IFERROR(IF(F259="","",IF(F259&lt;25,"Baixo",IF(F259&lt;50,"Moderado",IF(F259&lt;75,"Alto","Crítico")))),"N/A")</f>
        <v/>
      </c>
      <c r="H259" s="15" t="s">
        <v>89</v>
      </c>
    </row>
    <row r="260" customFormat="false" ht="15" hidden="false" customHeight="false" outlineLevel="0" collapsed="false">
      <c r="A260" s="12" t="n">
        <f aca="false">'📊 Risco por Setor'!$A$11</f>
        <v>0</v>
      </c>
      <c r="B260" s="13" t="s">
        <v>87</v>
      </c>
      <c r="C260" s="12" t="s">
        <v>98</v>
      </c>
      <c r="D260" s="20" t="s">
        <v>18</v>
      </c>
      <c r="E260" s="21" t="str">
        <f aca="false">IFERROR(AVERAGEIF('🔢 Cálculo'!$B$4:$B$203,'📊 Risco por Setor'!$A$11,'🔢 Cálculo'!$N$4:$N$203),"")</f>
        <v/>
      </c>
      <c r="F260" s="22" t="str">
        <f aca="false">IFERROR((5-E260)/4*100,"")</f>
        <v/>
      </c>
      <c r="G260" s="12" t="str">
        <f aca="false">IFERROR(IF(F260="","",IF(F260&lt;25,"Baixo",IF(F260&lt;50,"Moderado",IF(F260&lt;75,"Alto","Crítico")))),"N/A")</f>
        <v/>
      </c>
      <c r="H260" s="12" t="s">
        <v>89</v>
      </c>
    </row>
    <row r="261" customFormat="false" ht="15" hidden="false" customHeight="false" outlineLevel="0" collapsed="false">
      <c r="A261" s="15" t="n">
        <f aca="false">'📊 Risco por Setor'!$A$11</f>
        <v>0</v>
      </c>
      <c r="B261" s="5" t="s">
        <v>87</v>
      </c>
      <c r="C261" s="15" t="s">
        <v>100</v>
      </c>
      <c r="D261" s="23" t="s">
        <v>19</v>
      </c>
      <c r="E261" s="24" t="str">
        <f aca="false">IFERROR(AVERAGEIF('🔢 Cálculo'!$B$4:$B$203,'📊 Risco por Setor'!$A$11,'🔢 Cálculo'!$O$4:$O$203),"")</f>
        <v/>
      </c>
      <c r="F261" s="25" t="str">
        <f aca="false">IFERROR((5-E261)/4*100,"")</f>
        <v/>
      </c>
      <c r="G261" s="15" t="str">
        <f aca="false">IFERROR(IF(F261="","",IF(F261&lt;25,"Baixo",IF(F261&lt;50,"Moderado",IF(F261&lt;75,"Alto","Crítico")))),"N/A")</f>
        <v/>
      </c>
      <c r="H261" s="15" t="s">
        <v>89</v>
      </c>
    </row>
    <row r="262" customFormat="false" ht="15" hidden="false" customHeight="false" outlineLevel="0" collapsed="false">
      <c r="A262" s="12" t="n">
        <f aca="false">'📊 Risco por Setor'!$A$11</f>
        <v>0</v>
      </c>
      <c r="B262" s="13" t="s">
        <v>103</v>
      </c>
      <c r="C262" s="12" t="s">
        <v>102</v>
      </c>
      <c r="D262" s="20" t="s">
        <v>20</v>
      </c>
      <c r="E262" s="21" t="str">
        <f aca="false">IFERROR(AVERAGEIF('🔢 Cálculo'!$B$4:$B$203,'📊 Risco por Setor'!$A$11,'🔢 Cálculo'!$P$4:$P$203),"")</f>
        <v/>
      </c>
      <c r="F262" s="22" t="str">
        <f aca="false">IFERROR((5-E262)/4*100,"")</f>
        <v/>
      </c>
      <c r="G262" s="12" t="str">
        <f aca="false">IFERROR(IF(F262="","",IF(F262&lt;25,"Baixo",IF(F262&lt;50,"Moderado",IF(F262&lt;75,"Alto","Crítico")))),"N/A")</f>
        <v/>
      </c>
      <c r="H262" s="12" t="s">
        <v>89</v>
      </c>
    </row>
    <row r="263" customFormat="false" ht="15" hidden="false" customHeight="false" outlineLevel="0" collapsed="false">
      <c r="A263" s="15" t="n">
        <f aca="false">'📊 Risco por Setor'!$A$11</f>
        <v>0</v>
      </c>
      <c r="B263" s="5" t="s">
        <v>103</v>
      </c>
      <c r="C263" s="15" t="s">
        <v>105</v>
      </c>
      <c r="D263" s="23" t="s">
        <v>21</v>
      </c>
      <c r="E263" s="24" t="str">
        <f aca="false">IFERROR(AVERAGEIF('🔢 Cálculo'!$B$4:$B$203,'📊 Risco por Setor'!$A$11,'🔢 Cálculo'!$Q$4:$Q$203),"")</f>
        <v/>
      </c>
      <c r="F263" s="25" t="str">
        <f aca="false">IFERROR((5-E263)/4*100,"")</f>
        <v/>
      </c>
      <c r="G263" s="15" t="str">
        <f aca="false">IFERROR(IF(F263="","",IF(F263&lt;25,"Baixo",IF(F263&lt;50,"Moderado",IF(F263&lt;75,"Alto","Crítico")))),"N/A")</f>
        <v/>
      </c>
      <c r="H263" s="15" t="s">
        <v>89</v>
      </c>
    </row>
    <row r="264" customFormat="false" ht="15" hidden="false" customHeight="false" outlineLevel="0" collapsed="false">
      <c r="A264" s="12" t="n">
        <f aca="false">'📊 Risco por Setor'!$A$11</f>
        <v>0</v>
      </c>
      <c r="B264" s="13" t="s">
        <v>103</v>
      </c>
      <c r="C264" s="12" t="s">
        <v>107</v>
      </c>
      <c r="D264" s="20" t="s">
        <v>22</v>
      </c>
      <c r="E264" s="21" t="str">
        <f aca="false">IFERROR(AVERAGEIF('🔢 Cálculo'!$B$4:$B$203,'📊 Risco por Setor'!$A$11,'🔢 Cálculo'!$R$4:$R$203),"")</f>
        <v/>
      </c>
      <c r="F264" s="22" t="str">
        <f aca="false">IFERROR((5-E264)/4*100,"")</f>
        <v/>
      </c>
      <c r="G264" s="12" t="str">
        <f aca="false">IFERROR(IF(F264="","",IF(F264&lt;25,"Baixo",IF(F264&lt;50,"Moderado",IF(F264&lt;75,"Alto","Crítico")))),"N/A")</f>
        <v/>
      </c>
      <c r="H264" s="12" t="s">
        <v>89</v>
      </c>
    </row>
    <row r="265" customFormat="false" ht="15" hidden="false" customHeight="false" outlineLevel="0" collapsed="false">
      <c r="A265" s="15" t="n">
        <f aca="false">'📊 Risco por Setor'!$A$11</f>
        <v>0</v>
      </c>
      <c r="B265" s="5" t="s">
        <v>103</v>
      </c>
      <c r="C265" s="15" t="s">
        <v>109</v>
      </c>
      <c r="D265" s="23" t="s">
        <v>23</v>
      </c>
      <c r="E265" s="24" t="str">
        <f aca="false">IFERROR(AVERAGEIF('🔢 Cálculo'!$B$4:$B$203,'📊 Risco por Setor'!$A$11,'🔢 Cálculo'!$S$4:$S$203),"")</f>
        <v/>
      </c>
      <c r="F265" s="25" t="str">
        <f aca="false">IFERROR((5-E265)/4*100,"")</f>
        <v/>
      </c>
      <c r="G265" s="15" t="str">
        <f aca="false">IFERROR(IF(F265="","",IF(F265&lt;25,"Baixo",IF(F265&lt;50,"Moderado",IF(F265&lt;75,"Alto","Crítico")))),"N/A")</f>
        <v/>
      </c>
      <c r="H265" s="15" t="s">
        <v>89</v>
      </c>
    </row>
    <row r="266" customFormat="false" ht="15" hidden="false" customHeight="false" outlineLevel="0" collapsed="false">
      <c r="A266" s="12" t="n">
        <f aca="false">'📊 Risco por Setor'!$A$11</f>
        <v>0</v>
      </c>
      <c r="B266" s="13" t="s">
        <v>103</v>
      </c>
      <c r="C266" s="12" t="s">
        <v>111</v>
      </c>
      <c r="D266" s="20" t="s">
        <v>24</v>
      </c>
      <c r="E266" s="21" t="str">
        <f aca="false">IFERROR(AVERAGEIF('🔢 Cálculo'!$B$4:$B$203,'📊 Risco por Setor'!$A$11,'🔢 Cálculo'!$T$4:$T$203),"")</f>
        <v/>
      </c>
      <c r="F266" s="22" t="str">
        <f aca="false">IFERROR((5-E266)/4*100,"")</f>
        <v/>
      </c>
      <c r="G266" s="12" t="str">
        <f aca="false">IFERROR(IF(F266="","",IF(F266&lt;25,"Baixo",IF(F266&lt;50,"Moderado",IF(F266&lt;75,"Alto","Crítico")))),"N/A")</f>
        <v/>
      </c>
      <c r="H266" s="12" t="s">
        <v>89</v>
      </c>
    </row>
    <row r="267" customFormat="false" ht="15" hidden="false" customHeight="false" outlineLevel="0" collapsed="false">
      <c r="A267" s="15" t="n">
        <f aca="false">'📊 Risco por Setor'!$A$11</f>
        <v>0</v>
      </c>
      <c r="B267" s="5" t="s">
        <v>103</v>
      </c>
      <c r="C267" s="15" t="s">
        <v>113</v>
      </c>
      <c r="D267" s="23" t="s">
        <v>25</v>
      </c>
      <c r="E267" s="24" t="str">
        <f aca="false">IFERROR(AVERAGEIF('🔢 Cálculo'!$B$4:$B$203,'📊 Risco por Setor'!$A$11,'🔢 Cálculo'!$U$4:$U$203),"")</f>
        <v/>
      </c>
      <c r="F267" s="25" t="str">
        <f aca="false">IFERROR((5-E267)/4*100,"")</f>
        <v/>
      </c>
      <c r="G267" s="15" t="str">
        <f aca="false">IFERROR(IF(F267="","",IF(F267&lt;25,"Baixo",IF(F267&lt;50,"Moderado",IF(F267&lt;75,"Alto","Crítico")))),"N/A")</f>
        <v/>
      </c>
      <c r="H267" s="15" t="s">
        <v>89</v>
      </c>
    </row>
    <row r="268" customFormat="false" ht="15" hidden="false" customHeight="false" outlineLevel="0" collapsed="false">
      <c r="A268" s="12" t="n">
        <f aca="false">'📊 Risco por Setor'!$A$11</f>
        <v>0</v>
      </c>
      <c r="B268" s="13" t="s">
        <v>116</v>
      </c>
      <c r="C268" s="12" t="s">
        <v>115</v>
      </c>
      <c r="D268" s="20" t="s">
        <v>26</v>
      </c>
      <c r="E268" s="21" t="str">
        <f aca="false">IFERROR(AVERAGEIF('🔢 Cálculo'!$B$4:$B$203,'📊 Risco por Setor'!$A$11,'🔢 Cálculo'!$V$4:$V$203),"")</f>
        <v/>
      </c>
      <c r="F268" s="22" t="str">
        <f aca="false">IFERROR((5-E268)/4*100,"")</f>
        <v/>
      </c>
      <c r="G268" s="12" t="str">
        <f aca="false">IFERROR(IF(F268="","",IF(F268&lt;25,"Baixo",IF(F268&lt;50,"Moderado",IF(F268&lt;75,"Alto","Crítico")))),"N/A")</f>
        <v/>
      </c>
      <c r="H268" s="12" t="s">
        <v>89</v>
      </c>
    </row>
    <row r="269" customFormat="false" ht="15" hidden="false" customHeight="false" outlineLevel="0" collapsed="false">
      <c r="A269" s="15" t="n">
        <f aca="false">'📊 Risco por Setor'!$A$11</f>
        <v>0</v>
      </c>
      <c r="B269" s="5" t="s">
        <v>116</v>
      </c>
      <c r="C269" s="15" t="s">
        <v>118</v>
      </c>
      <c r="D269" s="23" t="s">
        <v>27</v>
      </c>
      <c r="E269" s="24" t="str">
        <f aca="false">IFERROR(AVERAGEIF('🔢 Cálculo'!$B$4:$B$203,'📊 Risco por Setor'!$A$11,'🔢 Cálculo'!$W$4:$W$203),"")</f>
        <v/>
      </c>
      <c r="F269" s="25" t="str">
        <f aca="false">IFERROR((5-E269)/4*100,"")</f>
        <v/>
      </c>
      <c r="G269" s="15" t="str">
        <f aca="false">IFERROR(IF(F269="","",IF(F269&lt;25,"Baixo",IF(F269&lt;50,"Moderado",IF(F269&lt;75,"Alto","Crítico")))),"N/A")</f>
        <v/>
      </c>
      <c r="H269" s="15" t="s">
        <v>89</v>
      </c>
    </row>
    <row r="270" customFormat="false" ht="15" hidden="false" customHeight="false" outlineLevel="0" collapsed="false">
      <c r="A270" s="12" t="n">
        <f aca="false">'📊 Risco por Setor'!$A$11</f>
        <v>0</v>
      </c>
      <c r="B270" s="13" t="s">
        <v>116</v>
      </c>
      <c r="C270" s="12" t="s">
        <v>120</v>
      </c>
      <c r="D270" s="20" t="s">
        <v>28</v>
      </c>
      <c r="E270" s="21" t="str">
        <f aca="false">IFERROR(AVERAGEIF('🔢 Cálculo'!$B$4:$B$203,'📊 Risco por Setor'!$A$11,'🔢 Cálculo'!$X$4:$X$203),"")</f>
        <v/>
      </c>
      <c r="F270" s="22" t="str">
        <f aca="false">IFERROR((5-E270)/4*100,"")</f>
        <v/>
      </c>
      <c r="G270" s="12" t="str">
        <f aca="false">IFERROR(IF(F270="","",IF(F270&lt;25,"Baixo",IF(F270&lt;50,"Moderado",IF(F270&lt;75,"Alto","Crítico")))),"N/A")</f>
        <v/>
      </c>
      <c r="H270" s="12" t="s">
        <v>89</v>
      </c>
    </row>
    <row r="271" customFormat="false" ht="15" hidden="false" customHeight="false" outlineLevel="0" collapsed="false">
      <c r="A271" s="15" t="n">
        <f aca="false">'📊 Risco por Setor'!$A$11</f>
        <v>0</v>
      </c>
      <c r="B271" s="5" t="s">
        <v>116</v>
      </c>
      <c r="C271" s="15" t="s">
        <v>122</v>
      </c>
      <c r="D271" s="23" t="s">
        <v>29</v>
      </c>
      <c r="E271" s="24" t="str">
        <f aca="false">IFERROR(AVERAGEIF('🔢 Cálculo'!$B$4:$B$203,'📊 Risco por Setor'!$A$11,'🔢 Cálculo'!$Y$4:$Y$203),"")</f>
        <v/>
      </c>
      <c r="F271" s="25" t="str">
        <f aca="false">IFERROR((5-E271)/4*100,"")</f>
        <v/>
      </c>
      <c r="G271" s="15" t="str">
        <f aca="false">IFERROR(IF(F271="","",IF(F271&lt;25,"Baixo",IF(F271&lt;50,"Moderado",IF(F271&lt;75,"Alto","Crítico")))),"N/A")</f>
        <v/>
      </c>
      <c r="H271" s="15" t="s">
        <v>89</v>
      </c>
    </row>
    <row r="272" customFormat="false" ht="15" hidden="false" customHeight="false" outlineLevel="0" collapsed="false">
      <c r="A272" s="12" t="n">
        <f aca="false">'📊 Risco por Setor'!$A$11</f>
        <v>0</v>
      </c>
      <c r="B272" s="13" t="s">
        <v>116</v>
      </c>
      <c r="C272" s="12" t="s">
        <v>124</v>
      </c>
      <c r="D272" s="20" t="s">
        <v>30</v>
      </c>
      <c r="E272" s="21" t="str">
        <f aca="false">IFERROR(AVERAGEIF('🔢 Cálculo'!$B$4:$B$203,'📊 Risco por Setor'!$A$11,'🔢 Cálculo'!$Z$4:$Z$203),"")</f>
        <v/>
      </c>
      <c r="F272" s="22" t="str">
        <f aca="false">IFERROR((5-E272)/4*100,"")</f>
        <v/>
      </c>
      <c r="G272" s="12" t="str">
        <f aca="false">IFERROR(IF(F272="","",IF(F272&lt;25,"Baixo",IF(F272&lt;50,"Moderado",IF(F272&lt;75,"Alto","Crítico")))),"N/A")</f>
        <v/>
      </c>
      <c r="H272" s="12" t="s">
        <v>89</v>
      </c>
    </row>
    <row r="273" customFormat="false" ht="15" hidden="false" customHeight="false" outlineLevel="0" collapsed="false">
      <c r="A273" s="15" t="n">
        <f aca="false">'📊 Risco por Setor'!$A$11</f>
        <v>0</v>
      </c>
      <c r="B273" s="5" t="s">
        <v>127</v>
      </c>
      <c r="C273" s="15" t="s">
        <v>126</v>
      </c>
      <c r="D273" s="23" t="s">
        <v>31</v>
      </c>
      <c r="E273" s="24" t="str">
        <f aca="false">IFERROR(AVERAGEIF('🔢 Cálculo'!$B$4:$B$203,'📊 Risco por Setor'!$A$11,'🔢 Cálculo'!$AA$4:$AA$203),"")</f>
        <v/>
      </c>
      <c r="F273" s="25" t="str">
        <f aca="false">IFERROR((5-E273)/4*100,"")</f>
        <v/>
      </c>
      <c r="G273" s="15" t="str">
        <f aca="false">IFERROR(IF(F273="","",IF(F273&lt;25,"Baixo",IF(F273&lt;50,"Moderado",IF(F273&lt;75,"Alto","Crítico")))),"N/A")</f>
        <v/>
      </c>
      <c r="H273" s="15" t="s">
        <v>89</v>
      </c>
    </row>
    <row r="274" customFormat="false" ht="15" hidden="false" customHeight="false" outlineLevel="0" collapsed="false">
      <c r="A274" s="12" t="n">
        <f aca="false">'📊 Risco por Setor'!$A$11</f>
        <v>0</v>
      </c>
      <c r="B274" s="13" t="s">
        <v>127</v>
      </c>
      <c r="C274" s="12" t="s">
        <v>129</v>
      </c>
      <c r="D274" s="20" t="s">
        <v>32</v>
      </c>
      <c r="E274" s="21" t="str">
        <f aca="false">IFERROR(AVERAGEIF('🔢 Cálculo'!$B$4:$B$203,'📊 Risco por Setor'!$A$11,'🔢 Cálculo'!$AB$4:$AB$203),"")</f>
        <v/>
      </c>
      <c r="F274" s="22" t="str">
        <f aca="false">IFERROR((5-E274)/4*100,"")</f>
        <v/>
      </c>
      <c r="G274" s="12" t="str">
        <f aca="false">IFERROR(IF(F274="","",IF(F274&lt;25,"Baixo",IF(F274&lt;50,"Moderado",IF(F274&lt;75,"Alto","Crítico")))),"N/A")</f>
        <v/>
      </c>
      <c r="H274" s="12" t="s">
        <v>89</v>
      </c>
    </row>
    <row r="275" customFormat="false" ht="15" hidden="false" customHeight="false" outlineLevel="0" collapsed="false">
      <c r="A275" s="15" t="n">
        <f aca="false">'📊 Risco por Setor'!$A$11</f>
        <v>0</v>
      </c>
      <c r="B275" s="5" t="s">
        <v>127</v>
      </c>
      <c r="C275" s="15" t="s">
        <v>131</v>
      </c>
      <c r="D275" s="23" t="s">
        <v>33</v>
      </c>
      <c r="E275" s="24" t="str">
        <f aca="false">IFERROR(AVERAGEIF('🔢 Cálculo'!$B$4:$B$203,'📊 Risco por Setor'!$A$11,'🔢 Cálculo'!$AC$4:$AC$203),"")</f>
        <v/>
      </c>
      <c r="F275" s="25" t="str">
        <f aca="false">IFERROR((5-E275)/4*100,"")</f>
        <v/>
      </c>
      <c r="G275" s="15" t="str">
        <f aca="false">IFERROR(IF(F275="","",IF(F275&lt;25,"Baixo",IF(F275&lt;50,"Moderado",IF(F275&lt;75,"Alto","Crítico")))),"N/A")</f>
        <v/>
      </c>
      <c r="H275" s="15" t="s">
        <v>89</v>
      </c>
    </row>
    <row r="276" customFormat="false" ht="15" hidden="false" customHeight="false" outlineLevel="0" collapsed="false">
      <c r="A276" s="12" t="n">
        <f aca="false">'📊 Risco por Setor'!$A$11</f>
        <v>0</v>
      </c>
      <c r="B276" s="13" t="s">
        <v>127</v>
      </c>
      <c r="C276" s="12" t="s">
        <v>133</v>
      </c>
      <c r="D276" s="20" t="s">
        <v>34</v>
      </c>
      <c r="E276" s="21" t="str">
        <f aca="false">IFERROR(AVERAGEIF('🔢 Cálculo'!$B$4:$B$203,'📊 Risco por Setor'!$A$11,'🔢 Cálculo'!$AD$4:$AD$203),"")</f>
        <v/>
      </c>
      <c r="F276" s="22" t="str">
        <f aca="false">IFERROR((5-E276)/4*100,"")</f>
        <v/>
      </c>
      <c r="G276" s="12" t="str">
        <f aca="false">IFERROR(IF(F276="","",IF(F276&lt;25,"Baixo",IF(F276&lt;50,"Moderado",IF(F276&lt;75,"Alto","Crítico")))),"N/A")</f>
        <v/>
      </c>
      <c r="H276" s="12" t="s">
        <v>89</v>
      </c>
    </row>
    <row r="277" customFormat="false" ht="15" hidden="false" customHeight="false" outlineLevel="0" collapsed="false">
      <c r="A277" s="15" t="n">
        <f aca="false">'📊 Risco por Setor'!$A$11</f>
        <v>0</v>
      </c>
      <c r="B277" s="5" t="s">
        <v>127</v>
      </c>
      <c r="C277" s="15" t="s">
        <v>135</v>
      </c>
      <c r="D277" s="23" t="s">
        <v>35</v>
      </c>
      <c r="E277" s="24" t="str">
        <f aca="false">IFERROR(AVERAGEIF('🔢 Cálculo'!$B$4:$B$203,'📊 Risco por Setor'!$A$11,'🔢 Cálculo'!$AE$4:$AE$203),"")</f>
        <v/>
      </c>
      <c r="F277" s="25" t="str">
        <f aca="false">IFERROR((E277-1)/4*100,"")</f>
        <v/>
      </c>
      <c r="G277" s="15" t="str">
        <f aca="false">IFERROR(IF(F277="","",IF(F277&lt;25,"Baixo",IF(F277&lt;50,"Moderado",IF(F277&lt;75,"Alto","Crítico")))),"N/A")</f>
        <v/>
      </c>
      <c r="H277" s="15" t="s">
        <v>63</v>
      </c>
    </row>
    <row r="278" customFormat="false" ht="15" hidden="false" customHeight="false" outlineLevel="0" collapsed="false">
      <c r="A278" s="12" t="n">
        <f aca="false">'📊 Risco por Setor'!$A$11</f>
        <v>0</v>
      </c>
      <c r="B278" s="13" t="s">
        <v>138</v>
      </c>
      <c r="C278" s="12" t="s">
        <v>137</v>
      </c>
      <c r="D278" s="20" t="s">
        <v>36</v>
      </c>
      <c r="E278" s="21" t="str">
        <f aca="false">IFERROR(AVERAGEIF('🔢 Cálculo'!$B$4:$B$203,'📊 Risco por Setor'!$A$11,'🔢 Cálculo'!$AF$4:$AF$203),"")</f>
        <v/>
      </c>
      <c r="F278" s="22" t="str">
        <f aca="false">IFERROR((5-E278)/4*100,"")</f>
        <v/>
      </c>
      <c r="G278" s="12" t="str">
        <f aca="false">IFERROR(IF(F278="","",IF(F278&lt;25,"Baixo",IF(F278&lt;50,"Moderado",IF(F278&lt;75,"Alto","Crítico")))),"N/A")</f>
        <v/>
      </c>
      <c r="H278" s="12" t="s">
        <v>67</v>
      </c>
    </row>
    <row r="279" customFormat="false" ht="15" hidden="false" customHeight="false" outlineLevel="0" collapsed="false">
      <c r="A279" s="15" t="n">
        <f aca="false">'📊 Risco por Setor'!$A$11</f>
        <v>0</v>
      </c>
      <c r="B279" s="5" t="s">
        <v>138</v>
      </c>
      <c r="C279" s="15" t="s">
        <v>140</v>
      </c>
      <c r="D279" s="23" t="s">
        <v>37</v>
      </c>
      <c r="E279" s="24" t="str">
        <f aca="false">IFERROR(AVERAGEIF('🔢 Cálculo'!$B$4:$B$203,'📊 Risco por Setor'!$A$11,'🔢 Cálculo'!$AG$4:$AG$203),"")</f>
        <v/>
      </c>
      <c r="F279" s="25" t="str">
        <f aca="false">IFERROR((E279-1)/4*100,"")</f>
        <v/>
      </c>
      <c r="G279" s="15" t="str">
        <f aca="false">IFERROR(IF(F279="","",IF(F279&lt;25,"Baixo",IF(F279&lt;50,"Moderado",IF(F279&lt;75,"Alto","Crítico")))),"N/A")</f>
        <v/>
      </c>
      <c r="H279" s="15" t="s">
        <v>63</v>
      </c>
    </row>
    <row r="280" customFormat="false" ht="15" hidden="false" customHeight="false" outlineLevel="0" collapsed="false">
      <c r="A280" s="12" t="n">
        <f aca="false">'📊 Risco por Setor'!$A$11</f>
        <v>0</v>
      </c>
      <c r="B280" s="13" t="s">
        <v>138</v>
      </c>
      <c r="C280" s="12" t="s">
        <v>142</v>
      </c>
      <c r="D280" s="20" t="s">
        <v>38</v>
      </c>
      <c r="E280" s="21" t="str">
        <f aca="false">IFERROR(AVERAGEIF('🔢 Cálculo'!$B$4:$B$203,'📊 Risco por Setor'!$A$11,'🔢 Cálculo'!$AH$4:$AH$203),"")</f>
        <v/>
      </c>
      <c r="F280" s="22" t="str">
        <f aca="false">IFERROR((E280-1)/4*100,"")</f>
        <v/>
      </c>
      <c r="G280" s="12" t="str">
        <f aca="false">IFERROR(IF(F280="","",IF(F280&lt;25,"Baixo",IF(F280&lt;50,"Moderado",IF(F280&lt;75,"Alto","Crítico")))),"N/A")</f>
        <v/>
      </c>
      <c r="H280" s="12" t="s">
        <v>63</v>
      </c>
    </row>
    <row r="281" customFormat="false" ht="15" hidden="false" customHeight="false" outlineLevel="0" collapsed="false">
      <c r="A281" s="15" t="n">
        <f aca="false">'📊 Risco por Setor'!$A$11</f>
        <v>0</v>
      </c>
      <c r="B281" s="5" t="s">
        <v>138</v>
      </c>
      <c r="C281" s="15" t="s">
        <v>144</v>
      </c>
      <c r="D281" s="23" t="s">
        <v>39</v>
      </c>
      <c r="E281" s="24" t="str">
        <f aca="false">IFERROR(AVERAGEIF('🔢 Cálculo'!$B$4:$B$203,'📊 Risco por Setor'!$A$11,'🔢 Cálculo'!$AI$4:$AI$203),"")</f>
        <v/>
      </c>
      <c r="F281" s="25" t="str">
        <f aca="false">IFERROR((E281-1)/4*100,"")</f>
        <v/>
      </c>
      <c r="G281" s="15" t="str">
        <f aca="false">IFERROR(IF(F281="","",IF(F281&lt;25,"Baixo",IF(F281&lt;50,"Moderado",IF(F281&lt;75,"Alto","Crítico")))),"N/A")</f>
        <v/>
      </c>
      <c r="H281" s="15" t="s">
        <v>63</v>
      </c>
    </row>
    <row r="282" customFormat="false" ht="15" hidden="false" customHeight="false" outlineLevel="0" collapsed="false">
      <c r="A282" s="12" t="n">
        <f aca="false">'📊 Risco por Setor'!$A$11</f>
        <v>0</v>
      </c>
      <c r="B282" s="13" t="s">
        <v>138</v>
      </c>
      <c r="C282" s="12" t="s">
        <v>146</v>
      </c>
      <c r="D282" s="20" t="s">
        <v>40</v>
      </c>
      <c r="E282" s="21" t="str">
        <f aca="false">IFERROR(AVERAGEIF('🔢 Cálculo'!$B$4:$B$203,'📊 Risco por Setor'!$A$11,'🔢 Cálculo'!$AJ$4:$AJ$203),"")</f>
        <v/>
      </c>
      <c r="F282" s="22" t="str">
        <f aca="false">IFERROR((E282-1)/4*100,"")</f>
        <v/>
      </c>
      <c r="G282" s="12" t="str">
        <f aca="false">IFERROR(IF(F282="","",IF(F282&lt;25,"Baixo",IF(F282&lt;50,"Moderado",IF(F282&lt;75,"Alto","Crítico")))),"N/A")</f>
        <v/>
      </c>
      <c r="H282" s="12" t="s">
        <v>63</v>
      </c>
    </row>
    <row r="283" customFormat="false" ht="15" hidden="false" customHeight="false" outlineLevel="0" collapsed="false">
      <c r="A283" s="15" t="n">
        <f aca="false">'📊 Risco por Setor'!$A$11</f>
        <v>0</v>
      </c>
      <c r="B283" s="5" t="s">
        <v>138</v>
      </c>
      <c r="C283" s="15" t="s">
        <v>148</v>
      </c>
      <c r="D283" s="23" t="s">
        <v>41</v>
      </c>
      <c r="E283" s="24" t="str">
        <f aca="false">IFERROR(AVERAGEIF('🔢 Cálculo'!$B$4:$B$203,'📊 Risco por Setor'!$A$11,'🔢 Cálculo'!$AK$4:$AK$203),"")</f>
        <v/>
      </c>
      <c r="F283" s="25" t="str">
        <f aca="false">IFERROR((E283-1)/4*100,"")</f>
        <v/>
      </c>
      <c r="G283" s="15" t="str">
        <f aca="false">IFERROR(IF(F283="","",IF(F283&lt;25,"Baixo",IF(F283&lt;50,"Moderado",IF(F283&lt;75,"Alto","Crítico")))),"N/A")</f>
        <v/>
      </c>
      <c r="H283" s="15" t="s">
        <v>63</v>
      </c>
    </row>
    <row r="284" customFormat="false" ht="15" hidden="false" customHeight="false" outlineLevel="0" collapsed="false">
      <c r="A284" s="12" t="n">
        <f aca="false">'📊 Risco por Setor'!$A$11</f>
        <v>0</v>
      </c>
      <c r="B284" s="13" t="s">
        <v>138</v>
      </c>
      <c r="C284" s="12" t="s">
        <v>150</v>
      </c>
      <c r="D284" s="20" t="s">
        <v>42</v>
      </c>
      <c r="E284" s="21" t="str">
        <f aca="false">IFERROR(AVERAGEIF('🔢 Cálculo'!$B$4:$B$203,'📊 Risco por Setor'!$A$11,'🔢 Cálculo'!$AL$4:$AL$203),"")</f>
        <v/>
      </c>
      <c r="F284" s="22" t="str">
        <f aca="false">IFERROR((E284-1)/4*100,"")</f>
        <v/>
      </c>
      <c r="G284" s="12" t="str">
        <f aca="false">IFERROR(IF(F284="","",IF(F284&lt;25,"Baixo",IF(F284&lt;50,"Moderado",IF(F284&lt;75,"Alto","Crítico")))),"N/A")</f>
        <v/>
      </c>
      <c r="H284" s="12" t="s">
        <v>63</v>
      </c>
    </row>
    <row r="285" customFormat="false" ht="15" hidden="false" customHeight="false" outlineLevel="0" collapsed="false">
      <c r="A285" s="15" t="n">
        <f aca="false">'📊 Risco por Setor'!$A$11</f>
        <v>0</v>
      </c>
      <c r="B285" s="5" t="s">
        <v>138</v>
      </c>
      <c r="C285" s="15" t="s">
        <v>152</v>
      </c>
      <c r="D285" s="23" t="s">
        <v>43</v>
      </c>
      <c r="E285" s="24" t="str">
        <f aca="false">IFERROR(AVERAGEIF('🔢 Cálculo'!$B$4:$B$203,'📊 Risco por Setor'!$A$11,'🔢 Cálculo'!$AM$4:$AM$203),"")</f>
        <v/>
      </c>
      <c r="F285" s="25" t="str">
        <f aca="false">IFERROR((E285-1)/4*100,"")</f>
        <v/>
      </c>
      <c r="G285" s="15" t="str">
        <f aca="false">IFERROR(IF(F285="","",IF(F285&lt;25,"Baixo",IF(F285&lt;50,"Moderado",IF(F285&lt;75,"Alto","Crítico")))),"N/A")</f>
        <v/>
      </c>
      <c r="H285" s="15" t="s">
        <v>63</v>
      </c>
    </row>
    <row r="286" customFormat="false" ht="15" hidden="false" customHeight="false" outlineLevel="0" collapsed="false">
      <c r="A286" s="12" t="n">
        <f aca="false">'📊 Risco por Setor'!$A$11</f>
        <v>0</v>
      </c>
      <c r="B286" s="13" t="s">
        <v>138</v>
      </c>
      <c r="C286" s="12" t="s">
        <v>154</v>
      </c>
      <c r="D286" s="20" t="s">
        <v>44</v>
      </c>
      <c r="E286" s="21" t="str">
        <f aca="false">IFERROR(AVERAGEIF('🔢 Cálculo'!$B$4:$B$203,'📊 Risco por Setor'!$A$11,'🔢 Cálculo'!$AN$4:$AN$203),"")</f>
        <v/>
      </c>
      <c r="F286" s="22" t="str">
        <f aca="false">IFERROR((E286-1)/4*100,"")</f>
        <v/>
      </c>
      <c r="G286" s="12" t="str">
        <f aca="false">IFERROR(IF(F286="","",IF(F286&lt;25,"Baixo",IF(F286&lt;50,"Moderado",IF(F286&lt;75,"Alto","Crítico")))),"N/A")</f>
        <v/>
      </c>
      <c r="H286" s="12" t="s">
        <v>63</v>
      </c>
    </row>
    <row r="287" customFormat="false" ht="15" hidden="false" customHeight="false" outlineLevel="0" collapsed="false">
      <c r="A287" s="15" t="n">
        <f aca="false">'📊 Risco por Setor'!$A$11</f>
        <v>0</v>
      </c>
      <c r="B287" s="5" t="s">
        <v>157</v>
      </c>
      <c r="C287" s="15" t="s">
        <v>156</v>
      </c>
      <c r="D287" s="23" t="s">
        <v>45</v>
      </c>
      <c r="E287" s="24" t="str">
        <f aca="false">IFERROR(AVERAGEIF('🔢 Cálculo'!$B$4:$B$203,'📊 Risco por Setor'!$A$11,'🔢 Cálculo'!$AO$4:$AO$203),"")</f>
        <v/>
      </c>
      <c r="F287" s="25" t="str">
        <f aca="false">IFERROR((E287-1)/4*100,"")</f>
        <v/>
      </c>
      <c r="G287" s="15" t="str">
        <f aca="false">IFERROR(IF(F287="","",IF(F287&lt;25,"Baixo",IF(F287&lt;50,"Moderado",IF(F287&lt;75,"Alto","Crítico")))),"N/A")</f>
        <v/>
      </c>
      <c r="H287" s="15" t="s">
        <v>63</v>
      </c>
    </row>
    <row r="288" customFormat="false" ht="15" hidden="false" customHeight="false" outlineLevel="0" collapsed="false">
      <c r="A288" s="12" t="n">
        <f aca="false">'📊 Risco por Setor'!$A$11</f>
        <v>0</v>
      </c>
      <c r="B288" s="13" t="s">
        <v>157</v>
      </c>
      <c r="C288" s="12" t="s">
        <v>159</v>
      </c>
      <c r="D288" s="20" t="s">
        <v>46</v>
      </c>
      <c r="E288" s="21" t="str">
        <f aca="false">IFERROR(AVERAGEIF('🔢 Cálculo'!$B$4:$B$203,'📊 Risco por Setor'!$A$11,'🔢 Cálculo'!$AP$4:$AP$203),"")</f>
        <v/>
      </c>
      <c r="F288" s="22" t="str">
        <f aca="false">IFERROR((E288-1)/4*100,"")</f>
        <v/>
      </c>
      <c r="G288" s="12" t="str">
        <f aca="false">IFERROR(IF(F288="","",IF(F288&lt;25,"Baixo",IF(F288&lt;50,"Moderado",IF(F288&lt;75,"Alto","Crítico")))),"N/A")</f>
        <v/>
      </c>
      <c r="H288" s="12" t="s">
        <v>63</v>
      </c>
    </row>
    <row r="289" customFormat="false" ht="15" hidden="false" customHeight="false" outlineLevel="0" collapsed="false">
      <c r="A289" s="15" t="n">
        <f aca="false">'📊 Risco por Setor'!$A$11</f>
        <v>0</v>
      </c>
      <c r="B289" s="5" t="s">
        <v>157</v>
      </c>
      <c r="C289" s="15" t="s">
        <v>161</v>
      </c>
      <c r="D289" s="23" t="s">
        <v>47</v>
      </c>
      <c r="E289" s="24" t="str">
        <f aca="false">IFERROR(AVERAGEIF('🔢 Cálculo'!$B$4:$B$203,'📊 Risco por Setor'!$A$11,'🔢 Cálculo'!$AQ$4:$AQ$203),"")</f>
        <v/>
      </c>
      <c r="F289" s="25" t="str">
        <f aca="false">IFERROR((E289-1)/4*100,"")</f>
        <v/>
      </c>
      <c r="G289" s="15" t="str">
        <f aca="false">IFERROR(IF(F289="","",IF(F289&lt;25,"Baixo",IF(F289&lt;50,"Moderado",IF(F289&lt;75,"Alto","Crítico")))),"N/A")</f>
        <v/>
      </c>
      <c r="H289" s="15" t="s">
        <v>63</v>
      </c>
    </row>
    <row r="290" customFormat="false" ht="15" hidden="false" customHeight="false" outlineLevel="0" collapsed="false">
      <c r="A290" s="12" t="n">
        <f aca="false">'📊 Risco por Setor'!$A$11</f>
        <v>0</v>
      </c>
      <c r="B290" s="13" t="s">
        <v>157</v>
      </c>
      <c r="C290" s="12" t="s">
        <v>163</v>
      </c>
      <c r="D290" s="20" t="s">
        <v>48</v>
      </c>
      <c r="E290" s="21" t="str">
        <f aca="false">IFERROR(AVERAGEIF('🔢 Cálculo'!$B$4:$B$203,'📊 Risco por Setor'!$A$11,'🔢 Cálculo'!$AR$4:$AR$203),"")</f>
        <v/>
      </c>
      <c r="F290" s="22" t="str">
        <f aca="false">IFERROR((E290-1)/4*100,"")</f>
        <v/>
      </c>
      <c r="G290" s="12" t="str">
        <f aca="false">IFERROR(IF(F290="","",IF(F290&lt;25,"Baixo",IF(F290&lt;50,"Moderado",IF(F290&lt;75,"Alto","Crítico")))),"N/A")</f>
        <v/>
      </c>
      <c r="H290" s="12" t="s">
        <v>63</v>
      </c>
    </row>
    <row r="291" customFormat="false" ht="15" hidden="false" customHeight="false" outlineLevel="0" collapsed="false">
      <c r="A291" s="15" t="n">
        <f aca="false">'📊 Risco por Setor'!$A$12</f>
        <v>0</v>
      </c>
      <c r="B291" s="5" t="s">
        <v>61</v>
      </c>
      <c r="C291" s="15" t="s">
        <v>60</v>
      </c>
      <c r="D291" s="23" t="s">
        <v>8</v>
      </c>
      <c r="E291" s="24" t="str">
        <f aca="false">IFERROR(AVERAGEIF('🔢 Cálculo'!$B$4:$B$203,'📊 Risco por Setor'!$A$12,'🔢 Cálculo'!$D$4:$D$203),"")</f>
        <v/>
      </c>
      <c r="F291" s="25" t="str">
        <f aca="false">IFERROR((E291-1)/4*100,"")</f>
        <v/>
      </c>
      <c r="G291" s="15" t="str">
        <f aca="false">IFERROR(IF(F291="","",IF(F291&lt;25,"Baixo",IF(F291&lt;50,"Moderado",IF(F291&lt;75,"Alto","Crítico")))),"N/A")</f>
        <v/>
      </c>
      <c r="H291" s="15" t="s">
        <v>63</v>
      </c>
    </row>
    <row r="292" customFormat="false" ht="15" hidden="false" customHeight="false" outlineLevel="0" collapsed="false">
      <c r="A292" s="12" t="n">
        <f aca="false">'📊 Risco por Setor'!$A$12</f>
        <v>0</v>
      </c>
      <c r="B292" s="13" t="s">
        <v>61</v>
      </c>
      <c r="C292" s="12" t="s">
        <v>66</v>
      </c>
      <c r="D292" s="20" t="s">
        <v>9</v>
      </c>
      <c r="E292" s="21" t="str">
        <f aca="false">IFERROR(AVERAGEIF('🔢 Cálculo'!$B$4:$B$203,'📊 Risco por Setor'!$A$12,'🔢 Cálculo'!$E$4:$E$203),"")</f>
        <v/>
      </c>
      <c r="F292" s="22" t="str">
        <f aca="false">IFERROR((E292-1)/4*100,"")</f>
        <v/>
      </c>
      <c r="G292" s="12" t="str">
        <f aca="false">IFERROR(IF(F292="","",IF(F292&lt;25,"Baixo",IF(F292&lt;50,"Moderado",IF(F292&lt;75,"Alto","Crítico")))),"N/A")</f>
        <v/>
      </c>
      <c r="H292" s="12" t="s">
        <v>63</v>
      </c>
    </row>
    <row r="293" customFormat="false" ht="15" hidden="false" customHeight="false" outlineLevel="0" collapsed="false">
      <c r="A293" s="15" t="n">
        <f aca="false">'📊 Risco por Setor'!$A$12</f>
        <v>0</v>
      </c>
      <c r="B293" s="5" t="s">
        <v>61</v>
      </c>
      <c r="C293" s="15" t="s">
        <v>70</v>
      </c>
      <c r="D293" s="23" t="s">
        <v>10</v>
      </c>
      <c r="E293" s="24" t="str">
        <f aca="false">IFERROR(AVERAGEIF('🔢 Cálculo'!$B$4:$B$203,'📊 Risco por Setor'!$A$12,'🔢 Cálculo'!$F$4:$F$203),"")</f>
        <v/>
      </c>
      <c r="F293" s="25" t="str">
        <f aca="false">IFERROR((E293-1)/4*100,"")</f>
        <v/>
      </c>
      <c r="G293" s="15" t="str">
        <f aca="false">IFERROR(IF(F293="","",IF(F293&lt;25,"Baixo",IF(F293&lt;50,"Moderado",IF(F293&lt;75,"Alto","Crítico")))),"N/A")</f>
        <v/>
      </c>
      <c r="H293" s="15" t="s">
        <v>63</v>
      </c>
    </row>
    <row r="294" customFormat="false" ht="15" hidden="false" customHeight="false" outlineLevel="0" collapsed="false">
      <c r="A294" s="12" t="n">
        <f aca="false">'📊 Risco por Setor'!$A$12</f>
        <v>0</v>
      </c>
      <c r="B294" s="13" t="s">
        <v>61</v>
      </c>
      <c r="C294" s="12" t="s">
        <v>74</v>
      </c>
      <c r="D294" s="20" t="s">
        <v>11</v>
      </c>
      <c r="E294" s="21" t="str">
        <f aca="false">IFERROR(AVERAGEIF('🔢 Cálculo'!$B$4:$B$203,'📊 Risco por Setor'!$A$12,'🔢 Cálculo'!$G$4:$G$203),"")</f>
        <v/>
      </c>
      <c r="F294" s="22" t="str">
        <f aca="false">IFERROR((E294-1)/4*100,"")</f>
        <v/>
      </c>
      <c r="G294" s="12" t="str">
        <f aca="false">IFERROR(IF(F294="","",IF(F294&lt;25,"Baixo",IF(F294&lt;50,"Moderado",IF(F294&lt;75,"Alto","Crítico")))),"N/A")</f>
        <v/>
      </c>
      <c r="H294" s="12" t="s">
        <v>63</v>
      </c>
    </row>
    <row r="295" customFormat="false" ht="15" hidden="false" customHeight="false" outlineLevel="0" collapsed="false">
      <c r="A295" s="15" t="n">
        <f aca="false">'📊 Risco por Setor'!$A$12</f>
        <v>0</v>
      </c>
      <c r="B295" s="5" t="s">
        <v>61</v>
      </c>
      <c r="C295" s="15" t="s">
        <v>78</v>
      </c>
      <c r="D295" s="23" t="s">
        <v>12</v>
      </c>
      <c r="E295" s="24" t="str">
        <f aca="false">IFERROR(AVERAGEIF('🔢 Cálculo'!$B$4:$B$203,'📊 Risco por Setor'!$A$12,'🔢 Cálculo'!$H$4:$H$203),"")</f>
        <v/>
      </c>
      <c r="F295" s="25" t="str">
        <f aca="false">IFERROR((E295-1)/4*100,"")</f>
        <v/>
      </c>
      <c r="G295" s="15" t="str">
        <f aca="false">IFERROR(IF(F295="","",IF(F295&lt;25,"Baixo",IF(F295&lt;50,"Moderado",IF(F295&lt;75,"Alto","Crítico")))),"N/A")</f>
        <v/>
      </c>
      <c r="H295" s="15" t="s">
        <v>63</v>
      </c>
    </row>
    <row r="296" customFormat="false" ht="15" hidden="false" customHeight="false" outlineLevel="0" collapsed="false">
      <c r="A296" s="12" t="n">
        <f aca="false">'📊 Risco por Setor'!$A$12</f>
        <v>0</v>
      </c>
      <c r="B296" s="13" t="s">
        <v>61</v>
      </c>
      <c r="C296" s="12" t="s">
        <v>82</v>
      </c>
      <c r="D296" s="20" t="s">
        <v>13</v>
      </c>
      <c r="E296" s="21" t="str">
        <f aca="false">IFERROR(AVERAGEIF('🔢 Cálculo'!$B$4:$B$203,'📊 Risco por Setor'!$A$12,'🔢 Cálculo'!$I$4:$I$203),"")</f>
        <v/>
      </c>
      <c r="F296" s="22" t="str">
        <f aca="false">IFERROR((E296-1)/4*100,"")</f>
        <v/>
      </c>
      <c r="G296" s="12" t="str">
        <f aca="false">IFERROR(IF(F296="","",IF(F296&lt;25,"Baixo",IF(F296&lt;50,"Moderado",IF(F296&lt;75,"Alto","Crítico")))),"N/A")</f>
        <v/>
      </c>
      <c r="H296" s="12" t="s">
        <v>63</v>
      </c>
    </row>
    <row r="297" customFormat="false" ht="15" hidden="false" customHeight="false" outlineLevel="0" collapsed="false">
      <c r="A297" s="15" t="n">
        <f aca="false">'📊 Risco por Setor'!$A$12</f>
        <v>0</v>
      </c>
      <c r="B297" s="5" t="s">
        <v>87</v>
      </c>
      <c r="C297" s="15" t="s">
        <v>86</v>
      </c>
      <c r="D297" s="23" t="s">
        <v>14</v>
      </c>
      <c r="E297" s="24" t="str">
        <f aca="false">IFERROR(AVERAGEIF('🔢 Cálculo'!$B$4:$B$203,'📊 Risco por Setor'!$A$12,'🔢 Cálculo'!$J$4:$J$203),"")</f>
        <v/>
      </c>
      <c r="F297" s="25" t="str">
        <f aca="false">IFERROR((5-E297)/4*100,"")</f>
        <v/>
      </c>
      <c r="G297" s="15" t="str">
        <f aca="false">IFERROR(IF(F297="","",IF(F297&lt;25,"Baixo",IF(F297&lt;50,"Moderado",IF(F297&lt;75,"Alto","Crítico")))),"N/A")</f>
        <v/>
      </c>
      <c r="H297" s="15" t="s">
        <v>89</v>
      </c>
    </row>
    <row r="298" customFormat="false" ht="15" hidden="false" customHeight="false" outlineLevel="0" collapsed="false">
      <c r="A298" s="12" t="n">
        <f aca="false">'📊 Risco por Setor'!$A$12</f>
        <v>0</v>
      </c>
      <c r="B298" s="13" t="s">
        <v>87</v>
      </c>
      <c r="C298" s="12" t="s">
        <v>92</v>
      </c>
      <c r="D298" s="20" t="s">
        <v>15</v>
      </c>
      <c r="E298" s="21" t="str">
        <f aca="false">IFERROR(AVERAGEIF('🔢 Cálculo'!$B$4:$B$203,'📊 Risco por Setor'!$A$12,'🔢 Cálculo'!$K$4:$K$203),"")</f>
        <v/>
      </c>
      <c r="F298" s="22" t="str">
        <f aca="false">IFERROR((5-E298)/4*100,"")</f>
        <v/>
      </c>
      <c r="G298" s="12" t="str">
        <f aca="false">IFERROR(IF(F298="","",IF(F298&lt;25,"Baixo",IF(F298&lt;50,"Moderado",IF(F298&lt;75,"Alto","Crítico")))),"N/A")</f>
        <v/>
      </c>
      <c r="H298" s="12" t="s">
        <v>89</v>
      </c>
    </row>
    <row r="299" customFormat="false" ht="15" hidden="false" customHeight="false" outlineLevel="0" collapsed="false">
      <c r="A299" s="15" t="n">
        <f aca="false">'📊 Risco por Setor'!$A$12</f>
        <v>0</v>
      </c>
      <c r="B299" s="5" t="s">
        <v>87</v>
      </c>
      <c r="C299" s="15" t="s">
        <v>94</v>
      </c>
      <c r="D299" s="23" t="s">
        <v>16</v>
      </c>
      <c r="E299" s="24" t="str">
        <f aca="false">IFERROR(AVERAGEIF('🔢 Cálculo'!$B$4:$B$203,'📊 Risco por Setor'!$A$12,'🔢 Cálculo'!$L$4:$L$203),"")</f>
        <v/>
      </c>
      <c r="F299" s="25" t="str">
        <f aca="false">IFERROR((5-E299)/4*100,"")</f>
        <v/>
      </c>
      <c r="G299" s="15" t="str">
        <f aca="false">IFERROR(IF(F299="","",IF(F299&lt;25,"Baixo",IF(F299&lt;50,"Moderado",IF(F299&lt;75,"Alto","Crítico")))),"N/A")</f>
        <v/>
      </c>
      <c r="H299" s="15" t="s">
        <v>89</v>
      </c>
    </row>
    <row r="300" customFormat="false" ht="15" hidden="false" customHeight="false" outlineLevel="0" collapsed="false">
      <c r="A300" s="12" t="n">
        <f aca="false">'📊 Risco por Setor'!$A$12</f>
        <v>0</v>
      </c>
      <c r="B300" s="13" t="s">
        <v>87</v>
      </c>
      <c r="C300" s="12" t="s">
        <v>97</v>
      </c>
      <c r="D300" s="20" t="s">
        <v>17</v>
      </c>
      <c r="E300" s="21" t="str">
        <f aca="false">IFERROR(AVERAGEIF('🔢 Cálculo'!$B$4:$B$203,'📊 Risco por Setor'!$A$12,'🔢 Cálculo'!$M$4:$M$203),"")</f>
        <v/>
      </c>
      <c r="F300" s="22" t="str">
        <f aca="false">IFERROR((5-E300)/4*100,"")</f>
        <v/>
      </c>
      <c r="G300" s="12" t="str">
        <f aca="false">IFERROR(IF(F300="","",IF(F300&lt;25,"Baixo",IF(F300&lt;50,"Moderado",IF(F300&lt;75,"Alto","Crítico")))),"N/A")</f>
        <v/>
      </c>
      <c r="H300" s="12" t="s">
        <v>89</v>
      </c>
    </row>
    <row r="301" customFormat="false" ht="15" hidden="false" customHeight="false" outlineLevel="0" collapsed="false">
      <c r="A301" s="15" t="n">
        <f aca="false">'📊 Risco por Setor'!$A$12</f>
        <v>0</v>
      </c>
      <c r="B301" s="5" t="s">
        <v>87</v>
      </c>
      <c r="C301" s="15" t="s">
        <v>98</v>
      </c>
      <c r="D301" s="23" t="s">
        <v>18</v>
      </c>
      <c r="E301" s="24" t="str">
        <f aca="false">IFERROR(AVERAGEIF('🔢 Cálculo'!$B$4:$B$203,'📊 Risco por Setor'!$A$12,'🔢 Cálculo'!$N$4:$N$203),"")</f>
        <v/>
      </c>
      <c r="F301" s="25" t="str">
        <f aca="false">IFERROR((5-E301)/4*100,"")</f>
        <v/>
      </c>
      <c r="G301" s="15" t="str">
        <f aca="false">IFERROR(IF(F301="","",IF(F301&lt;25,"Baixo",IF(F301&lt;50,"Moderado",IF(F301&lt;75,"Alto","Crítico")))),"N/A")</f>
        <v/>
      </c>
      <c r="H301" s="15" t="s">
        <v>89</v>
      </c>
    </row>
    <row r="302" customFormat="false" ht="15" hidden="false" customHeight="false" outlineLevel="0" collapsed="false">
      <c r="A302" s="12" t="n">
        <f aca="false">'📊 Risco por Setor'!$A$12</f>
        <v>0</v>
      </c>
      <c r="B302" s="13" t="s">
        <v>87</v>
      </c>
      <c r="C302" s="12" t="s">
        <v>100</v>
      </c>
      <c r="D302" s="20" t="s">
        <v>19</v>
      </c>
      <c r="E302" s="21" t="str">
        <f aca="false">IFERROR(AVERAGEIF('🔢 Cálculo'!$B$4:$B$203,'📊 Risco por Setor'!$A$12,'🔢 Cálculo'!$O$4:$O$203),"")</f>
        <v/>
      </c>
      <c r="F302" s="22" t="str">
        <f aca="false">IFERROR((5-E302)/4*100,"")</f>
        <v/>
      </c>
      <c r="G302" s="12" t="str">
        <f aca="false">IFERROR(IF(F302="","",IF(F302&lt;25,"Baixo",IF(F302&lt;50,"Moderado",IF(F302&lt;75,"Alto","Crítico")))),"N/A")</f>
        <v/>
      </c>
      <c r="H302" s="12" t="s">
        <v>89</v>
      </c>
    </row>
    <row r="303" customFormat="false" ht="15" hidden="false" customHeight="false" outlineLevel="0" collapsed="false">
      <c r="A303" s="15" t="n">
        <f aca="false">'📊 Risco por Setor'!$A$12</f>
        <v>0</v>
      </c>
      <c r="B303" s="5" t="s">
        <v>103</v>
      </c>
      <c r="C303" s="15" t="s">
        <v>102</v>
      </c>
      <c r="D303" s="23" t="s">
        <v>20</v>
      </c>
      <c r="E303" s="24" t="str">
        <f aca="false">IFERROR(AVERAGEIF('🔢 Cálculo'!$B$4:$B$203,'📊 Risco por Setor'!$A$12,'🔢 Cálculo'!$P$4:$P$203),"")</f>
        <v/>
      </c>
      <c r="F303" s="25" t="str">
        <f aca="false">IFERROR((5-E303)/4*100,"")</f>
        <v/>
      </c>
      <c r="G303" s="15" t="str">
        <f aca="false">IFERROR(IF(F303="","",IF(F303&lt;25,"Baixo",IF(F303&lt;50,"Moderado",IF(F303&lt;75,"Alto","Crítico")))),"N/A")</f>
        <v/>
      </c>
      <c r="H303" s="15" t="s">
        <v>89</v>
      </c>
    </row>
    <row r="304" customFormat="false" ht="15" hidden="false" customHeight="false" outlineLevel="0" collapsed="false">
      <c r="A304" s="12" t="n">
        <f aca="false">'📊 Risco por Setor'!$A$12</f>
        <v>0</v>
      </c>
      <c r="B304" s="13" t="s">
        <v>103</v>
      </c>
      <c r="C304" s="12" t="s">
        <v>105</v>
      </c>
      <c r="D304" s="20" t="s">
        <v>21</v>
      </c>
      <c r="E304" s="21" t="str">
        <f aca="false">IFERROR(AVERAGEIF('🔢 Cálculo'!$B$4:$B$203,'📊 Risco por Setor'!$A$12,'🔢 Cálculo'!$Q$4:$Q$203),"")</f>
        <v/>
      </c>
      <c r="F304" s="22" t="str">
        <f aca="false">IFERROR((5-E304)/4*100,"")</f>
        <v/>
      </c>
      <c r="G304" s="12" t="str">
        <f aca="false">IFERROR(IF(F304="","",IF(F304&lt;25,"Baixo",IF(F304&lt;50,"Moderado",IF(F304&lt;75,"Alto","Crítico")))),"N/A")</f>
        <v/>
      </c>
      <c r="H304" s="12" t="s">
        <v>89</v>
      </c>
    </row>
    <row r="305" customFormat="false" ht="15" hidden="false" customHeight="false" outlineLevel="0" collapsed="false">
      <c r="A305" s="15" t="n">
        <f aca="false">'📊 Risco por Setor'!$A$12</f>
        <v>0</v>
      </c>
      <c r="B305" s="5" t="s">
        <v>103</v>
      </c>
      <c r="C305" s="15" t="s">
        <v>107</v>
      </c>
      <c r="D305" s="23" t="s">
        <v>22</v>
      </c>
      <c r="E305" s="24" t="str">
        <f aca="false">IFERROR(AVERAGEIF('🔢 Cálculo'!$B$4:$B$203,'📊 Risco por Setor'!$A$12,'🔢 Cálculo'!$R$4:$R$203),"")</f>
        <v/>
      </c>
      <c r="F305" s="25" t="str">
        <f aca="false">IFERROR((5-E305)/4*100,"")</f>
        <v/>
      </c>
      <c r="G305" s="15" t="str">
        <f aca="false">IFERROR(IF(F305="","",IF(F305&lt;25,"Baixo",IF(F305&lt;50,"Moderado",IF(F305&lt;75,"Alto","Crítico")))),"N/A")</f>
        <v/>
      </c>
      <c r="H305" s="15" t="s">
        <v>89</v>
      </c>
    </row>
    <row r="306" customFormat="false" ht="15" hidden="false" customHeight="false" outlineLevel="0" collapsed="false">
      <c r="A306" s="12" t="n">
        <f aca="false">'📊 Risco por Setor'!$A$12</f>
        <v>0</v>
      </c>
      <c r="B306" s="13" t="s">
        <v>103</v>
      </c>
      <c r="C306" s="12" t="s">
        <v>109</v>
      </c>
      <c r="D306" s="20" t="s">
        <v>23</v>
      </c>
      <c r="E306" s="21" t="str">
        <f aca="false">IFERROR(AVERAGEIF('🔢 Cálculo'!$B$4:$B$203,'📊 Risco por Setor'!$A$12,'🔢 Cálculo'!$S$4:$S$203),"")</f>
        <v/>
      </c>
      <c r="F306" s="22" t="str">
        <f aca="false">IFERROR((5-E306)/4*100,"")</f>
        <v/>
      </c>
      <c r="G306" s="12" t="str">
        <f aca="false">IFERROR(IF(F306="","",IF(F306&lt;25,"Baixo",IF(F306&lt;50,"Moderado",IF(F306&lt;75,"Alto","Crítico")))),"N/A")</f>
        <v/>
      </c>
      <c r="H306" s="12" t="s">
        <v>89</v>
      </c>
    </row>
    <row r="307" customFormat="false" ht="15" hidden="false" customHeight="false" outlineLevel="0" collapsed="false">
      <c r="A307" s="15" t="n">
        <f aca="false">'📊 Risco por Setor'!$A$12</f>
        <v>0</v>
      </c>
      <c r="B307" s="5" t="s">
        <v>103</v>
      </c>
      <c r="C307" s="15" t="s">
        <v>111</v>
      </c>
      <c r="D307" s="23" t="s">
        <v>24</v>
      </c>
      <c r="E307" s="24" t="str">
        <f aca="false">IFERROR(AVERAGEIF('🔢 Cálculo'!$B$4:$B$203,'📊 Risco por Setor'!$A$12,'🔢 Cálculo'!$T$4:$T$203),"")</f>
        <v/>
      </c>
      <c r="F307" s="25" t="str">
        <f aca="false">IFERROR((5-E307)/4*100,"")</f>
        <v/>
      </c>
      <c r="G307" s="15" t="str">
        <f aca="false">IFERROR(IF(F307="","",IF(F307&lt;25,"Baixo",IF(F307&lt;50,"Moderado",IF(F307&lt;75,"Alto","Crítico")))),"N/A")</f>
        <v/>
      </c>
      <c r="H307" s="15" t="s">
        <v>89</v>
      </c>
    </row>
    <row r="308" customFormat="false" ht="15" hidden="false" customHeight="false" outlineLevel="0" collapsed="false">
      <c r="A308" s="12" t="n">
        <f aca="false">'📊 Risco por Setor'!$A$12</f>
        <v>0</v>
      </c>
      <c r="B308" s="13" t="s">
        <v>103</v>
      </c>
      <c r="C308" s="12" t="s">
        <v>113</v>
      </c>
      <c r="D308" s="20" t="s">
        <v>25</v>
      </c>
      <c r="E308" s="21" t="str">
        <f aca="false">IFERROR(AVERAGEIF('🔢 Cálculo'!$B$4:$B$203,'📊 Risco por Setor'!$A$12,'🔢 Cálculo'!$U$4:$U$203),"")</f>
        <v/>
      </c>
      <c r="F308" s="22" t="str">
        <f aca="false">IFERROR((5-E308)/4*100,"")</f>
        <v/>
      </c>
      <c r="G308" s="12" t="str">
        <f aca="false">IFERROR(IF(F308="","",IF(F308&lt;25,"Baixo",IF(F308&lt;50,"Moderado",IF(F308&lt;75,"Alto","Crítico")))),"N/A")</f>
        <v/>
      </c>
      <c r="H308" s="12" t="s">
        <v>89</v>
      </c>
    </row>
    <row r="309" customFormat="false" ht="15" hidden="false" customHeight="false" outlineLevel="0" collapsed="false">
      <c r="A309" s="15" t="n">
        <f aca="false">'📊 Risco por Setor'!$A$12</f>
        <v>0</v>
      </c>
      <c r="B309" s="5" t="s">
        <v>116</v>
      </c>
      <c r="C309" s="15" t="s">
        <v>115</v>
      </c>
      <c r="D309" s="23" t="s">
        <v>26</v>
      </c>
      <c r="E309" s="24" t="str">
        <f aca="false">IFERROR(AVERAGEIF('🔢 Cálculo'!$B$4:$B$203,'📊 Risco por Setor'!$A$12,'🔢 Cálculo'!$V$4:$V$203),"")</f>
        <v/>
      </c>
      <c r="F309" s="25" t="str">
        <f aca="false">IFERROR((5-E309)/4*100,"")</f>
        <v/>
      </c>
      <c r="G309" s="15" t="str">
        <f aca="false">IFERROR(IF(F309="","",IF(F309&lt;25,"Baixo",IF(F309&lt;50,"Moderado",IF(F309&lt;75,"Alto","Crítico")))),"N/A")</f>
        <v/>
      </c>
      <c r="H309" s="15" t="s">
        <v>89</v>
      </c>
    </row>
    <row r="310" customFormat="false" ht="15" hidden="false" customHeight="false" outlineLevel="0" collapsed="false">
      <c r="A310" s="12" t="n">
        <f aca="false">'📊 Risco por Setor'!$A$12</f>
        <v>0</v>
      </c>
      <c r="B310" s="13" t="s">
        <v>116</v>
      </c>
      <c r="C310" s="12" t="s">
        <v>118</v>
      </c>
      <c r="D310" s="20" t="s">
        <v>27</v>
      </c>
      <c r="E310" s="21" t="str">
        <f aca="false">IFERROR(AVERAGEIF('🔢 Cálculo'!$B$4:$B$203,'📊 Risco por Setor'!$A$12,'🔢 Cálculo'!$W$4:$W$203),"")</f>
        <v/>
      </c>
      <c r="F310" s="22" t="str">
        <f aca="false">IFERROR((5-E310)/4*100,"")</f>
        <v/>
      </c>
      <c r="G310" s="12" t="str">
        <f aca="false">IFERROR(IF(F310="","",IF(F310&lt;25,"Baixo",IF(F310&lt;50,"Moderado",IF(F310&lt;75,"Alto","Crítico")))),"N/A")</f>
        <v/>
      </c>
      <c r="H310" s="12" t="s">
        <v>89</v>
      </c>
    </row>
    <row r="311" customFormat="false" ht="15" hidden="false" customHeight="false" outlineLevel="0" collapsed="false">
      <c r="A311" s="15" t="n">
        <f aca="false">'📊 Risco por Setor'!$A$12</f>
        <v>0</v>
      </c>
      <c r="B311" s="5" t="s">
        <v>116</v>
      </c>
      <c r="C311" s="15" t="s">
        <v>120</v>
      </c>
      <c r="D311" s="23" t="s">
        <v>28</v>
      </c>
      <c r="E311" s="24" t="str">
        <f aca="false">IFERROR(AVERAGEIF('🔢 Cálculo'!$B$4:$B$203,'📊 Risco por Setor'!$A$12,'🔢 Cálculo'!$X$4:$X$203),"")</f>
        <v/>
      </c>
      <c r="F311" s="25" t="str">
        <f aca="false">IFERROR((5-E311)/4*100,"")</f>
        <v/>
      </c>
      <c r="G311" s="15" t="str">
        <f aca="false">IFERROR(IF(F311="","",IF(F311&lt;25,"Baixo",IF(F311&lt;50,"Moderado",IF(F311&lt;75,"Alto","Crítico")))),"N/A")</f>
        <v/>
      </c>
      <c r="H311" s="15" t="s">
        <v>89</v>
      </c>
    </row>
    <row r="312" customFormat="false" ht="15" hidden="false" customHeight="false" outlineLevel="0" collapsed="false">
      <c r="A312" s="12" t="n">
        <f aca="false">'📊 Risco por Setor'!$A$12</f>
        <v>0</v>
      </c>
      <c r="B312" s="13" t="s">
        <v>116</v>
      </c>
      <c r="C312" s="12" t="s">
        <v>122</v>
      </c>
      <c r="D312" s="20" t="s">
        <v>29</v>
      </c>
      <c r="E312" s="21" t="str">
        <f aca="false">IFERROR(AVERAGEIF('🔢 Cálculo'!$B$4:$B$203,'📊 Risco por Setor'!$A$12,'🔢 Cálculo'!$Y$4:$Y$203),"")</f>
        <v/>
      </c>
      <c r="F312" s="22" t="str">
        <f aca="false">IFERROR((5-E312)/4*100,"")</f>
        <v/>
      </c>
      <c r="G312" s="12" t="str">
        <f aca="false">IFERROR(IF(F312="","",IF(F312&lt;25,"Baixo",IF(F312&lt;50,"Moderado",IF(F312&lt;75,"Alto","Crítico")))),"N/A")</f>
        <v/>
      </c>
      <c r="H312" s="12" t="s">
        <v>89</v>
      </c>
    </row>
    <row r="313" customFormat="false" ht="15" hidden="false" customHeight="false" outlineLevel="0" collapsed="false">
      <c r="A313" s="15" t="n">
        <f aca="false">'📊 Risco por Setor'!$A$12</f>
        <v>0</v>
      </c>
      <c r="B313" s="5" t="s">
        <v>116</v>
      </c>
      <c r="C313" s="15" t="s">
        <v>124</v>
      </c>
      <c r="D313" s="23" t="s">
        <v>30</v>
      </c>
      <c r="E313" s="24" t="str">
        <f aca="false">IFERROR(AVERAGEIF('🔢 Cálculo'!$B$4:$B$203,'📊 Risco por Setor'!$A$12,'🔢 Cálculo'!$Z$4:$Z$203),"")</f>
        <v/>
      </c>
      <c r="F313" s="25" t="str">
        <f aca="false">IFERROR((5-E313)/4*100,"")</f>
        <v/>
      </c>
      <c r="G313" s="15" t="str">
        <f aca="false">IFERROR(IF(F313="","",IF(F313&lt;25,"Baixo",IF(F313&lt;50,"Moderado",IF(F313&lt;75,"Alto","Crítico")))),"N/A")</f>
        <v/>
      </c>
      <c r="H313" s="15" t="s">
        <v>89</v>
      </c>
    </row>
    <row r="314" customFormat="false" ht="15" hidden="false" customHeight="false" outlineLevel="0" collapsed="false">
      <c r="A314" s="12" t="n">
        <f aca="false">'📊 Risco por Setor'!$A$12</f>
        <v>0</v>
      </c>
      <c r="B314" s="13" t="s">
        <v>127</v>
      </c>
      <c r="C314" s="12" t="s">
        <v>126</v>
      </c>
      <c r="D314" s="20" t="s">
        <v>31</v>
      </c>
      <c r="E314" s="21" t="str">
        <f aca="false">IFERROR(AVERAGEIF('🔢 Cálculo'!$B$4:$B$203,'📊 Risco por Setor'!$A$12,'🔢 Cálculo'!$AA$4:$AA$203),"")</f>
        <v/>
      </c>
      <c r="F314" s="22" t="str">
        <f aca="false">IFERROR((5-E314)/4*100,"")</f>
        <v/>
      </c>
      <c r="G314" s="12" t="str">
        <f aca="false">IFERROR(IF(F314="","",IF(F314&lt;25,"Baixo",IF(F314&lt;50,"Moderado",IF(F314&lt;75,"Alto","Crítico")))),"N/A")</f>
        <v/>
      </c>
      <c r="H314" s="12" t="s">
        <v>89</v>
      </c>
    </row>
    <row r="315" customFormat="false" ht="15" hidden="false" customHeight="false" outlineLevel="0" collapsed="false">
      <c r="A315" s="15" t="n">
        <f aca="false">'📊 Risco por Setor'!$A$12</f>
        <v>0</v>
      </c>
      <c r="B315" s="5" t="s">
        <v>127</v>
      </c>
      <c r="C315" s="15" t="s">
        <v>129</v>
      </c>
      <c r="D315" s="23" t="s">
        <v>32</v>
      </c>
      <c r="E315" s="24" t="str">
        <f aca="false">IFERROR(AVERAGEIF('🔢 Cálculo'!$B$4:$B$203,'📊 Risco por Setor'!$A$12,'🔢 Cálculo'!$AB$4:$AB$203),"")</f>
        <v/>
      </c>
      <c r="F315" s="25" t="str">
        <f aca="false">IFERROR((5-E315)/4*100,"")</f>
        <v/>
      </c>
      <c r="G315" s="15" t="str">
        <f aca="false">IFERROR(IF(F315="","",IF(F315&lt;25,"Baixo",IF(F315&lt;50,"Moderado",IF(F315&lt;75,"Alto","Crítico")))),"N/A")</f>
        <v/>
      </c>
      <c r="H315" s="15" t="s">
        <v>89</v>
      </c>
    </row>
    <row r="316" customFormat="false" ht="15" hidden="false" customHeight="false" outlineLevel="0" collapsed="false">
      <c r="A316" s="12" t="n">
        <f aca="false">'📊 Risco por Setor'!$A$12</f>
        <v>0</v>
      </c>
      <c r="B316" s="13" t="s">
        <v>127</v>
      </c>
      <c r="C316" s="12" t="s">
        <v>131</v>
      </c>
      <c r="D316" s="20" t="s">
        <v>33</v>
      </c>
      <c r="E316" s="21" t="str">
        <f aca="false">IFERROR(AVERAGEIF('🔢 Cálculo'!$B$4:$B$203,'📊 Risco por Setor'!$A$12,'🔢 Cálculo'!$AC$4:$AC$203),"")</f>
        <v/>
      </c>
      <c r="F316" s="22" t="str">
        <f aca="false">IFERROR((5-E316)/4*100,"")</f>
        <v/>
      </c>
      <c r="G316" s="12" t="str">
        <f aca="false">IFERROR(IF(F316="","",IF(F316&lt;25,"Baixo",IF(F316&lt;50,"Moderado",IF(F316&lt;75,"Alto","Crítico")))),"N/A")</f>
        <v/>
      </c>
      <c r="H316" s="12" t="s">
        <v>89</v>
      </c>
    </row>
    <row r="317" customFormat="false" ht="15" hidden="false" customHeight="false" outlineLevel="0" collapsed="false">
      <c r="A317" s="15" t="n">
        <f aca="false">'📊 Risco por Setor'!$A$12</f>
        <v>0</v>
      </c>
      <c r="B317" s="5" t="s">
        <v>127</v>
      </c>
      <c r="C317" s="15" t="s">
        <v>133</v>
      </c>
      <c r="D317" s="23" t="s">
        <v>34</v>
      </c>
      <c r="E317" s="24" t="str">
        <f aca="false">IFERROR(AVERAGEIF('🔢 Cálculo'!$B$4:$B$203,'📊 Risco por Setor'!$A$12,'🔢 Cálculo'!$AD$4:$AD$203),"")</f>
        <v/>
      </c>
      <c r="F317" s="25" t="str">
        <f aca="false">IFERROR((5-E317)/4*100,"")</f>
        <v/>
      </c>
      <c r="G317" s="15" t="str">
        <f aca="false">IFERROR(IF(F317="","",IF(F317&lt;25,"Baixo",IF(F317&lt;50,"Moderado",IF(F317&lt;75,"Alto","Crítico")))),"N/A")</f>
        <v/>
      </c>
      <c r="H317" s="15" t="s">
        <v>89</v>
      </c>
    </row>
    <row r="318" customFormat="false" ht="15" hidden="false" customHeight="false" outlineLevel="0" collapsed="false">
      <c r="A318" s="12" t="n">
        <f aca="false">'📊 Risco por Setor'!$A$12</f>
        <v>0</v>
      </c>
      <c r="B318" s="13" t="s">
        <v>127</v>
      </c>
      <c r="C318" s="12" t="s">
        <v>135</v>
      </c>
      <c r="D318" s="20" t="s">
        <v>35</v>
      </c>
      <c r="E318" s="21" t="str">
        <f aca="false">IFERROR(AVERAGEIF('🔢 Cálculo'!$B$4:$B$203,'📊 Risco por Setor'!$A$12,'🔢 Cálculo'!$AE$4:$AE$203),"")</f>
        <v/>
      </c>
      <c r="F318" s="22" t="str">
        <f aca="false">IFERROR((E318-1)/4*100,"")</f>
        <v/>
      </c>
      <c r="G318" s="12" t="str">
        <f aca="false">IFERROR(IF(F318="","",IF(F318&lt;25,"Baixo",IF(F318&lt;50,"Moderado",IF(F318&lt;75,"Alto","Crítico")))),"N/A")</f>
        <v/>
      </c>
      <c r="H318" s="12" t="s">
        <v>63</v>
      </c>
    </row>
    <row r="319" customFormat="false" ht="15" hidden="false" customHeight="false" outlineLevel="0" collapsed="false">
      <c r="A319" s="15" t="n">
        <f aca="false">'📊 Risco por Setor'!$A$12</f>
        <v>0</v>
      </c>
      <c r="B319" s="5" t="s">
        <v>138</v>
      </c>
      <c r="C319" s="15" t="s">
        <v>137</v>
      </c>
      <c r="D319" s="23" t="s">
        <v>36</v>
      </c>
      <c r="E319" s="24" t="str">
        <f aca="false">IFERROR(AVERAGEIF('🔢 Cálculo'!$B$4:$B$203,'📊 Risco por Setor'!$A$12,'🔢 Cálculo'!$AF$4:$AF$203),"")</f>
        <v/>
      </c>
      <c r="F319" s="25" t="str">
        <f aca="false">IFERROR((5-E319)/4*100,"")</f>
        <v/>
      </c>
      <c r="G319" s="15" t="str">
        <f aca="false">IFERROR(IF(F319="","",IF(F319&lt;25,"Baixo",IF(F319&lt;50,"Moderado",IF(F319&lt;75,"Alto","Crítico")))),"N/A")</f>
        <v/>
      </c>
      <c r="H319" s="15" t="s">
        <v>67</v>
      </c>
    </row>
    <row r="320" customFormat="false" ht="15" hidden="false" customHeight="false" outlineLevel="0" collapsed="false">
      <c r="A320" s="12" t="n">
        <f aca="false">'📊 Risco por Setor'!$A$12</f>
        <v>0</v>
      </c>
      <c r="B320" s="13" t="s">
        <v>138</v>
      </c>
      <c r="C320" s="12" t="s">
        <v>140</v>
      </c>
      <c r="D320" s="20" t="s">
        <v>37</v>
      </c>
      <c r="E320" s="21" t="str">
        <f aca="false">IFERROR(AVERAGEIF('🔢 Cálculo'!$B$4:$B$203,'📊 Risco por Setor'!$A$12,'🔢 Cálculo'!$AG$4:$AG$203),"")</f>
        <v/>
      </c>
      <c r="F320" s="22" t="str">
        <f aca="false">IFERROR((E320-1)/4*100,"")</f>
        <v/>
      </c>
      <c r="G320" s="12" t="str">
        <f aca="false">IFERROR(IF(F320="","",IF(F320&lt;25,"Baixo",IF(F320&lt;50,"Moderado",IF(F320&lt;75,"Alto","Crítico")))),"N/A")</f>
        <v/>
      </c>
      <c r="H320" s="12" t="s">
        <v>63</v>
      </c>
    </row>
    <row r="321" customFormat="false" ht="15" hidden="false" customHeight="false" outlineLevel="0" collapsed="false">
      <c r="A321" s="15" t="n">
        <f aca="false">'📊 Risco por Setor'!$A$12</f>
        <v>0</v>
      </c>
      <c r="B321" s="5" t="s">
        <v>138</v>
      </c>
      <c r="C321" s="15" t="s">
        <v>142</v>
      </c>
      <c r="D321" s="23" t="s">
        <v>38</v>
      </c>
      <c r="E321" s="24" t="str">
        <f aca="false">IFERROR(AVERAGEIF('🔢 Cálculo'!$B$4:$B$203,'📊 Risco por Setor'!$A$12,'🔢 Cálculo'!$AH$4:$AH$203),"")</f>
        <v/>
      </c>
      <c r="F321" s="25" t="str">
        <f aca="false">IFERROR((E321-1)/4*100,"")</f>
        <v/>
      </c>
      <c r="G321" s="15" t="str">
        <f aca="false">IFERROR(IF(F321="","",IF(F321&lt;25,"Baixo",IF(F321&lt;50,"Moderado",IF(F321&lt;75,"Alto","Crítico")))),"N/A")</f>
        <v/>
      </c>
      <c r="H321" s="15" t="s">
        <v>63</v>
      </c>
    </row>
    <row r="322" customFormat="false" ht="15" hidden="false" customHeight="false" outlineLevel="0" collapsed="false">
      <c r="A322" s="12" t="n">
        <f aca="false">'📊 Risco por Setor'!$A$12</f>
        <v>0</v>
      </c>
      <c r="B322" s="13" t="s">
        <v>138</v>
      </c>
      <c r="C322" s="12" t="s">
        <v>144</v>
      </c>
      <c r="D322" s="20" t="s">
        <v>39</v>
      </c>
      <c r="E322" s="21" t="str">
        <f aca="false">IFERROR(AVERAGEIF('🔢 Cálculo'!$B$4:$B$203,'📊 Risco por Setor'!$A$12,'🔢 Cálculo'!$AI$4:$AI$203),"")</f>
        <v/>
      </c>
      <c r="F322" s="22" t="str">
        <f aca="false">IFERROR((E322-1)/4*100,"")</f>
        <v/>
      </c>
      <c r="G322" s="12" t="str">
        <f aca="false">IFERROR(IF(F322="","",IF(F322&lt;25,"Baixo",IF(F322&lt;50,"Moderado",IF(F322&lt;75,"Alto","Crítico")))),"N/A")</f>
        <v/>
      </c>
      <c r="H322" s="12" t="s">
        <v>63</v>
      </c>
    </row>
    <row r="323" customFormat="false" ht="15" hidden="false" customHeight="false" outlineLevel="0" collapsed="false">
      <c r="A323" s="15" t="n">
        <f aca="false">'📊 Risco por Setor'!$A$12</f>
        <v>0</v>
      </c>
      <c r="B323" s="5" t="s">
        <v>138</v>
      </c>
      <c r="C323" s="15" t="s">
        <v>146</v>
      </c>
      <c r="D323" s="23" t="s">
        <v>40</v>
      </c>
      <c r="E323" s="24" t="str">
        <f aca="false">IFERROR(AVERAGEIF('🔢 Cálculo'!$B$4:$B$203,'📊 Risco por Setor'!$A$12,'🔢 Cálculo'!$AJ$4:$AJ$203),"")</f>
        <v/>
      </c>
      <c r="F323" s="25" t="str">
        <f aca="false">IFERROR((E323-1)/4*100,"")</f>
        <v/>
      </c>
      <c r="G323" s="15" t="str">
        <f aca="false">IFERROR(IF(F323="","",IF(F323&lt;25,"Baixo",IF(F323&lt;50,"Moderado",IF(F323&lt;75,"Alto","Crítico")))),"N/A")</f>
        <v/>
      </c>
      <c r="H323" s="15" t="s">
        <v>63</v>
      </c>
    </row>
    <row r="324" customFormat="false" ht="15" hidden="false" customHeight="false" outlineLevel="0" collapsed="false">
      <c r="A324" s="12" t="n">
        <f aca="false">'📊 Risco por Setor'!$A$12</f>
        <v>0</v>
      </c>
      <c r="B324" s="13" t="s">
        <v>138</v>
      </c>
      <c r="C324" s="12" t="s">
        <v>148</v>
      </c>
      <c r="D324" s="20" t="s">
        <v>41</v>
      </c>
      <c r="E324" s="21" t="str">
        <f aca="false">IFERROR(AVERAGEIF('🔢 Cálculo'!$B$4:$B$203,'📊 Risco por Setor'!$A$12,'🔢 Cálculo'!$AK$4:$AK$203),"")</f>
        <v/>
      </c>
      <c r="F324" s="22" t="str">
        <f aca="false">IFERROR((E324-1)/4*100,"")</f>
        <v/>
      </c>
      <c r="G324" s="12" t="str">
        <f aca="false">IFERROR(IF(F324="","",IF(F324&lt;25,"Baixo",IF(F324&lt;50,"Moderado",IF(F324&lt;75,"Alto","Crítico")))),"N/A")</f>
        <v/>
      </c>
      <c r="H324" s="12" t="s">
        <v>63</v>
      </c>
    </row>
    <row r="325" customFormat="false" ht="15" hidden="false" customHeight="false" outlineLevel="0" collapsed="false">
      <c r="A325" s="15" t="n">
        <f aca="false">'📊 Risco por Setor'!$A$12</f>
        <v>0</v>
      </c>
      <c r="B325" s="5" t="s">
        <v>138</v>
      </c>
      <c r="C325" s="15" t="s">
        <v>150</v>
      </c>
      <c r="D325" s="23" t="s">
        <v>42</v>
      </c>
      <c r="E325" s="24" t="str">
        <f aca="false">IFERROR(AVERAGEIF('🔢 Cálculo'!$B$4:$B$203,'📊 Risco por Setor'!$A$12,'🔢 Cálculo'!$AL$4:$AL$203),"")</f>
        <v/>
      </c>
      <c r="F325" s="25" t="str">
        <f aca="false">IFERROR((E325-1)/4*100,"")</f>
        <v/>
      </c>
      <c r="G325" s="15" t="str">
        <f aca="false">IFERROR(IF(F325="","",IF(F325&lt;25,"Baixo",IF(F325&lt;50,"Moderado",IF(F325&lt;75,"Alto","Crítico")))),"N/A")</f>
        <v/>
      </c>
      <c r="H325" s="15" t="s">
        <v>63</v>
      </c>
    </row>
    <row r="326" customFormat="false" ht="15" hidden="false" customHeight="false" outlineLevel="0" collapsed="false">
      <c r="A326" s="12" t="n">
        <f aca="false">'📊 Risco por Setor'!$A$12</f>
        <v>0</v>
      </c>
      <c r="B326" s="13" t="s">
        <v>138</v>
      </c>
      <c r="C326" s="12" t="s">
        <v>152</v>
      </c>
      <c r="D326" s="20" t="s">
        <v>43</v>
      </c>
      <c r="E326" s="21" t="str">
        <f aca="false">IFERROR(AVERAGEIF('🔢 Cálculo'!$B$4:$B$203,'📊 Risco por Setor'!$A$12,'🔢 Cálculo'!$AM$4:$AM$203),"")</f>
        <v/>
      </c>
      <c r="F326" s="22" t="str">
        <f aca="false">IFERROR((E326-1)/4*100,"")</f>
        <v/>
      </c>
      <c r="G326" s="12" t="str">
        <f aca="false">IFERROR(IF(F326="","",IF(F326&lt;25,"Baixo",IF(F326&lt;50,"Moderado",IF(F326&lt;75,"Alto","Crítico")))),"N/A")</f>
        <v/>
      </c>
      <c r="H326" s="12" t="s">
        <v>63</v>
      </c>
    </row>
    <row r="327" customFormat="false" ht="15" hidden="false" customHeight="false" outlineLevel="0" collapsed="false">
      <c r="A327" s="15" t="n">
        <f aca="false">'📊 Risco por Setor'!$A$12</f>
        <v>0</v>
      </c>
      <c r="B327" s="5" t="s">
        <v>138</v>
      </c>
      <c r="C327" s="15" t="s">
        <v>154</v>
      </c>
      <c r="D327" s="23" t="s">
        <v>44</v>
      </c>
      <c r="E327" s="24" t="str">
        <f aca="false">IFERROR(AVERAGEIF('🔢 Cálculo'!$B$4:$B$203,'📊 Risco por Setor'!$A$12,'🔢 Cálculo'!$AN$4:$AN$203),"")</f>
        <v/>
      </c>
      <c r="F327" s="25" t="str">
        <f aca="false">IFERROR((E327-1)/4*100,"")</f>
        <v/>
      </c>
      <c r="G327" s="15" t="str">
        <f aca="false">IFERROR(IF(F327="","",IF(F327&lt;25,"Baixo",IF(F327&lt;50,"Moderado",IF(F327&lt;75,"Alto","Crítico")))),"N/A")</f>
        <v/>
      </c>
      <c r="H327" s="15" t="s">
        <v>63</v>
      </c>
    </row>
    <row r="328" customFormat="false" ht="15" hidden="false" customHeight="false" outlineLevel="0" collapsed="false">
      <c r="A328" s="12" t="n">
        <f aca="false">'📊 Risco por Setor'!$A$12</f>
        <v>0</v>
      </c>
      <c r="B328" s="13" t="s">
        <v>157</v>
      </c>
      <c r="C328" s="12" t="s">
        <v>156</v>
      </c>
      <c r="D328" s="20" t="s">
        <v>45</v>
      </c>
      <c r="E328" s="21" t="str">
        <f aca="false">IFERROR(AVERAGEIF('🔢 Cálculo'!$B$4:$B$203,'📊 Risco por Setor'!$A$12,'🔢 Cálculo'!$AO$4:$AO$203),"")</f>
        <v/>
      </c>
      <c r="F328" s="22" t="str">
        <f aca="false">IFERROR((E328-1)/4*100,"")</f>
        <v/>
      </c>
      <c r="G328" s="12" t="str">
        <f aca="false">IFERROR(IF(F328="","",IF(F328&lt;25,"Baixo",IF(F328&lt;50,"Moderado",IF(F328&lt;75,"Alto","Crítico")))),"N/A")</f>
        <v/>
      </c>
      <c r="H328" s="12" t="s">
        <v>63</v>
      </c>
    </row>
    <row r="329" customFormat="false" ht="15" hidden="false" customHeight="false" outlineLevel="0" collapsed="false">
      <c r="A329" s="15" t="n">
        <f aca="false">'📊 Risco por Setor'!$A$12</f>
        <v>0</v>
      </c>
      <c r="B329" s="5" t="s">
        <v>157</v>
      </c>
      <c r="C329" s="15" t="s">
        <v>159</v>
      </c>
      <c r="D329" s="23" t="s">
        <v>46</v>
      </c>
      <c r="E329" s="24" t="str">
        <f aca="false">IFERROR(AVERAGEIF('🔢 Cálculo'!$B$4:$B$203,'📊 Risco por Setor'!$A$12,'🔢 Cálculo'!$AP$4:$AP$203),"")</f>
        <v/>
      </c>
      <c r="F329" s="25" t="str">
        <f aca="false">IFERROR((E329-1)/4*100,"")</f>
        <v/>
      </c>
      <c r="G329" s="15" t="str">
        <f aca="false">IFERROR(IF(F329="","",IF(F329&lt;25,"Baixo",IF(F329&lt;50,"Moderado",IF(F329&lt;75,"Alto","Crítico")))),"N/A")</f>
        <v/>
      </c>
      <c r="H329" s="15" t="s">
        <v>63</v>
      </c>
    </row>
    <row r="330" customFormat="false" ht="15" hidden="false" customHeight="false" outlineLevel="0" collapsed="false">
      <c r="A330" s="12" t="n">
        <f aca="false">'📊 Risco por Setor'!$A$12</f>
        <v>0</v>
      </c>
      <c r="B330" s="13" t="s">
        <v>157</v>
      </c>
      <c r="C330" s="12" t="s">
        <v>161</v>
      </c>
      <c r="D330" s="20" t="s">
        <v>47</v>
      </c>
      <c r="E330" s="21" t="str">
        <f aca="false">IFERROR(AVERAGEIF('🔢 Cálculo'!$B$4:$B$203,'📊 Risco por Setor'!$A$12,'🔢 Cálculo'!$AQ$4:$AQ$203),"")</f>
        <v/>
      </c>
      <c r="F330" s="22" t="str">
        <f aca="false">IFERROR((E330-1)/4*100,"")</f>
        <v/>
      </c>
      <c r="G330" s="12" t="str">
        <f aca="false">IFERROR(IF(F330="","",IF(F330&lt;25,"Baixo",IF(F330&lt;50,"Moderado",IF(F330&lt;75,"Alto","Crítico")))),"N/A")</f>
        <v/>
      </c>
      <c r="H330" s="12" t="s">
        <v>63</v>
      </c>
    </row>
    <row r="331" customFormat="false" ht="15" hidden="false" customHeight="false" outlineLevel="0" collapsed="false">
      <c r="A331" s="15" t="n">
        <f aca="false">'📊 Risco por Setor'!$A$12</f>
        <v>0</v>
      </c>
      <c r="B331" s="5" t="s">
        <v>157</v>
      </c>
      <c r="C331" s="15" t="s">
        <v>163</v>
      </c>
      <c r="D331" s="23" t="s">
        <v>48</v>
      </c>
      <c r="E331" s="24" t="str">
        <f aca="false">IFERROR(AVERAGEIF('🔢 Cálculo'!$B$4:$B$203,'📊 Risco por Setor'!$A$12,'🔢 Cálculo'!$AR$4:$AR$203),"")</f>
        <v/>
      </c>
      <c r="F331" s="25" t="str">
        <f aca="false">IFERROR((E331-1)/4*100,"")</f>
        <v/>
      </c>
      <c r="G331" s="15" t="str">
        <f aca="false">IFERROR(IF(F331="","",IF(F331&lt;25,"Baixo",IF(F331&lt;50,"Moderado",IF(F331&lt;75,"Alto","Crítico")))),"N/A")</f>
        <v/>
      </c>
      <c r="H331" s="15" t="s">
        <v>63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42"/>
    <col collapsed="false" customWidth="true" hidden="false" outlineLevel="0" max="6" min="6" style="0" width="58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38"/>
    <col collapsed="false" customWidth="true" hidden="false" outlineLevel="0" max="10" min="10" style="0" width="14"/>
  </cols>
  <sheetData>
    <row r="1" customFormat="false" ht="25.5" hidden="false" customHeight="true" outlineLevel="0" collapsed="false">
      <c r="A1" s="1" t="s">
        <v>230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2" t="s">
        <v>231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8" t="s">
        <v>5</v>
      </c>
      <c r="B3" s="8" t="s">
        <v>217</v>
      </c>
      <c r="C3" s="8" t="s">
        <v>220</v>
      </c>
      <c r="D3" s="8" t="s">
        <v>221</v>
      </c>
      <c r="E3" s="8" t="s">
        <v>232</v>
      </c>
      <c r="F3" s="8" t="s">
        <v>233</v>
      </c>
      <c r="G3" s="8" t="s">
        <v>234</v>
      </c>
      <c r="H3" s="8" t="s">
        <v>235</v>
      </c>
      <c r="I3" s="8" t="s">
        <v>236</v>
      </c>
      <c r="J3" s="8" t="s">
        <v>237</v>
      </c>
    </row>
    <row r="4" customFormat="false" ht="42" hidden="false" customHeight="true" outlineLevel="0" collapsed="false">
      <c r="A4" s="20" t="str">
        <f aca="false">'📊 Risco por Setor'!$A$5</f>
        <v>Operacional</v>
      </c>
      <c r="B4" s="20" t="str">
        <f aca="false">'📊 Risco por Setor'!B15</f>
        <v>Exigência Laboral</v>
      </c>
      <c r="C4" s="26" t="n">
        <f aca="false">IFERROR('📊 Risco por Setor'!E15,"")</f>
        <v>0</v>
      </c>
      <c r="D4" s="27" t="str">
        <f aca="false">IFERROR('📊 Risco por Setor'!F15,"")</f>
        <v>Baixo</v>
      </c>
      <c r="E4" s="20" t="s">
        <v>238</v>
      </c>
      <c r="F4" s="20" t="s">
        <v>239</v>
      </c>
      <c r="G4" s="27" t="s">
        <v>240</v>
      </c>
      <c r="H4" s="27" t="s">
        <v>241</v>
      </c>
      <c r="I4" s="20" t="s">
        <v>242</v>
      </c>
      <c r="J4" s="27" t="s">
        <v>243</v>
      </c>
    </row>
    <row r="5" customFormat="false" ht="42" hidden="false" customHeight="true" outlineLevel="0" collapsed="false">
      <c r="A5" s="23" t="str">
        <f aca="false">'📊 Risco por Setor'!$A$5</f>
        <v>Operacional</v>
      </c>
      <c r="B5" s="23" t="str">
        <f aca="false">'📊 Risco por Setor'!B15</f>
        <v>Exigência Laboral</v>
      </c>
      <c r="C5" s="28" t="n">
        <f aca="false">IFERROR('📊 Risco por Setor'!E15,"")</f>
        <v>0</v>
      </c>
      <c r="D5" s="29" t="str">
        <f aca="false">IFERROR('📊 Risco por Setor'!F15,"")</f>
        <v>Baixo</v>
      </c>
      <c r="E5" s="23" t="s">
        <v>244</v>
      </c>
      <c r="F5" s="23" t="s">
        <v>245</v>
      </c>
      <c r="G5" s="29" t="s">
        <v>246</v>
      </c>
      <c r="H5" s="29" t="s">
        <v>241</v>
      </c>
      <c r="I5" s="23" t="s">
        <v>247</v>
      </c>
      <c r="J5" s="29" t="s">
        <v>243</v>
      </c>
    </row>
    <row r="6" customFormat="false" ht="42" hidden="false" customHeight="true" outlineLevel="0" collapsed="false">
      <c r="A6" s="20" t="str">
        <f aca="false">'📊 Risco por Setor'!$A$5</f>
        <v>Operacional</v>
      </c>
      <c r="B6" s="20" t="str">
        <f aca="false">'📊 Risco por Setor'!B15</f>
        <v>Exigência Laboral</v>
      </c>
      <c r="C6" s="26" t="n">
        <f aca="false">IFERROR('📊 Risco por Setor'!E15,"")</f>
        <v>0</v>
      </c>
      <c r="D6" s="27" t="str">
        <f aca="false">IFERROR('📊 Risco por Setor'!F15,"")</f>
        <v>Baixo</v>
      </c>
      <c r="E6" s="20" t="s">
        <v>248</v>
      </c>
      <c r="F6" s="20" t="s">
        <v>249</v>
      </c>
      <c r="G6" s="27" t="s">
        <v>250</v>
      </c>
      <c r="H6" s="27" t="s">
        <v>251</v>
      </c>
      <c r="I6" s="20" t="s">
        <v>252</v>
      </c>
      <c r="J6" s="27" t="s">
        <v>243</v>
      </c>
    </row>
    <row r="7" customFormat="false" ht="42" hidden="false" customHeight="true" outlineLevel="0" collapsed="false">
      <c r="A7" s="23" t="str">
        <f aca="false">'📊 Risco por Setor'!$A$5</f>
        <v>Operacional</v>
      </c>
      <c r="B7" s="23" t="str">
        <f aca="false">'📊 Risco por Setor'!B16</f>
        <v>Organização do Trabalho</v>
      </c>
      <c r="C7" s="28" t="n">
        <f aca="false">IFERROR('📊 Risco por Setor'!E16,"")</f>
        <v>0</v>
      </c>
      <c r="D7" s="29" t="str">
        <f aca="false">IFERROR('📊 Risco por Setor'!F16,"")</f>
        <v>Baixo</v>
      </c>
      <c r="E7" s="23" t="s">
        <v>253</v>
      </c>
      <c r="F7" s="23" t="s">
        <v>254</v>
      </c>
      <c r="G7" s="29" t="s">
        <v>255</v>
      </c>
      <c r="H7" s="29" t="s">
        <v>256</v>
      </c>
      <c r="I7" s="23" t="s">
        <v>257</v>
      </c>
      <c r="J7" s="29" t="s">
        <v>243</v>
      </c>
    </row>
    <row r="8" customFormat="false" ht="42" hidden="false" customHeight="true" outlineLevel="0" collapsed="false">
      <c r="A8" s="20" t="str">
        <f aca="false">'📊 Risco por Setor'!$A$5</f>
        <v>Operacional</v>
      </c>
      <c r="B8" s="20" t="str">
        <f aca="false">'📊 Risco por Setor'!B16</f>
        <v>Organização do Trabalho</v>
      </c>
      <c r="C8" s="26" t="n">
        <f aca="false">IFERROR('📊 Risco por Setor'!E16,"")</f>
        <v>0</v>
      </c>
      <c r="D8" s="27" t="str">
        <f aca="false">IFERROR('📊 Risco por Setor'!F16,"")</f>
        <v>Baixo</v>
      </c>
      <c r="E8" s="20" t="s">
        <v>258</v>
      </c>
      <c r="F8" s="20" t="s">
        <v>259</v>
      </c>
      <c r="G8" s="27" t="s">
        <v>260</v>
      </c>
      <c r="H8" s="27" t="s">
        <v>241</v>
      </c>
      <c r="I8" s="20" t="s">
        <v>261</v>
      </c>
      <c r="J8" s="27" t="s">
        <v>243</v>
      </c>
    </row>
    <row r="9" customFormat="false" ht="42" hidden="false" customHeight="true" outlineLevel="0" collapsed="false">
      <c r="A9" s="23" t="str">
        <f aca="false">'📊 Risco por Setor'!$A$5</f>
        <v>Operacional</v>
      </c>
      <c r="B9" s="23" t="str">
        <f aca="false">'📊 Risco por Setor'!B16</f>
        <v>Organização do Trabalho</v>
      </c>
      <c r="C9" s="28" t="n">
        <f aca="false">IFERROR('📊 Risco por Setor'!E16,"")</f>
        <v>0</v>
      </c>
      <c r="D9" s="29" t="str">
        <f aca="false">IFERROR('📊 Risco por Setor'!F16,"")</f>
        <v>Baixo</v>
      </c>
      <c r="E9" s="23" t="s">
        <v>262</v>
      </c>
      <c r="F9" s="23" t="s">
        <v>263</v>
      </c>
      <c r="G9" s="29" t="s">
        <v>255</v>
      </c>
      <c r="H9" s="29" t="s">
        <v>264</v>
      </c>
      <c r="I9" s="23" t="s">
        <v>265</v>
      </c>
      <c r="J9" s="29" t="s">
        <v>243</v>
      </c>
    </row>
    <row r="10" customFormat="false" ht="42" hidden="false" customHeight="true" outlineLevel="0" collapsed="false">
      <c r="A10" s="20" t="str">
        <f aca="false">'📊 Risco por Setor'!$A$5</f>
        <v>Operacional</v>
      </c>
      <c r="B10" s="20" t="str">
        <f aca="false">'📊 Risco por Setor'!B17</f>
        <v>Relações Sociais e Liderança</v>
      </c>
      <c r="C10" s="26" t="n">
        <f aca="false">IFERROR('📊 Risco por Setor'!E17,"")</f>
        <v>0</v>
      </c>
      <c r="D10" s="27" t="str">
        <f aca="false">IFERROR('📊 Risco por Setor'!F17,"")</f>
        <v>Baixo</v>
      </c>
      <c r="E10" s="20" t="s">
        <v>266</v>
      </c>
      <c r="F10" s="20" t="s">
        <v>267</v>
      </c>
      <c r="G10" s="27" t="s">
        <v>268</v>
      </c>
      <c r="H10" s="27" t="s">
        <v>264</v>
      </c>
      <c r="I10" s="20" t="s">
        <v>269</v>
      </c>
      <c r="J10" s="27" t="s">
        <v>243</v>
      </c>
    </row>
    <row r="11" customFormat="false" ht="42" hidden="false" customHeight="true" outlineLevel="0" collapsed="false">
      <c r="A11" s="23" t="str">
        <f aca="false">'📊 Risco por Setor'!$A$5</f>
        <v>Operacional</v>
      </c>
      <c r="B11" s="23" t="str">
        <f aca="false">'📊 Risco por Setor'!B17</f>
        <v>Relações Sociais e Liderança</v>
      </c>
      <c r="C11" s="28" t="n">
        <f aca="false">IFERROR('📊 Risco por Setor'!E17,"")</f>
        <v>0</v>
      </c>
      <c r="D11" s="29" t="str">
        <f aca="false">IFERROR('📊 Risco por Setor'!F17,"")</f>
        <v>Baixo</v>
      </c>
      <c r="E11" s="23" t="s">
        <v>270</v>
      </c>
      <c r="F11" s="23" t="s">
        <v>271</v>
      </c>
      <c r="G11" s="29" t="s">
        <v>246</v>
      </c>
      <c r="H11" s="29" t="s">
        <v>241</v>
      </c>
      <c r="I11" s="23" t="s">
        <v>272</v>
      </c>
      <c r="J11" s="29" t="s">
        <v>243</v>
      </c>
    </row>
    <row r="12" customFormat="false" ht="42" hidden="false" customHeight="true" outlineLevel="0" collapsed="false">
      <c r="A12" s="20" t="str">
        <f aca="false">'📊 Risco por Setor'!$A$5</f>
        <v>Operacional</v>
      </c>
      <c r="B12" s="20" t="str">
        <f aca="false">'📊 Risco por Setor'!B17</f>
        <v>Relações Sociais e Liderança</v>
      </c>
      <c r="C12" s="26" t="n">
        <f aca="false">IFERROR('📊 Risco por Setor'!E17,"")</f>
        <v>0</v>
      </c>
      <c r="D12" s="27" t="str">
        <f aca="false">IFERROR('📊 Risco por Setor'!F17,"")</f>
        <v>Baixo</v>
      </c>
      <c r="E12" s="20" t="s">
        <v>273</v>
      </c>
      <c r="F12" s="20" t="s">
        <v>274</v>
      </c>
      <c r="G12" s="27" t="s">
        <v>250</v>
      </c>
      <c r="H12" s="27" t="s">
        <v>251</v>
      </c>
      <c r="I12" s="20" t="s">
        <v>275</v>
      </c>
      <c r="J12" s="27" t="s">
        <v>243</v>
      </c>
    </row>
    <row r="13" customFormat="false" ht="42" hidden="false" customHeight="true" outlineLevel="0" collapsed="false">
      <c r="A13" s="23" t="str">
        <f aca="false">'📊 Risco por Setor'!$A$5</f>
        <v>Operacional</v>
      </c>
      <c r="B13" s="23" t="str">
        <f aca="false">'📊 Risco por Setor'!B18</f>
        <v>Personalidade / Valores</v>
      </c>
      <c r="C13" s="28" t="n">
        <f aca="false">IFERROR('📊 Risco por Setor'!E18,"")</f>
        <v>0</v>
      </c>
      <c r="D13" s="29" t="str">
        <f aca="false">IFERROR('📊 Risco por Setor'!F18,"")</f>
        <v>Baixo</v>
      </c>
      <c r="E13" s="23" t="s">
        <v>276</v>
      </c>
      <c r="F13" s="23" t="s">
        <v>277</v>
      </c>
      <c r="G13" s="29" t="s">
        <v>268</v>
      </c>
      <c r="H13" s="29" t="s">
        <v>264</v>
      </c>
      <c r="I13" s="23" t="s">
        <v>278</v>
      </c>
      <c r="J13" s="29" t="s">
        <v>243</v>
      </c>
    </row>
    <row r="14" customFormat="false" ht="42" hidden="false" customHeight="true" outlineLevel="0" collapsed="false">
      <c r="A14" s="20" t="str">
        <f aca="false">'📊 Risco por Setor'!$A$5</f>
        <v>Operacional</v>
      </c>
      <c r="B14" s="20" t="str">
        <f aca="false">'📊 Risco por Setor'!B18</f>
        <v>Personalidade / Valores</v>
      </c>
      <c r="C14" s="26" t="n">
        <f aca="false">IFERROR('📊 Risco por Setor'!E18,"")</f>
        <v>0</v>
      </c>
      <c r="D14" s="27" t="str">
        <f aca="false">IFERROR('📊 Risco por Setor'!F18,"")</f>
        <v>Baixo</v>
      </c>
      <c r="E14" s="20" t="s">
        <v>279</v>
      </c>
      <c r="F14" s="20" t="s">
        <v>280</v>
      </c>
      <c r="G14" s="27" t="s">
        <v>255</v>
      </c>
      <c r="H14" s="27" t="s">
        <v>241</v>
      </c>
      <c r="I14" s="20" t="s">
        <v>281</v>
      </c>
      <c r="J14" s="27" t="s">
        <v>243</v>
      </c>
    </row>
    <row r="15" customFormat="false" ht="42" hidden="false" customHeight="true" outlineLevel="0" collapsed="false">
      <c r="A15" s="23" t="str">
        <f aca="false">'📊 Risco por Setor'!$A$5</f>
        <v>Operacional</v>
      </c>
      <c r="B15" s="23" t="str">
        <f aca="false">'📊 Risco por Setor'!B18</f>
        <v>Personalidade / Valores</v>
      </c>
      <c r="C15" s="28" t="n">
        <f aca="false">IFERROR('📊 Risco por Setor'!E18,"")</f>
        <v>0</v>
      </c>
      <c r="D15" s="29" t="str">
        <f aca="false">IFERROR('📊 Risco por Setor'!F18,"")</f>
        <v>Baixo</v>
      </c>
      <c r="E15" s="23" t="s">
        <v>282</v>
      </c>
      <c r="F15" s="23" t="s">
        <v>283</v>
      </c>
      <c r="G15" s="29" t="s">
        <v>240</v>
      </c>
      <c r="H15" s="29" t="s">
        <v>241</v>
      </c>
      <c r="I15" s="23" t="s">
        <v>284</v>
      </c>
      <c r="J15" s="29" t="s">
        <v>243</v>
      </c>
    </row>
    <row r="16" customFormat="false" ht="42" hidden="false" customHeight="true" outlineLevel="0" collapsed="false">
      <c r="A16" s="20" t="str">
        <f aca="false">'📊 Risco por Setor'!$A$5</f>
        <v>Operacional</v>
      </c>
      <c r="B16" s="20" t="str">
        <f aca="false">'📊 Risco por Setor'!B19</f>
        <v>Interface Indivíduo-Trabalho</v>
      </c>
      <c r="C16" s="26" t="n">
        <f aca="false">IFERROR('📊 Risco por Setor'!E19,"")</f>
        <v>0</v>
      </c>
      <c r="D16" s="27" t="str">
        <f aca="false">IFERROR('📊 Risco por Setor'!F19,"")</f>
        <v>Baixo</v>
      </c>
      <c r="E16" s="20" t="s">
        <v>285</v>
      </c>
      <c r="F16" s="20" t="s">
        <v>286</v>
      </c>
      <c r="G16" s="27" t="s">
        <v>268</v>
      </c>
      <c r="H16" s="27" t="s">
        <v>256</v>
      </c>
      <c r="I16" s="20" t="s">
        <v>287</v>
      </c>
      <c r="J16" s="27" t="s">
        <v>243</v>
      </c>
    </row>
    <row r="17" customFormat="false" ht="42" hidden="false" customHeight="true" outlineLevel="0" collapsed="false">
      <c r="A17" s="23" t="str">
        <f aca="false">'📊 Risco por Setor'!$A$5</f>
        <v>Operacional</v>
      </c>
      <c r="B17" s="23" t="str">
        <f aca="false">'📊 Risco por Setor'!B19</f>
        <v>Interface Indivíduo-Trabalho</v>
      </c>
      <c r="C17" s="28" t="n">
        <f aca="false">IFERROR('📊 Risco por Setor'!E19,"")</f>
        <v>0</v>
      </c>
      <c r="D17" s="29" t="str">
        <f aca="false">IFERROR('📊 Risco por Setor'!F19,"")</f>
        <v>Baixo</v>
      </c>
      <c r="E17" s="23" t="s">
        <v>288</v>
      </c>
      <c r="F17" s="23" t="s">
        <v>289</v>
      </c>
      <c r="G17" s="29" t="s">
        <v>290</v>
      </c>
      <c r="H17" s="29" t="s">
        <v>251</v>
      </c>
      <c r="I17" s="23" t="s">
        <v>291</v>
      </c>
      <c r="J17" s="29" t="s">
        <v>243</v>
      </c>
    </row>
    <row r="18" customFormat="false" ht="42" hidden="false" customHeight="true" outlineLevel="0" collapsed="false">
      <c r="A18" s="20" t="str">
        <f aca="false">'📊 Risco por Setor'!$A$5</f>
        <v>Operacional</v>
      </c>
      <c r="B18" s="20" t="str">
        <f aca="false">'📊 Risco por Setor'!B19</f>
        <v>Interface Indivíduo-Trabalho</v>
      </c>
      <c r="C18" s="26" t="n">
        <f aca="false">IFERROR('📊 Risco por Setor'!E19,"")</f>
        <v>0</v>
      </c>
      <c r="D18" s="27" t="str">
        <f aca="false">IFERROR('📊 Risco por Setor'!F19,"")</f>
        <v>Baixo</v>
      </c>
      <c r="E18" s="20" t="s">
        <v>292</v>
      </c>
      <c r="F18" s="20" t="s">
        <v>293</v>
      </c>
      <c r="G18" s="27" t="s">
        <v>246</v>
      </c>
      <c r="H18" s="27" t="s">
        <v>264</v>
      </c>
      <c r="I18" s="20" t="s">
        <v>294</v>
      </c>
      <c r="J18" s="27" t="s">
        <v>243</v>
      </c>
    </row>
    <row r="19" customFormat="false" ht="42" hidden="false" customHeight="true" outlineLevel="0" collapsed="false">
      <c r="A19" s="23" t="str">
        <f aca="false">'📊 Risco por Setor'!$A$5</f>
        <v>Operacional</v>
      </c>
      <c r="B19" s="23" t="str">
        <f aca="false">'📊 Risco por Setor'!B20</f>
        <v>Saúde e Bem-Estar</v>
      </c>
      <c r="C19" s="28" t="n">
        <f aca="false">IFERROR('📊 Risco por Setor'!E20,"")</f>
        <v>0</v>
      </c>
      <c r="D19" s="29" t="str">
        <f aca="false">IFERROR('📊 Risco por Setor'!F20,"")</f>
        <v>Baixo</v>
      </c>
      <c r="E19" s="23" t="s">
        <v>295</v>
      </c>
      <c r="F19" s="23" t="s">
        <v>296</v>
      </c>
      <c r="G19" s="29" t="s">
        <v>297</v>
      </c>
      <c r="H19" s="29" t="s">
        <v>241</v>
      </c>
      <c r="I19" s="23" t="s">
        <v>298</v>
      </c>
      <c r="J19" s="29" t="s">
        <v>243</v>
      </c>
    </row>
    <row r="20" customFormat="false" ht="42" hidden="false" customHeight="true" outlineLevel="0" collapsed="false">
      <c r="A20" s="20" t="str">
        <f aca="false">'📊 Risco por Setor'!$A$5</f>
        <v>Operacional</v>
      </c>
      <c r="B20" s="20" t="str">
        <f aca="false">'📊 Risco por Setor'!B20</f>
        <v>Saúde e Bem-Estar</v>
      </c>
      <c r="C20" s="26" t="n">
        <f aca="false">IFERROR('📊 Risco por Setor'!E20,"")</f>
        <v>0</v>
      </c>
      <c r="D20" s="27" t="str">
        <f aca="false">IFERROR('📊 Risco por Setor'!F20,"")</f>
        <v>Baixo</v>
      </c>
      <c r="E20" s="20" t="s">
        <v>299</v>
      </c>
      <c r="F20" s="20" t="s">
        <v>300</v>
      </c>
      <c r="G20" s="27" t="s">
        <v>250</v>
      </c>
      <c r="H20" s="27" t="s">
        <v>251</v>
      </c>
      <c r="I20" s="20" t="s">
        <v>301</v>
      </c>
      <c r="J20" s="27" t="s">
        <v>243</v>
      </c>
    </row>
    <row r="21" customFormat="false" ht="42" hidden="false" customHeight="true" outlineLevel="0" collapsed="false">
      <c r="A21" s="23" t="str">
        <f aca="false">'📊 Risco por Setor'!$A$5</f>
        <v>Operacional</v>
      </c>
      <c r="B21" s="23" t="str">
        <f aca="false">'📊 Risco por Setor'!B20</f>
        <v>Saúde e Bem-Estar</v>
      </c>
      <c r="C21" s="28" t="n">
        <f aca="false">IFERROR('📊 Risco por Setor'!E20,"")</f>
        <v>0</v>
      </c>
      <c r="D21" s="29" t="str">
        <f aca="false">IFERROR('📊 Risco por Setor'!F20,"")</f>
        <v>Baixo</v>
      </c>
      <c r="E21" s="23" t="s">
        <v>302</v>
      </c>
      <c r="F21" s="23" t="s">
        <v>303</v>
      </c>
      <c r="G21" s="29" t="s">
        <v>304</v>
      </c>
      <c r="H21" s="29" t="s">
        <v>241</v>
      </c>
      <c r="I21" s="23" t="s">
        <v>305</v>
      </c>
      <c r="J21" s="29" t="s">
        <v>243</v>
      </c>
    </row>
    <row r="22" customFormat="false" ht="42" hidden="false" customHeight="true" outlineLevel="0" collapsed="false">
      <c r="A22" s="20" t="str">
        <f aca="false">'📊 Risco por Setor'!$A$5</f>
        <v>Operacional</v>
      </c>
      <c r="B22" s="20" t="str">
        <f aca="false">'📊 Risco por Setor'!B21</f>
        <v>Comportamentos Ofensivos</v>
      </c>
      <c r="C22" s="26" t="n">
        <f aca="false">IFERROR('📊 Risco por Setor'!E21,"")</f>
        <v>0</v>
      </c>
      <c r="D22" s="27" t="str">
        <f aca="false">IFERROR('📊 Risco por Setor'!F21,"")</f>
        <v>Baixo</v>
      </c>
      <c r="E22" s="20" t="s">
        <v>306</v>
      </c>
      <c r="F22" s="20" t="s">
        <v>307</v>
      </c>
      <c r="G22" s="27" t="s">
        <v>308</v>
      </c>
      <c r="H22" s="27" t="s">
        <v>309</v>
      </c>
      <c r="I22" s="20" t="s">
        <v>310</v>
      </c>
      <c r="J22" s="27" t="s">
        <v>243</v>
      </c>
    </row>
    <row r="23" customFormat="false" ht="42" hidden="false" customHeight="true" outlineLevel="0" collapsed="false">
      <c r="A23" s="23" t="str">
        <f aca="false">'📊 Risco por Setor'!$A$5</f>
        <v>Operacional</v>
      </c>
      <c r="B23" s="23" t="str">
        <f aca="false">'📊 Risco por Setor'!B21</f>
        <v>Comportamentos Ofensivos</v>
      </c>
      <c r="C23" s="28" t="n">
        <f aca="false">IFERROR('📊 Risco por Setor'!E21,"")</f>
        <v>0</v>
      </c>
      <c r="D23" s="29" t="str">
        <f aca="false">IFERROR('📊 Risco por Setor'!F21,"")</f>
        <v>Baixo</v>
      </c>
      <c r="E23" s="23" t="s">
        <v>311</v>
      </c>
      <c r="F23" s="23" t="s">
        <v>312</v>
      </c>
      <c r="G23" s="29" t="s">
        <v>255</v>
      </c>
      <c r="H23" s="29" t="s">
        <v>313</v>
      </c>
      <c r="I23" s="23" t="s">
        <v>314</v>
      </c>
      <c r="J23" s="29" t="s">
        <v>243</v>
      </c>
    </row>
    <row r="24" customFormat="false" ht="42" hidden="false" customHeight="true" outlineLevel="0" collapsed="false">
      <c r="A24" s="20" t="str">
        <f aca="false">'📊 Risco por Setor'!$A$5</f>
        <v>Operacional</v>
      </c>
      <c r="B24" s="20" t="str">
        <f aca="false">'📊 Risco por Setor'!B21</f>
        <v>Comportamentos Ofensivos</v>
      </c>
      <c r="C24" s="26" t="n">
        <f aca="false">IFERROR('📊 Risco por Setor'!E21,"")</f>
        <v>0</v>
      </c>
      <c r="D24" s="27" t="str">
        <f aca="false">IFERROR('📊 Risco por Setor'!F21,"")</f>
        <v>Baixo</v>
      </c>
      <c r="E24" s="20" t="s">
        <v>315</v>
      </c>
      <c r="F24" s="20" t="s">
        <v>316</v>
      </c>
      <c r="G24" s="27" t="s">
        <v>317</v>
      </c>
      <c r="H24" s="27" t="s">
        <v>313</v>
      </c>
      <c r="I24" s="20" t="s">
        <v>318</v>
      </c>
      <c r="J24" s="27" t="s">
        <v>243</v>
      </c>
    </row>
    <row r="25" customFormat="false" ht="42" hidden="false" customHeight="true" outlineLevel="0" collapsed="false">
      <c r="A25" s="23" t="str">
        <f aca="false">'📊 Risco por Setor'!$A$6</f>
        <v>Administrativo / Técnico</v>
      </c>
      <c r="B25" s="23" t="str">
        <f aca="false">'📊 Risco por Setor'!B22</f>
        <v>Exigência Laboral</v>
      </c>
      <c r="C25" s="28" t="n">
        <f aca="false">IFERROR('📊 Risco por Setor'!E22,"")</f>
        <v>0</v>
      </c>
      <c r="D25" s="29" t="str">
        <f aca="false">IFERROR('📊 Risco por Setor'!F22,"")</f>
        <v>Baixo</v>
      </c>
      <c r="E25" s="23" t="s">
        <v>238</v>
      </c>
      <c r="F25" s="23" t="s">
        <v>239</v>
      </c>
      <c r="G25" s="29" t="s">
        <v>240</v>
      </c>
      <c r="H25" s="29" t="s">
        <v>241</v>
      </c>
      <c r="I25" s="23" t="s">
        <v>242</v>
      </c>
      <c r="J25" s="29" t="s">
        <v>243</v>
      </c>
    </row>
    <row r="26" customFormat="false" ht="42" hidden="false" customHeight="true" outlineLevel="0" collapsed="false">
      <c r="A26" s="20" t="str">
        <f aca="false">'📊 Risco por Setor'!$A$6</f>
        <v>Administrativo / Técnico</v>
      </c>
      <c r="B26" s="20" t="str">
        <f aca="false">'📊 Risco por Setor'!B22</f>
        <v>Exigência Laboral</v>
      </c>
      <c r="C26" s="26" t="n">
        <f aca="false">IFERROR('📊 Risco por Setor'!E22,"")</f>
        <v>0</v>
      </c>
      <c r="D26" s="27" t="str">
        <f aca="false">IFERROR('📊 Risco por Setor'!F22,"")</f>
        <v>Baixo</v>
      </c>
      <c r="E26" s="20" t="s">
        <v>244</v>
      </c>
      <c r="F26" s="20" t="s">
        <v>245</v>
      </c>
      <c r="G26" s="27" t="s">
        <v>246</v>
      </c>
      <c r="H26" s="27" t="s">
        <v>241</v>
      </c>
      <c r="I26" s="20" t="s">
        <v>247</v>
      </c>
      <c r="J26" s="27" t="s">
        <v>243</v>
      </c>
    </row>
    <row r="27" customFormat="false" ht="42" hidden="false" customHeight="true" outlineLevel="0" collapsed="false">
      <c r="A27" s="23" t="str">
        <f aca="false">'📊 Risco por Setor'!$A$6</f>
        <v>Administrativo / Técnico</v>
      </c>
      <c r="B27" s="23" t="str">
        <f aca="false">'📊 Risco por Setor'!B22</f>
        <v>Exigência Laboral</v>
      </c>
      <c r="C27" s="28" t="n">
        <f aca="false">IFERROR('📊 Risco por Setor'!E22,"")</f>
        <v>0</v>
      </c>
      <c r="D27" s="29" t="str">
        <f aca="false">IFERROR('📊 Risco por Setor'!F22,"")</f>
        <v>Baixo</v>
      </c>
      <c r="E27" s="23" t="s">
        <v>248</v>
      </c>
      <c r="F27" s="23" t="s">
        <v>249</v>
      </c>
      <c r="G27" s="29" t="s">
        <v>250</v>
      </c>
      <c r="H27" s="29" t="s">
        <v>251</v>
      </c>
      <c r="I27" s="23" t="s">
        <v>252</v>
      </c>
      <c r="J27" s="29" t="s">
        <v>243</v>
      </c>
    </row>
    <row r="28" customFormat="false" ht="42" hidden="false" customHeight="true" outlineLevel="0" collapsed="false">
      <c r="A28" s="20" t="str">
        <f aca="false">'📊 Risco por Setor'!$A$6</f>
        <v>Administrativo / Técnico</v>
      </c>
      <c r="B28" s="20" t="str">
        <f aca="false">'📊 Risco por Setor'!B23</f>
        <v>Organização do Trabalho</v>
      </c>
      <c r="C28" s="26" t="n">
        <f aca="false">IFERROR('📊 Risco por Setor'!E23,"")</f>
        <v>0</v>
      </c>
      <c r="D28" s="27" t="str">
        <f aca="false">IFERROR('📊 Risco por Setor'!F23,"")</f>
        <v>Baixo</v>
      </c>
      <c r="E28" s="20" t="s">
        <v>253</v>
      </c>
      <c r="F28" s="20" t="s">
        <v>254</v>
      </c>
      <c r="G28" s="27" t="s">
        <v>255</v>
      </c>
      <c r="H28" s="27" t="s">
        <v>256</v>
      </c>
      <c r="I28" s="20" t="s">
        <v>257</v>
      </c>
      <c r="J28" s="27" t="s">
        <v>243</v>
      </c>
    </row>
    <row r="29" customFormat="false" ht="42" hidden="false" customHeight="true" outlineLevel="0" collapsed="false">
      <c r="A29" s="23" t="str">
        <f aca="false">'📊 Risco por Setor'!$A$6</f>
        <v>Administrativo / Técnico</v>
      </c>
      <c r="B29" s="23" t="str">
        <f aca="false">'📊 Risco por Setor'!B23</f>
        <v>Organização do Trabalho</v>
      </c>
      <c r="C29" s="28" t="n">
        <f aca="false">IFERROR('📊 Risco por Setor'!E23,"")</f>
        <v>0</v>
      </c>
      <c r="D29" s="29" t="str">
        <f aca="false">IFERROR('📊 Risco por Setor'!F23,"")</f>
        <v>Baixo</v>
      </c>
      <c r="E29" s="23" t="s">
        <v>258</v>
      </c>
      <c r="F29" s="23" t="s">
        <v>259</v>
      </c>
      <c r="G29" s="29" t="s">
        <v>260</v>
      </c>
      <c r="H29" s="29" t="s">
        <v>241</v>
      </c>
      <c r="I29" s="23" t="s">
        <v>261</v>
      </c>
      <c r="J29" s="29" t="s">
        <v>243</v>
      </c>
    </row>
    <row r="30" customFormat="false" ht="42" hidden="false" customHeight="true" outlineLevel="0" collapsed="false">
      <c r="A30" s="20" t="str">
        <f aca="false">'📊 Risco por Setor'!$A$6</f>
        <v>Administrativo / Técnico</v>
      </c>
      <c r="B30" s="20" t="str">
        <f aca="false">'📊 Risco por Setor'!B23</f>
        <v>Organização do Trabalho</v>
      </c>
      <c r="C30" s="26" t="n">
        <f aca="false">IFERROR('📊 Risco por Setor'!E23,"")</f>
        <v>0</v>
      </c>
      <c r="D30" s="27" t="str">
        <f aca="false">IFERROR('📊 Risco por Setor'!F23,"")</f>
        <v>Baixo</v>
      </c>
      <c r="E30" s="20" t="s">
        <v>262</v>
      </c>
      <c r="F30" s="20" t="s">
        <v>263</v>
      </c>
      <c r="G30" s="27" t="s">
        <v>255</v>
      </c>
      <c r="H30" s="27" t="s">
        <v>264</v>
      </c>
      <c r="I30" s="20" t="s">
        <v>265</v>
      </c>
      <c r="J30" s="27" t="s">
        <v>243</v>
      </c>
    </row>
    <row r="31" customFormat="false" ht="42" hidden="false" customHeight="true" outlineLevel="0" collapsed="false">
      <c r="A31" s="23" t="str">
        <f aca="false">'📊 Risco por Setor'!$A$6</f>
        <v>Administrativo / Técnico</v>
      </c>
      <c r="B31" s="23" t="str">
        <f aca="false">'📊 Risco por Setor'!B24</f>
        <v>Relações Sociais e Liderança</v>
      </c>
      <c r="C31" s="28" t="n">
        <f aca="false">IFERROR('📊 Risco por Setor'!E24,"")</f>
        <v>0</v>
      </c>
      <c r="D31" s="29" t="str">
        <f aca="false">IFERROR('📊 Risco por Setor'!F24,"")</f>
        <v>Baixo</v>
      </c>
      <c r="E31" s="23" t="s">
        <v>266</v>
      </c>
      <c r="F31" s="23" t="s">
        <v>267</v>
      </c>
      <c r="G31" s="29" t="s">
        <v>268</v>
      </c>
      <c r="H31" s="29" t="s">
        <v>264</v>
      </c>
      <c r="I31" s="23" t="s">
        <v>269</v>
      </c>
      <c r="J31" s="29" t="s">
        <v>243</v>
      </c>
    </row>
    <row r="32" customFormat="false" ht="42" hidden="false" customHeight="true" outlineLevel="0" collapsed="false">
      <c r="A32" s="20" t="str">
        <f aca="false">'📊 Risco por Setor'!$A$6</f>
        <v>Administrativo / Técnico</v>
      </c>
      <c r="B32" s="20" t="str">
        <f aca="false">'📊 Risco por Setor'!B24</f>
        <v>Relações Sociais e Liderança</v>
      </c>
      <c r="C32" s="26" t="n">
        <f aca="false">IFERROR('📊 Risco por Setor'!E24,"")</f>
        <v>0</v>
      </c>
      <c r="D32" s="27" t="str">
        <f aca="false">IFERROR('📊 Risco por Setor'!F24,"")</f>
        <v>Baixo</v>
      </c>
      <c r="E32" s="20" t="s">
        <v>270</v>
      </c>
      <c r="F32" s="20" t="s">
        <v>271</v>
      </c>
      <c r="G32" s="27" t="s">
        <v>246</v>
      </c>
      <c r="H32" s="27" t="s">
        <v>241</v>
      </c>
      <c r="I32" s="20" t="s">
        <v>272</v>
      </c>
      <c r="J32" s="27" t="s">
        <v>243</v>
      </c>
    </row>
    <row r="33" customFormat="false" ht="42" hidden="false" customHeight="true" outlineLevel="0" collapsed="false">
      <c r="A33" s="23" t="str">
        <f aca="false">'📊 Risco por Setor'!$A$6</f>
        <v>Administrativo / Técnico</v>
      </c>
      <c r="B33" s="23" t="str">
        <f aca="false">'📊 Risco por Setor'!B24</f>
        <v>Relações Sociais e Liderança</v>
      </c>
      <c r="C33" s="28" t="n">
        <f aca="false">IFERROR('📊 Risco por Setor'!E24,"")</f>
        <v>0</v>
      </c>
      <c r="D33" s="29" t="str">
        <f aca="false">IFERROR('📊 Risco por Setor'!F24,"")</f>
        <v>Baixo</v>
      </c>
      <c r="E33" s="23" t="s">
        <v>273</v>
      </c>
      <c r="F33" s="23" t="s">
        <v>274</v>
      </c>
      <c r="G33" s="29" t="s">
        <v>250</v>
      </c>
      <c r="H33" s="29" t="s">
        <v>251</v>
      </c>
      <c r="I33" s="23" t="s">
        <v>275</v>
      </c>
      <c r="J33" s="29" t="s">
        <v>243</v>
      </c>
    </row>
    <row r="34" customFormat="false" ht="42" hidden="false" customHeight="true" outlineLevel="0" collapsed="false">
      <c r="A34" s="20" t="str">
        <f aca="false">'📊 Risco por Setor'!$A$6</f>
        <v>Administrativo / Técnico</v>
      </c>
      <c r="B34" s="20" t="str">
        <f aca="false">'📊 Risco por Setor'!B25</f>
        <v>Personalidade / Valores</v>
      </c>
      <c r="C34" s="26" t="n">
        <f aca="false">IFERROR('📊 Risco por Setor'!E25,"")</f>
        <v>0</v>
      </c>
      <c r="D34" s="27" t="str">
        <f aca="false">IFERROR('📊 Risco por Setor'!F25,"")</f>
        <v>Baixo</v>
      </c>
      <c r="E34" s="20" t="s">
        <v>276</v>
      </c>
      <c r="F34" s="20" t="s">
        <v>277</v>
      </c>
      <c r="G34" s="27" t="s">
        <v>268</v>
      </c>
      <c r="H34" s="27" t="s">
        <v>264</v>
      </c>
      <c r="I34" s="20" t="s">
        <v>278</v>
      </c>
      <c r="J34" s="27" t="s">
        <v>243</v>
      </c>
    </row>
    <row r="35" customFormat="false" ht="42" hidden="false" customHeight="true" outlineLevel="0" collapsed="false">
      <c r="A35" s="23" t="str">
        <f aca="false">'📊 Risco por Setor'!$A$6</f>
        <v>Administrativo / Técnico</v>
      </c>
      <c r="B35" s="23" t="str">
        <f aca="false">'📊 Risco por Setor'!B25</f>
        <v>Personalidade / Valores</v>
      </c>
      <c r="C35" s="28" t="n">
        <f aca="false">IFERROR('📊 Risco por Setor'!E25,"")</f>
        <v>0</v>
      </c>
      <c r="D35" s="29" t="str">
        <f aca="false">IFERROR('📊 Risco por Setor'!F25,"")</f>
        <v>Baixo</v>
      </c>
      <c r="E35" s="23" t="s">
        <v>279</v>
      </c>
      <c r="F35" s="23" t="s">
        <v>280</v>
      </c>
      <c r="G35" s="29" t="s">
        <v>255</v>
      </c>
      <c r="H35" s="29" t="s">
        <v>241</v>
      </c>
      <c r="I35" s="23" t="s">
        <v>281</v>
      </c>
      <c r="J35" s="29" t="s">
        <v>243</v>
      </c>
    </row>
    <row r="36" customFormat="false" ht="42" hidden="false" customHeight="true" outlineLevel="0" collapsed="false">
      <c r="A36" s="20" t="str">
        <f aca="false">'📊 Risco por Setor'!$A$6</f>
        <v>Administrativo / Técnico</v>
      </c>
      <c r="B36" s="20" t="str">
        <f aca="false">'📊 Risco por Setor'!B25</f>
        <v>Personalidade / Valores</v>
      </c>
      <c r="C36" s="26" t="n">
        <f aca="false">IFERROR('📊 Risco por Setor'!E25,"")</f>
        <v>0</v>
      </c>
      <c r="D36" s="27" t="str">
        <f aca="false">IFERROR('📊 Risco por Setor'!F25,"")</f>
        <v>Baixo</v>
      </c>
      <c r="E36" s="20" t="s">
        <v>282</v>
      </c>
      <c r="F36" s="20" t="s">
        <v>283</v>
      </c>
      <c r="G36" s="27" t="s">
        <v>240</v>
      </c>
      <c r="H36" s="27" t="s">
        <v>241</v>
      </c>
      <c r="I36" s="20" t="s">
        <v>284</v>
      </c>
      <c r="J36" s="27" t="s">
        <v>243</v>
      </c>
    </row>
    <row r="37" customFormat="false" ht="42" hidden="false" customHeight="true" outlineLevel="0" collapsed="false">
      <c r="A37" s="23" t="str">
        <f aca="false">'📊 Risco por Setor'!$A$6</f>
        <v>Administrativo / Técnico</v>
      </c>
      <c r="B37" s="23" t="str">
        <f aca="false">'📊 Risco por Setor'!B26</f>
        <v>Interface Indivíduo-Trabalho</v>
      </c>
      <c r="C37" s="28" t="n">
        <f aca="false">IFERROR('📊 Risco por Setor'!E26,"")</f>
        <v>0</v>
      </c>
      <c r="D37" s="29" t="str">
        <f aca="false">IFERROR('📊 Risco por Setor'!F26,"")</f>
        <v>Baixo</v>
      </c>
      <c r="E37" s="23" t="s">
        <v>285</v>
      </c>
      <c r="F37" s="23" t="s">
        <v>286</v>
      </c>
      <c r="G37" s="29" t="s">
        <v>268</v>
      </c>
      <c r="H37" s="29" t="s">
        <v>256</v>
      </c>
      <c r="I37" s="23" t="s">
        <v>287</v>
      </c>
      <c r="J37" s="29" t="s">
        <v>243</v>
      </c>
    </row>
    <row r="38" customFormat="false" ht="42" hidden="false" customHeight="true" outlineLevel="0" collapsed="false">
      <c r="A38" s="20" t="str">
        <f aca="false">'📊 Risco por Setor'!$A$6</f>
        <v>Administrativo / Técnico</v>
      </c>
      <c r="B38" s="20" t="str">
        <f aca="false">'📊 Risco por Setor'!B26</f>
        <v>Interface Indivíduo-Trabalho</v>
      </c>
      <c r="C38" s="26" t="n">
        <f aca="false">IFERROR('📊 Risco por Setor'!E26,"")</f>
        <v>0</v>
      </c>
      <c r="D38" s="27" t="str">
        <f aca="false">IFERROR('📊 Risco por Setor'!F26,"")</f>
        <v>Baixo</v>
      </c>
      <c r="E38" s="20" t="s">
        <v>288</v>
      </c>
      <c r="F38" s="20" t="s">
        <v>289</v>
      </c>
      <c r="G38" s="27" t="s">
        <v>290</v>
      </c>
      <c r="H38" s="27" t="s">
        <v>251</v>
      </c>
      <c r="I38" s="20" t="s">
        <v>291</v>
      </c>
      <c r="J38" s="27" t="s">
        <v>243</v>
      </c>
    </row>
    <row r="39" customFormat="false" ht="42" hidden="false" customHeight="true" outlineLevel="0" collapsed="false">
      <c r="A39" s="23" t="str">
        <f aca="false">'📊 Risco por Setor'!$A$6</f>
        <v>Administrativo / Técnico</v>
      </c>
      <c r="B39" s="23" t="str">
        <f aca="false">'📊 Risco por Setor'!B26</f>
        <v>Interface Indivíduo-Trabalho</v>
      </c>
      <c r="C39" s="28" t="n">
        <f aca="false">IFERROR('📊 Risco por Setor'!E26,"")</f>
        <v>0</v>
      </c>
      <c r="D39" s="29" t="str">
        <f aca="false">IFERROR('📊 Risco por Setor'!F26,"")</f>
        <v>Baixo</v>
      </c>
      <c r="E39" s="23" t="s">
        <v>292</v>
      </c>
      <c r="F39" s="23" t="s">
        <v>293</v>
      </c>
      <c r="G39" s="29" t="s">
        <v>246</v>
      </c>
      <c r="H39" s="29" t="s">
        <v>264</v>
      </c>
      <c r="I39" s="23" t="s">
        <v>294</v>
      </c>
      <c r="J39" s="29" t="s">
        <v>243</v>
      </c>
    </row>
    <row r="40" customFormat="false" ht="42" hidden="false" customHeight="true" outlineLevel="0" collapsed="false">
      <c r="A40" s="20" t="str">
        <f aca="false">'📊 Risco por Setor'!$A$6</f>
        <v>Administrativo / Técnico</v>
      </c>
      <c r="B40" s="20" t="str">
        <f aca="false">'📊 Risco por Setor'!B27</f>
        <v>Saúde e Bem-Estar</v>
      </c>
      <c r="C40" s="26" t="n">
        <f aca="false">IFERROR('📊 Risco por Setor'!E27,"")</f>
        <v>0</v>
      </c>
      <c r="D40" s="27" t="str">
        <f aca="false">IFERROR('📊 Risco por Setor'!F27,"")</f>
        <v>Baixo</v>
      </c>
      <c r="E40" s="20" t="s">
        <v>295</v>
      </c>
      <c r="F40" s="20" t="s">
        <v>296</v>
      </c>
      <c r="G40" s="27" t="s">
        <v>297</v>
      </c>
      <c r="H40" s="27" t="s">
        <v>241</v>
      </c>
      <c r="I40" s="20" t="s">
        <v>298</v>
      </c>
      <c r="J40" s="27" t="s">
        <v>243</v>
      </c>
    </row>
    <row r="41" customFormat="false" ht="42" hidden="false" customHeight="true" outlineLevel="0" collapsed="false">
      <c r="A41" s="23" t="str">
        <f aca="false">'📊 Risco por Setor'!$A$6</f>
        <v>Administrativo / Técnico</v>
      </c>
      <c r="B41" s="23" t="str">
        <f aca="false">'📊 Risco por Setor'!B27</f>
        <v>Saúde e Bem-Estar</v>
      </c>
      <c r="C41" s="28" t="n">
        <f aca="false">IFERROR('📊 Risco por Setor'!E27,"")</f>
        <v>0</v>
      </c>
      <c r="D41" s="29" t="str">
        <f aca="false">IFERROR('📊 Risco por Setor'!F27,"")</f>
        <v>Baixo</v>
      </c>
      <c r="E41" s="23" t="s">
        <v>299</v>
      </c>
      <c r="F41" s="23" t="s">
        <v>300</v>
      </c>
      <c r="G41" s="29" t="s">
        <v>250</v>
      </c>
      <c r="H41" s="29" t="s">
        <v>251</v>
      </c>
      <c r="I41" s="23" t="s">
        <v>301</v>
      </c>
      <c r="J41" s="29" t="s">
        <v>243</v>
      </c>
    </row>
    <row r="42" customFormat="false" ht="42" hidden="false" customHeight="true" outlineLevel="0" collapsed="false">
      <c r="A42" s="20" t="str">
        <f aca="false">'📊 Risco por Setor'!$A$6</f>
        <v>Administrativo / Técnico</v>
      </c>
      <c r="B42" s="20" t="str">
        <f aca="false">'📊 Risco por Setor'!B27</f>
        <v>Saúde e Bem-Estar</v>
      </c>
      <c r="C42" s="26" t="n">
        <f aca="false">IFERROR('📊 Risco por Setor'!E27,"")</f>
        <v>0</v>
      </c>
      <c r="D42" s="27" t="str">
        <f aca="false">IFERROR('📊 Risco por Setor'!F27,"")</f>
        <v>Baixo</v>
      </c>
      <c r="E42" s="20" t="s">
        <v>302</v>
      </c>
      <c r="F42" s="20" t="s">
        <v>303</v>
      </c>
      <c r="G42" s="27" t="s">
        <v>304</v>
      </c>
      <c r="H42" s="27" t="s">
        <v>241</v>
      </c>
      <c r="I42" s="20" t="s">
        <v>305</v>
      </c>
      <c r="J42" s="27" t="s">
        <v>243</v>
      </c>
    </row>
    <row r="43" customFormat="false" ht="42" hidden="false" customHeight="true" outlineLevel="0" collapsed="false">
      <c r="A43" s="23" t="str">
        <f aca="false">'📊 Risco por Setor'!$A$6</f>
        <v>Administrativo / Técnico</v>
      </c>
      <c r="B43" s="23" t="str">
        <f aca="false">'📊 Risco por Setor'!B28</f>
        <v>Comportamentos Ofensivos</v>
      </c>
      <c r="C43" s="28" t="n">
        <f aca="false">IFERROR('📊 Risco por Setor'!E28,"")</f>
        <v>0</v>
      </c>
      <c r="D43" s="29" t="str">
        <f aca="false">IFERROR('📊 Risco por Setor'!F28,"")</f>
        <v>Baixo</v>
      </c>
      <c r="E43" s="23" t="s">
        <v>306</v>
      </c>
      <c r="F43" s="23" t="s">
        <v>307</v>
      </c>
      <c r="G43" s="29" t="s">
        <v>308</v>
      </c>
      <c r="H43" s="29" t="s">
        <v>309</v>
      </c>
      <c r="I43" s="23" t="s">
        <v>310</v>
      </c>
      <c r="J43" s="29" t="s">
        <v>243</v>
      </c>
    </row>
    <row r="44" customFormat="false" ht="42" hidden="false" customHeight="true" outlineLevel="0" collapsed="false">
      <c r="A44" s="20" t="str">
        <f aca="false">'📊 Risco por Setor'!$A$6</f>
        <v>Administrativo / Técnico</v>
      </c>
      <c r="B44" s="20" t="str">
        <f aca="false">'📊 Risco por Setor'!B28</f>
        <v>Comportamentos Ofensivos</v>
      </c>
      <c r="C44" s="26" t="n">
        <f aca="false">IFERROR('📊 Risco por Setor'!E28,"")</f>
        <v>0</v>
      </c>
      <c r="D44" s="27" t="str">
        <f aca="false">IFERROR('📊 Risco por Setor'!F28,"")</f>
        <v>Baixo</v>
      </c>
      <c r="E44" s="20" t="s">
        <v>311</v>
      </c>
      <c r="F44" s="20" t="s">
        <v>312</v>
      </c>
      <c r="G44" s="27" t="s">
        <v>255</v>
      </c>
      <c r="H44" s="27" t="s">
        <v>313</v>
      </c>
      <c r="I44" s="20" t="s">
        <v>314</v>
      </c>
      <c r="J44" s="27" t="s">
        <v>243</v>
      </c>
    </row>
    <row r="45" customFormat="false" ht="42" hidden="false" customHeight="true" outlineLevel="0" collapsed="false">
      <c r="A45" s="23" t="str">
        <f aca="false">'📊 Risco por Setor'!$A$6</f>
        <v>Administrativo / Técnico</v>
      </c>
      <c r="B45" s="23" t="str">
        <f aca="false">'📊 Risco por Setor'!B28</f>
        <v>Comportamentos Ofensivos</v>
      </c>
      <c r="C45" s="28" t="n">
        <f aca="false">IFERROR('📊 Risco por Setor'!E28,"")</f>
        <v>0</v>
      </c>
      <c r="D45" s="29" t="str">
        <f aca="false">IFERROR('📊 Risco por Setor'!F28,"")</f>
        <v>Baixo</v>
      </c>
      <c r="E45" s="23" t="s">
        <v>315</v>
      </c>
      <c r="F45" s="23" t="s">
        <v>316</v>
      </c>
      <c r="G45" s="29" t="s">
        <v>317</v>
      </c>
      <c r="H45" s="29" t="s">
        <v>313</v>
      </c>
      <c r="I45" s="23" t="s">
        <v>318</v>
      </c>
      <c r="J45" s="29" t="s">
        <v>243</v>
      </c>
    </row>
    <row r="46" customFormat="false" ht="42" hidden="false" customHeight="true" outlineLevel="0" collapsed="false">
      <c r="A46" s="20" t="n">
        <f aca="false">'📊 Risco por Setor'!$A$7</f>
        <v>0</v>
      </c>
      <c r="B46" s="20" t="str">
        <f aca="false">'📊 Risco por Setor'!B29</f>
        <v>Exigência Laboral</v>
      </c>
      <c r="C46" s="26" t="n">
        <f aca="false">IFERROR('📊 Risco por Setor'!E29,"")</f>
        <v>0</v>
      </c>
      <c r="D46" s="27" t="str">
        <f aca="false">IFERROR('📊 Risco por Setor'!F29,"")</f>
        <v>Baixo</v>
      </c>
      <c r="E46" s="20" t="s">
        <v>238</v>
      </c>
      <c r="F46" s="20" t="s">
        <v>239</v>
      </c>
      <c r="G46" s="27" t="s">
        <v>240</v>
      </c>
      <c r="H46" s="27" t="s">
        <v>241</v>
      </c>
      <c r="I46" s="20" t="s">
        <v>242</v>
      </c>
      <c r="J46" s="27" t="s">
        <v>243</v>
      </c>
    </row>
    <row r="47" customFormat="false" ht="42" hidden="false" customHeight="true" outlineLevel="0" collapsed="false">
      <c r="A47" s="23" t="n">
        <f aca="false">'📊 Risco por Setor'!$A$7</f>
        <v>0</v>
      </c>
      <c r="B47" s="23" t="str">
        <f aca="false">'📊 Risco por Setor'!B29</f>
        <v>Exigência Laboral</v>
      </c>
      <c r="C47" s="28" t="n">
        <f aca="false">IFERROR('📊 Risco por Setor'!E29,"")</f>
        <v>0</v>
      </c>
      <c r="D47" s="29" t="str">
        <f aca="false">IFERROR('📊 Risco por Setor'!F29,"")</f>
        <v>Baixo</v>
      </c>
      <c r="E47" s="23" t="s">
        <v>244</v>
      </c>
      <c r="F47" s="23" t="s">
        <v>245</v>
      </c>
      <c r="G47" s="29" t="s">
        <v>246</v>
      </c>
      <c r="H47" s="29" t="s">
        <v>241</v>
      </c>
      <c r="I47" s="23" t="s">
        <v>247</v>
      </c>
      <c r="J47" s="29" t="s">
        <v>243</v>
      </c>
    </row>
    <row r="48" customFormat="false" ht="42" hidden="false" customHeight="true" outlineLevel="0" collapsed="false">
      <c r="A48" s="20" t="n">
        <f aca="false">'📊 Risco por Setor'!$A$7</f>
        <v>0</v>
      </c>
      <c r="B48" s="20" t="str">
        <f aca="false">'📊 Risco por Setor'!B29</f>
        <v>Exigência Laboral</v>
      </c>
      <c r="C48" s="26" t="n">
        <f aca="false">IFERROR('📊 Risco por Setor'!E29,"")</f>
        <v>0</v>
      </c>
      <c r="D48" s="27" t="str">
        <f aca="false">IFERROR('📊 Risco por Setor'!F29,"")</f>
        <v>Baixo</v>
      </c>
      <c r="E48" s="20" t="s">
        <v>248</v>
      </c>
      <c r="F48" s="20" t="s">
        <v>249</v>
      </c>
      <c r="G48" s="27" t="s">
        <v>250</v>
      </c>
      <c r="H48" s="27" t="s">
        <v>251</v>
      </c>
      <c r="I48" s="20" t="s">
        <v>252</v>
      </c>
      <c r="J48" s="27" t="s">
        <v>243</v>
      </c>
    </row>
    <row r="49" customFormat="false" ht="42" hidden="false" customHeight="true" outlineLevel="0" collapsed="false">
      <c r="A49" s="23" t="n">
        <f aca="false">'📊 Risco por Setor'!$A$7</f>
        <v>0</v>
      </c>
      <c r="B49" s="23" t="str">
        <f aca="false">'📊 Risco por Setor'!B30</f>
        <v>Organização do Trabalho</v>
      </c>
      <c r="C49" s="28" t="n">
        <f aca="false">IFERROR('📊 Risco por Setor'!E30,"")</f>
        <v>0</v>
      </c>
      <c r="D49" s="29" t="str">
        <f aca="false">IFERROR('📊 Risco por Setor'!F30,"")</f>
        <v>Baixo</v>
      </c>
      <c r="E49" s="23" t="s">
        <v>253</v>
      </c>
      <c r="F49" s="23" t="s">
        <v>254</v>
      </c>
      <c r="G49" s="29" t="s">
        <v>255</v>
      </c>
      <c r="H49" s="29" t="s">
        <v>256</v>
      </c>
      <c r="I49" s="23" t="s">
        <v>257</v>
      </c>
      <c r="J49" s="29" t="s">
        <v>243</v>
      </c>
    </row>
    <row r="50" customFormat="false" ht="42" hidden="false" customHeight="true" outlineLevel="0" collapsed="false">
      <c r="A50" s="20" t="n">
        <f aca="false">'📊 Risco por Setor'!$A$7</f>
        <v>0</v>
      </c>
      <c r="B50" s="20" t="str">
        <f aca="false">'📊 Risco por Setor'!B30</f>
        <v>Organização do Trabalho</v>
      </c>
      <c r="C50" s="26" t="n">
        <f aca="false">IFERROR('📊 Risco por Setor'!E30,"")</f>
        <v>0</v>
      </c>
      <c r="D50" s="27" t="str">
        <f aca="false">IFERROR('📊 Risco por Setor'!F30,"")</f>
        <v>Baixo</v>
      </c>
      <c r="E50" s="20" t="s">
        <v>258</v>
      </c>
      <c r="F50" s="20" t="s">
        <v>259</v>
      </c>
      <c r="G50" s="27" t="s">
        <v>260</v>
      </c>
      <c r="H50" s="27" t="s">
        <v>241</v>
      </c>
      <c r="I50" s="20" t="s">
        <v>261</v>
      </c>
      <c r="J50" s="27" t="s">
        <v>243</v>
      </c>
    </row>
    <row r="51" customFormat="false" ht="42" hidden="false" customHeight="true" outlineLevel="0" collapsed="false">
      <c r="A51" s="23" t="n">
        <f aca="false">'📊 Risco por Setor'!$A$7</f>
        <v>0</v>
      </c>
      <c r="B51" s="23" t="str">
        <f aca="false">'📊 Risco por Setor'!B30</f>
        <v>Organização do Trabalho</v>
      </c>
      <c r="C51" s="28" t="n">
        <f aca="false">IFERROR('📊 Risco por Setor'!E30,"")</f>
        <v>0</v>
      </c>
      <c r="D51" s="29" t="str">
        <f aca="false">IFERROR('📊 Risco por Setor'!F30,"")</f>
        <v>Baixo</v>
      </c>
      <c r="E51" s="23" t="s">
        <v>262</v>
      </c>
      <c r="F51" s="23" t="s">
        <v>263</v>
      </c>
      <c r="G51" s="29" t="s">
        <v>255</v>
      </c>
      <c r="H51" s="29" t="s">
        <v>264</v>
      </c>
      <c r="I51" s="23" t="s">
        <v>265</v>
      </c>
      <c r="J51" s="29" t="s">
        <v>243</v>
      </c>
    </row>
    <row r="52" customFormat="false" ht="42" hidden="false" customHeight="true" outlineLevel="0" collapsed="false">
      <c r="A52" s="20" t="n">
        <f aca="false">'📊 Risco por Setor'!$A$7</f>
        <v>0</v>
      </c>
      <c r="B52" s="20" t="str">
        <f aca="false">'📊 Risco por Setor'!B31</f>
        <v>Relações Sociais e Liderança</v>
      </c>
      <c r="C52" s="26" t="n">
        <f aca="false">IFERROR('📊 Risco por Setor'!E31,"")</f>
        <v>0</v>
      </c>
      <c r="D52" s="27" t="str">
        <f aca="false">IFERROR('📊 Risco por Setor'!F31,"")</f>
        <v>Baixo</v>
      </c>
      <c r="E52" s="20" t="s">
        <v>266</v>
      </c>
      <c r="F52" s="20" t="s">
        <v>267</v>
      </c>
      <c r="G52" s="27" t="s">
        <v>268</v>
      </c>
      <c r="H52" s="27" t="s">
        <v>264</v>
      </c>
      <c r="I52" s="20" t="s">
        <v>269</v>
      </c>
      <c r="J52" s="27" t="s">
        <v>243</v>
      </c>
    </row>
    <row r="53" customFormat="false" ht="42" hidden="false" customHeight="true" outlineLevel="0" collapsed="false">
      <c r="A53" s="23" t="n">
        <f aca="false">'📊 Risco por Setor'!$A$7</f>
        <v>0</v>
      </c>
      <c r="B53" s="23" t="str">
        <f aca="false">'📊 Risco por Setor'!B31</f>
        <v>Relações Sociais e Liderança</v>
      </c>
      <c r="C53" s="28" t="n">
        <f aca="false">IFERROR('📊 Risco por Setor'!E31,"")</f>
        <v>0</v>
      </c>
      <c r="D53" s="29" t="str">
        <f aca="false">IFERROR('📊 Risco por Setor'!F31,"")</f>
        <v>Baixo</v>
      </c>
      <c r="E53" s="23" t="s">
        <v>270</v>
      </c>
      <c r="F53" s="23" t="s">
        <v>271</v>
      </c>
      <c r="G53" s="29" t="s">
        <v>246</v>
      </c>
      <c r="H53" s="29" t="s">
        <v>241</v>
      </c>
      <c r="I53" s="23" t="s">
        <v>272</v>
      </c>
      <c r="J53" s="29" t="s">
        <v>243</v>
      </c>
    </row>
    <row r="54" customFormat="false" ht="42" hidden="false" customHeight="true" outlineLevel="0" collapsed="false">
      <c r="A54" s="20" t="n">
        <f aca="false">'📊 Risco por Setor'!$A$7</f>
        <v>0</v>
      </c>
      <c r="B54" s="20" t="str">
        <f aca="false">'📊 Risco por Setor'!B31</f>
        <v>Relações Sociais e Liderança</v>
      </c>
      <c r="C54" s="26" t="n">
        <f aca="false">IFERROR('📊 Risco por Setor'!E31,"")</f>
        <v>0</v>
      </c>
      <c r="D54" s="27" t="str">
        <f aca="false">IFERROR('📊 Risco por Setor'!F31,"")</f>
        <v>Baixo</v>
      </c>
      <c r="E54" s="20" t="s">
        <v>273</v>
      </c>
      <c r="F54" s="20" t="s">
        <v>274</v>
      </c>
      <c r="G54" s="27" t="s">
        <v>250</v>
      </c>
      <c r="H54" s="27" t="s">
        <v>251</v>
      </c>
      <c r="I54" s="20" t="s">
        <v>275</v>
      </c>
      <c r="J54" s="27" t="s">
        <v>243</v>
      </c>
    </row>
    <row r="55" customFormat="false" ht="42" hidden="false" customHeight="true" outlineLevel="0" collapsed="false">
      <c r="A55" s="23" t="n">
        <f aca="false">'📊 Risco por Setor'!$A$7</f>
        <v>0</v>
      </c>
      <c r="B55" s="23" t="str">
        <f aca="false">'📊 Risco por Setor'!B32</f>
        <v>Personalidade / Valores</v>
      </c>
      <c r="C55" s="28" t="n">
        <f aca="false">IFERROR('📊 Risco por Setor'!E32,"")</f>
        <v>0</v>
      </c>
      <c r="D55" s="29" t="str">
        <f aca="false">IFERROR('📊 Risco por Setor'!F32,"")</f>
        <v>Baixo</v>
      </c>
      <c r="E55" s="23" t="s">
        <v>276</v>
      </c>
      <c r="F55" s="23" t="s">
        <v>277</v>
      </c>
      <c r="G55" s="29" t="s">
        <v>268</v>
      </c>
      <c r="H55" s="29" t="s">
        <v>264</v>
      </c>
      <c r="I55" s="23" t="s">
        <v>278</v>
      </c>
      <c r="J55" s="29" t="s">
        <v>243</v>
      </c>
    </row>
    <row r="56" customFormat="false" ht="42" hidden="false" customHeight="true" outlineLevel="0" collapsed="false">
      <c r="A56" s="20" t="n">
        <f aca="false">'📊 Risco por Setor'!$A$7</f>
        <v>0</v>
      </c>
      <c r="B56" s="20" t="str">
        <f aca="false">'📊 Risco por Setor'!B32</f>
        <v>Personalidade / Valores</v>
      </c>
      <c r="C56" s="26" t="n">
        <f aca="false">IFERROR('📊 Risco por Setor'!E32,"")</f>
        <v>0</v>
      </c>
      <c r="D56" s="27" t="str">
        <f aca="false">IFERROR('📊 Risco por Setor'!F32,"")</f>
        <v>Baixo</v>
      </c>
      <c r="E56" s="20" t="s">
        <v>279</v>
      </c>
      <c r="F56" s="20" t="s">
        <v>280</v>
      </c>
      <c r="G56" s="27" t="s">
        <v>255</v>
      </c>
      <c r="H56" s="27" t="s">
        <v>241</v>
      </c>
      <c r="I56" s="20" t="s">
        <v>281</v>
      </c>
      <c r="J56" s="27" t="s">
        <v>243</v>
      </c>
    </row>
    <row r="57" customFormat="false" ht="42" hidden="false" customHeight="true" outlineLevel="0" collapsed="false">
      <c r="A57" s="23" t="n">
        <f aca="false">'📊 Risco por Setor'!$A$7</f>
        <v>0</v>
      </c>
      <c r="B57" s="23" t="str">
        <f aca="false">'📊 Risco por Setor'!B32</f>
        <v>Personalidade / Valores</v>
      </c>
      <c r="C57" s="28" t="n">
        <f aca="false">IFERROR('📊 Risco por Setor'!E32,"")</f>
        <v>0</v>
      </c>
      <c r="D57" s="29" t="str">
        <f aca="false">IFERROR('📊 Risco por Setor'!F32,"")</f>
        <v>Baixo</v>
      </c>
      <c r="E57" s="23" t="s">
        <v>282</v>
      </c>
      <c r="F57" s="23" t="s">
        <v>283</v>
      </c>
      <c r="G57" s="29" t="s">
        <v>240</v>
      </c>
      <c r="H57" s="29" t="s">
        <v>241</v>
      </c>
      <c r="I57" s="23" t="s">
        <v>284</v>
      </c>
      <c r="J57" s="29" t="s">
        <v>243</v>
      </c>
    </row>
    <row r="58" customFormat="false" ht="42" hidden="false" customHeight="true" outlineLevel="0" collapsed="false">
      <c r="A58" s="20" t="n">
        <f aca="false">'📊 Risco por Setor'!$A$7</f>
        <v>0</v>
      </c>
      <c r="B58" s="20" t="str">
        <f aca="false">'📊 Risco por Setor'!B33</f>
        <v>Interface Indivíduo-Trabalho</v>
      </c>
      <c r="C58" s="26" t="n">
        <f aca="false">IFERROR('📊 Risco por Setor'!E33,"")</f>
        <v>0</v>
      </c>
      <c r="D58" s="27" t="str">
        <f aca="false">IFERROR('📊 Risco por Setor'!F33,"")</f>
        <v>Baixo</v>
      </c>
      <c r="E58" s="20" t="s">
        <v>285</v>
      </c>
      <c r="F58" s="20" t="s">
        <v>286</v>
      </c>
      <c r="G58" s="27" t="s">
        <v>268</v>
      </c>
      <c r="H58" s="27" t="s">
        <v>256</v>
      </c>
      <c r="I58" s="20" t="s">
        <v>287</v>
      </c>
      <c r="J58" s="27" t="s">
        <v>243</v>
      </c>
    </row>
    <row r="59" customFormat="false" ht="42" hidden="false" customHeight="true" outlineLevel="0" collapsed="false">
      <c r="A59" s="23" t="n">
        <f aca="false">'📊 Risco por Setor'!$A$7</f>
        <v>0</v>
      </c>
      <c r="B59" s="23" t="str">
        <f aca="false">'📊 Risco por Setor'!B33</f>
        <v>Interface Indivíduo-Trabalho</v>
      </c>
      <c r="C59" s="28" t="n">
        <f aca="false">IFERROR('📊 Risco por Setor'!E33,"")</f>
        <v>0</v>
      </c>
      <c r="D59" s="29" t="str">
        <f aca="false">IFERROR('📊 Risco por Setor'!F33,"")</f>
        <v>Baixo</v>
      </c>
      <c r="E59" s="23" t="s">
        <v>288</v>
      </c>
      <c r="F59" s="23" t="s">
        <v>289</v>
      </c>
      <c r="G59" s="29" t="s">
        <v>290</v>
      </c>
      <c r="H59" s="29" t="s">
        <v>251</v>
      </c>
      <c r="I59" s="23" t="s">
        <v>291</v>
      </c>
      <c r="J59" s="29" t="s">
        <v>243</v>
      </c>
    </row>
    <row r="60" customFormat="false" ht="42" hidden="false" customHeight="true" outlineLevel="0" collapsed="false">
      <c r="A60" s="20" t="n">
        <f aca="false">'📊 Risco por Setor'!$A$7</f>
        <v>0</v>
      </c>
      <c r="B60" s="20" t="str">
        <f aca="false">'📊 Risco por Setor'!B33</f>
        <v>Interface Indivíduo-Trabalho</v>
      </c>
      <c r="C60" s="26" t="n">
        <f aca="false">IFERROR('📊 Risco por Setor'!E33,"")</f>
        <v>0</v>
      </c>
      <c r="D60" s="27" t="str">
        <f aca="false">IFERROR('📊 Risco por Setor'!F33,"")</f>
        <v>Baixo</v>
      </c>
      <c r="E60" s="20" t="s">
        <v>292</v>
      </c>
      <c r="F60" s="20" t="s">
        <v>293</v>
      </c>
      <c r="G60" s="27" t="s">
        <v>246</v>
      </c>
      <c r="H60" s="27" t="s">
        <v>264</v>
      </c>
      <c r="I60" s="20" t="s">
        <v>294</v>
      </c>
      <c r="J60" s="27" t="s">
        <v>243</v>
      </c>
    </row>
    <row r="61" customFormat="false" ht="42" hidden="false" customHeight="true" outlineLevel="0" collapsed="false">
      <c r="A61" s="23" t="n">
        <f aca="false">'📊 Risco por Setor'!$A$7</f>
        <v>0</v>
      </c>
      <c r="B61" s="23" t="str">
        <f aca="false">'📊 Risco por Setor'!B34</f>
        <v>Saúde e Bem-Estar</v>
      </c>
      <c r="C61" s="28" t="n">
        <f aca="false">IFERROR('📊 Risco por Setor'!E34,"")</f>
        <v>0</v>
      </c>
      <c r="D61" s="29" t="str">
        <f aca="false">IFERROR('📊 Risco por Setor'!F34,"")</f>
        <v>Baixo</v>
      </c>
      <c r="E61" s="23" t="s">
        <v>295</v>
      </c>
      <c r="F61" s="23" t="s">
        <v>296</v>
      </c>
      <c r="G61" s="29" t="s">
        <v>297</v>
      </c>
      <c r="H61" s="29" t="s">
        <v>241</v>
      </c>
      <c r="I61" s="23" t="s">
        <v>298</v>
      </c>
      <c r="J61" s="29" t="s">
        <v>243</v>
      </c>
    </row>
    <row r="62" customFormat="false" ht="42" hidden="false" customHeight="true" outlineLevel="0" collapsed="false">
      <c r="A62" s="20" t="n">
        <f aca="false">'📊 Risco por Setor'!$A$7</f>
        <v>0</v>
      </c>
      <c r="B62" s="20" t="str">
        <f aca="false">'📊 Risco por Setor'!B34</f>
        <v>Saúde e Bem-Estar</v>
      </c>
      <c r="C62" s="26" t="n">
        <f aca="false">IFERROR('📊 Risco por Setor'!E34,"")</f>
        <v>0</v>
      </c>
      <c r="D62" s="27" t="str">
        <f aca="false">IFERROR('📊 Risco por Setor'!F34,"")</f>
        <v>Baixo</v>
      </c>
      <c r="E62" s="20" t="s">
        <v>299</v>
      </c>
      <c r="F62" s="20" t="s">
        <v>300</v>
      </c>
      <c r="G62" s="27" t="s">
        <v>250</v>
      </c>
      <c r="H62" s="27" t="s">
        <v>251</v>
      </c>
      <c r="I62" s="20" t="s">
        <v>301</v>
      </c>
      <c r="J62" s="27" t="s">
        <v>243</v>
      </c>
    </row>
    <row r="63" customFormat="false" ht="42" hidden="false" customHeight="true" outlineLevel="0" collapsed="false">
      <c r="A63" s="23" t="n">
        <f aca="false">'📊 Risco por Setor'!$A$7</f>
        <v>0</v>
      </c>
      <c r="B63" s="23" t="str">
        <f aca="false">'📊 Risco por Setor'!B34</f>
        <v>Saúde e Bem-Estar</v>
      </c>
      <c r="C63" s="28" t="n">
        <f aca="false">IFERROR('📊 Risco por Setor'!E34,"")</f>
        <v>0</v>
      </c>
      <c r="D63" s="29" t="str">
        <f aca="false">IFERROR('📊 Risco por Setor'!F34,"")</f>
        <v>Baixo</v>
      </c>
      <c r="E63" s="23" t="s">
        <v>302</v>
      </c>
      <c r="F63" s="23" t="s">
        <v>303</v>
      </c>
      <c r="G63" s="29" t="s">
        <v>304</v>
      </c>
      <c r="H63" s="29" t="s">
        <v>241</v>
      </c>
      <c r="I63" s="23" t="s">
        <v>305</v>
      </c>
      <c r="J63" s="29" t="s">
        <v>243</v>
      </c>
    </row>
    <row r="64" customFormat="false" ht="42" hidden="false" customHeight="true" outlineLevel="0" collapsed="false">
      <c r="A64" s="20" t="n">
        <f aca="false">'📊 Risco por Setor'!$A$7</f>
        <v>0</v>
      </c>
      <c r="B64" s="20" t="str">
        <f aca="false">'📊 Risco por Setor'!B35</f>
        <v>Comportamentos Ofensivos</v>
      </c>
      <c r="C64" s="26" t="n">
        <f aca="false">IFERROR('📊 Risco por Setor'!E35,"")</f>
        <v>0</v>
      </c>
      <c r="D64" s="27" t="str">
        <f aca="false">IFERROR('📊 Risco por Setor'!F35,"")</f>
        <v>Baixo</v>
      </c>
      <c r="E64" s="20" t="s">
        <v>306</v>
      </c>
      <c r="F64" s="20" t="s">
        <v>307</v>
      </c>
      <c r="G64" s="27" t="s">
        <v>308</v>
      </c>
      <c r="H64" s="27" t="s">
        <v>309</v>
      </c>
      <c r="I64" s="20" t="s">
        <v>310</v>
      </c>
      <c r="J64" s="27" t="s">
        <v>243</v>
      </c>
    </row>
    <row r="65" customFormat="false" ht="42" hidden="false" customHeight="true" outlineLevel="0" collapsed="false">
      <c r="A65" s="23" t="n">
        <f aca="false">'📊 Risco por Setor'!$A$7</f>
        <v>0</v>
      </c>
      <c r="B65" s="23" t="str">
        <f aca="false">'📊 Risco por Setor'!B35</f>
        <v>Comportamentos Ofensivos</v>
      </c>
      <c r="C65" s="28" t="n">
        <f aca="false">IFERROR('📊 Risco por Setor'!E35,"")</f>
        <v>0</v>
      </c>
      <c r="D65" s="29" t="str">
        <f aca="false">IFERROR('📊 Risco por Setor'!F35,"")</f>
        <v>Baixo</v>
      </c>
      <c r="E65" s="23" t="s">
        <v>311</v>
      </c>
      <c r="F65" s="23" t="s">
        <v>312</v>
      </c>
      <c r="G65" s="29" t="s">
        <v>255</v>
      </c>
      <c r="H65" s="29" t="s">
        <v>313</v>
      </c>
      <c r="I65" s="23" t="s">
        <v>314</v>
      </c>
      <c r="J65" s="29" t="s">
        <v>243</v>
      </c>
    </row>
    <row r="66" customFormat="false" ht="42" hidden="false" customHeight="true" outlineLevel="0" collapsed="false">
      <c r="A66" s="20" t="n">
        <f aca="false">'📊 Risco por Setor'!$A$7</f>
        <v>0</v>
      </c>
      <c r="B66" s="20" t="str">
        <f aca="false">'📊 Risco por Setor'!B35</f>
        <v>Comportamentos Ofensivos</v>
      </c>
      <c r="C66" s="26" t="n">
        <f aca="false">IFERROR('📊 Risco por Setor'!E35,"")</f>
        <v>0</v>
      </c>
      <c r="D66" s="27" t="str">
        <f aca="false">IFERROR('📊 Risco por Setor'!F35,"")</f>
        <v>Baixo</v>
      </c>
      <c r="E66" s="20" t="s">
        <v>315</v>
      </c>
      <c r="F66" s="20" t="s">
        <v>316</v>
      </c>
      <c r="G66" s="27" t="s">
        <v>317</v>
      </c>
      <c r="H66" s="27" t="s">
        <v>313</v>
      </c>
      <c r="I66" s="20" t="s">
        <v>318</v>
      </c>
      <c r="J66" s="27" t="s">
        <v>243</v>
      </c>
    </row>
    <row r="67" customFormat="false" ht="42" hidden="false" customHeight="true" outlineLevel="0" collapsed="false">
      <c r="A67" s="23" t="n">
        <f aca="false">'📊 Risco por Setor'!$A$8</f>
        <v>0</v>
      </c>
      <c r="B67" s="23" t="str">
        <f aca="false">'📊 Risco por Setor'!B36</f>
        <v>Exigência Laboral</v>
      </c>
      <c r="C67" s="28" t="n">
        <f aca="false">IFERROR('📊 Risco por Setor'!E36,"")</f>
        <v>0</v>
      </c>
      <c r="D67" s="29" t="str">
        <f aca="false">IFERROR('📊 Risco por Setor'!F36,"")</f>
        <v>Baixo</v>
      </c>
      <c r="E67" s="23" t="s">
        <v>238</v>
      </c>
      <c r="F67" s="23" t="s">
        <v>239</v>
      </c>
      <c r="G67" s="29" t="s">
        <v>240</v>
      </c>
      <c r="H67" s="29" t="s">
        <v>241</v>
      </c>
      <c r="I67" s="23" t="s">
        <v>242</v>
      </c>
      <c r="J67" s="29" t="s">
        <v>243</v>
      </c>
    </row>
    <row r="68" customFormat="false" ht="42" hidden="false" customHeight="true" outlineLevel="0" collapsed="false">
      <c r="A68" s="20" t="n">
        <f aca="false">'📊 Risco por Setor'!$A$8</f>
        <v>0</v>
      </c>
      <c r="B68" s="20" t="str">
        <f aca="false">'📊 Risco por Setor'!B36</f>
        <v>Exigência Laboral</v>
      </c>
      <c r="C68" s="26" t="n">
        <f aca="false">IFERROR('📊 Risco por Setor'!E36,"")</f>
        <v>0</v>
      </c>
      <c r="D68" s="27" t="str">
        <f aca="false">IFERROR('📊 Risco por Setor'!F36,"")</f>
        <v>Baixo</v>
      </c>
      <c r="E68" s="20" t="s">
        <v>244</v>
      </c>
      <c r="F68" s="20" t="s">
        <v>245</v>
      </c>
      <c r="G68" s="27" t="s">
        <v>246</v>
      </c>
      <c r="H68" s="27" t="s">
        <v>241</v>
      </c>
      <c r="I68" s="20" t="s">
        <v>247</v>
      </c>
      <c r="J68" s="27" t="s">
        <v>243</v>
      </c>
    </row>
    <row r="69" customFormat="false" ht="42" hidden="false" customHeight="true" outlineLevel="0" collapsed="false">
      <c r="A69" s="23" t="n">
        <f aca="false">'📊 Risco por Setor'!$A$8</f>
        <v>0</v>
      </c>
      <c r="B69" s="23" t="str">
        <f aca="false">'📊 Risco por Setor'!B36</f>
        <v>Exigência Laboral</v>
      </c>
      <c r="C69" s="28" t="n">
        <f aca="false">IFERROR('📊 Risco por Setor'!E36,"")</f>
        <v>0</v>
      </c>
      <c r="D69" s="29" t="str">
        <f aca="false">IFERROR('📊 Risco por Setor'!F36,"")</f>
        <v>Baixo</v>
      </c>
      <c r="E69" s="23" t="s">
        <v>248</v>
      </c>
      <c r="F69" s="23" t="s">
        <v>249</v>
      </c>
      <c r="G69" s="29" t="s">
        <v>250</v>
      </c>
      <c r="H69" s="29" t="s">
        <v>251</v>
      </c>
      <c r="I69" s="23" t="s">
        <v>252</v>
      </c>
      <c r="J69" s="29" t="s">
        <v>243</v>
      </c>
    </row>
    <row r="70" customFormat="false" ht="42" hidden="false" customHeight="true" outlineLevel="0" collapsed="false">
      <c r="A70" s="20" t="n">
        <f aca="false">'📊 Risco por Setor'!$A$8</f>
        <v>0</v>
      </c>
      <c r="B70" s="20" t="str">
        <f aca="false">'📊 Risco por Setor'!B37</f>
        <v>Organização do Trabalho</v>
      </c>
      <c r="C70" s="26" t="n">
        <f aca="false">IFERROR('📊 Risco por Setor'!E37,"")</f>
        <v>0</v>
      </c>
      <c r="D70" s="27" t="str">
        <f aca="false">IFERROR('📊 Risco por Setor'!F37,"")</f>
        <v>Baixo</v>
      </c>
      <c r="E70" s="20" t="s">
        <v>253</v>
      </c>
      <c r="F70" s="20" t="s">
        <v>254</v>
      </c>
      <c r="G70" s="27" t="s">
        <v>255</v>
      </c>
      <c r="H70" s="27" t="s">
        <v>256</v>
      </c>
      <c r="I70" s="20" t="s">
        <v>257</v>
      </c>
      <c r="J70" s="27" t="s">
        <v>243</v>
      </c>
    </row>
    <row r="71" customFormat="false" ht="42" hidden="false" customHeight="true" outlineLevel="0" collapsed="false">
      <c r="A71" s="23" t="n">
        <f aca="false">'📊 Risco por Setor'!$A$8</f>
        <v>0</v>
      </c>
      <c r="B71" s="23" t="str">
        <f aca="false">'📊 Risco por Setor'!B37</f>
        <v>Organização do Trabalho</v>
      </c>
      <c r="C71" s="28" t="n">
        <f aca="false">IFERROR('📊 Risco por Setor'!E37,"")</f>
        <v>0</v>
      </c>
      <c r="D71" s="29" t="str">
        <f aca="false">IFERROR('📊 Risco por Setor'!F37,"")</f>
        <v>Baixo</v>
      </c>
      <c r="E71" s="23" t="s">
        <v>258</v>
      </c>
      <c r="F71" s="23" t="s">
        <v>259</v>
      </c>
      <c r="G71" s="29" t="s">
        <v>260</v>
      </c>
      <c r="H71" s="29" t="s">
        <v>241</v>
      </c>
      <c r="I71" s="23" t="s">
        <v>261</v>
      </c>
      <c r="J71" s="29" t="s">
        <v>243</v>
      </c>
    </row>
    <row r="72" customFormat="false" ht="42" hidden="false" customHeight="true" outlineLevel="0" collapsed="false">
      <c r="A72" s="20" t="n">
        <f aca="false">'📊 Risco por Setor'!$A$8</f>
        <v>0</v>
      </c>
      <c r="B72" s="20" t="str">
        <f aca="false">'📊 Risco por Setor'!B37</f>
        <v>Organização do Trabalho</v>
      </c>
      <c r="C72" s="26" t="n">
        <f aca="false">IFERROR('📊 Risco por Setor'!E37,"")</f>
        <v>0</v>
      </c>
      <c r="D72" s="27" t="str">
        <f aca="false">IFERROR('📊 Risco por Setor'!F37,"")</f>
        <v>Baixo</v>
      </c>
      <c r="E72" s="20" t="s">
        <v>262</v>
      </c>
      <c r="F72" s="20" t="s">
        <v>263</v>
      </c>
      <c r="G72" s="27" t="s">
        <v>255</v>
      </c>
      <c r="H72" s="27" t="s">
        <v>264</v>
      </c>
      <c r="I72" s="20" t="s">
        <v>265</v>
      </c>
      <c r="J72" s="27" t="s">
        <v>243</v>
      </c>
    </row>
    <row r="73" customFormat="false" ht="42" hidden="false" customHeight="true" outlineLevel="0" collapsed="false">
      <c r="A73" s="23" t="n">
        <f aca="false">'📊 Risco por Setor'!$A$8</f>
        <v>0</v>
      </c>
      <c r="B73" s="23" t="str">
        <f aca="false">'📊 Risco por Setor'!B38</f>
        <v>Relações Sociais e Liderança</v>
      </c>
      <c r="C73" s="28" t="n">
        <f aca="false">IFERROR('📊 Risco por Setor'!E38,"")</f>
        <v>0</v>
      </c>
      <c r="D73" s="29" t="str">
        <f aca="false">IFERROR('📊 Risco por Setor'!F38,"")</f>
        <v>Baixo</v>
      </c>
      <c r="E73" s="23" t="s">
        <v>266</v>
      </c>
      <c r="F73" s="23" t="s">
        <v>267</v>
      </c>
      <c r="G73" s="29" t="s">
        <v>268</v>
      </c>
      <c r="H73" s="29" t="s">
        <v>264</v>
      </c>
      <c r="I73" s="23" t="s">
        <v>269</v>
      </c>
      <c r="J73" s="29" t="s">
        <v>243</v>
      </c>
    </row>
    <row r="74" customFormat="false" ht="42" hidden="false" customHeight="true" outlineLevel="0" collapsed="false">
      <c r="A74" s="20" t="n">
        <f aca="false">'📊 Risco por Setor'!$A$8</f>
        <v>0</v>
      </c>
      <c r="B74" s="20" t="str">
        <f aca="false">'📊 Risco por Setor'!B38</f>
        <v>Relações Sociais e Liderança</v>
      </c>
      <c r="C74" s="26" t="n">
        <f aca="false">IFERROR('📊 Risco por Setor'!E38,"")</f>
        <v>0</v>
      </c>
      <c r="D74" s="27" t="str">
        <f aca="false">IFERROR('📊 Risco por Setor'!F38,"")</f>
        <v>Baixo</v>
      </c>
      <c r="E74" s="20" t="s">
        <v>270</v>
      </c>
      <c r="F74" s="20" t="s">
        <v>271</v>
      </c>
      <c r="G74" s="27" t="s">
        <v>246</v>
      </c>
      <c r="H74" s="27" t="s">
        <v>241</v>
      </c>
      <c r="I74" s="20" t="s">
        <v>272</v>
      </c>
      <c r="J74" s="27" t="s">
        <v>243</v>
      </c>
    </row>
    <row r="75" customFormat="false" ht="42" hidden="false" customHeight="true" outlineLevel="0" collapsed="false">
      <c r="A75" s="23" t="n">
        <f aca="false">'📊 Risco por Setor'!$A$8</f>
        <v>0</v>
      </c>
      <c r="B75" s="23" t="str">
        <f aca="false">'📊 Risco por Setor'!B38</f>
        <v>Relações Sociais e Liderança</v>
      </c>
      <c r="C75" s="28" t="n">
        <f aca="false">IFERROR('📊 Risco por Setor'!E38,"")</f>
        <v>0</v>
      </c>
      <c r="D75" s="29" t="str">
        <f aca="false">IFERROR('📊 Risco por Setor'!F38,"")</f>
        <v>Baixo</v>
      </c>
      <c r="E75" s="23" t="s">
        <v>273</v>
      </c>
      <c r="F75" s="23" t="s">
        <v>274</v>
      </c>
      <c r="G75" s="29" t="s">
        <v>250</v>
      </c>
      <c r="H75" s="29" t="s">
        <v>251</v>
      </c>
      <c r="I75" s="23" t="s">
        <v>275</v>
      </c>
      <c r="J75" s="29" t="s">
        <v>243</v>
      </c>
    </row>
    <row r="76" customFormat="false" ht="42" hidden="false" customHeight="true" outlineLevel="0" collapsed="false">
      <c r="A76" s="20" t="n">
        <f aca="false">'📊 Risco por Setor'!$A$8</f>
        <v>0</v>
      </c>
      <c r="B76" s="20" t="str">
        <f aca="false">'📊 Risco por Setor'!B39</f>
        <v>Personalidade / Valores</v>
      </c>
      <c r="C76" s="26" t="n">
        <f aca="false">IFERROR('📊 Risco por Setor'!E39,"")</f>
        <v>0</v>
      </c>
      <c r="D76" s="27" t="str">
        <f aca="false">IFERROR('📊 Risco por Setor'!F39,"")</f>
        <v>Baixo</v>
      </c>
      <c r="E76" s="20" t="s">
        <v>276</v>
      </c>
      <c r="F76" s="20" t="s">
        <v>277</v>
      </c>
      <c r="G76" s="27" t="s">
        <v>268</v>
      </c>
      <c r="H76" s="27" t="s">
        <v>264</v>
      </c>
      <c r="I76" s="20" t="s">
        <v>278</v>
      </c>
      <c r="J76" s="27" t="s">
        <v>243</v>
      </c>
    </row>
    <row r="77" customFormat="false" ht="42" hidden="false" customHeight="true" outlineLevel="0" collapsed="false">
      <c r="A77" s="23" t="n">
        <f aca="false">'📊 Risco por Setor'!$A$8</f>
        <v>0</v>
      </c>
      <c r="B77" s="23" t="str">
        <f aca="false">'📊 Risco por Setor'!B39</f>
        <v>Personalidade / Valores</v>
      </c>
      <c r="C77" s="28" t="n">
        <f aca="false">IFERROR('📊 Risco por Setor'!E39,"")</f>
        <v>0</v>
      </c>
      <c r="D77" s="29" t="str">
        <f aca="false">IFERROR('📊 Risco por Setor'!F39,"")</f>
        <v>Baixo</v>
      </c>
      <c r="E77" s="23" t="s">
        <v>279</v>
      </c>
      <c r="F77" s="23" t="s">
        <v>280</v>
      </c>
      <c r="G77" s="29" t="s">
        <v>255</v>
      </c>
      <c r="H77" s="29" t="s">
        <v>241</v>
      </c>
      <c r="I77" s="23" t="s">
        <v>281</v>
      </c>
      <c r="J77" s="29" t="s">
        <v>243</v>
      </c>
    </row>
    <row r="78" customFormat="false" ht="42" hidden="false" customHeight="true" outlineLevel="0" collapsed="false">
      <c r="A78" s="20" t="n">
        <f aca="false">'📊 Risco por Setor'!$A$8</f>
        <v>0</v>
      </c>
      <c r="B78" s="20" t="str">
        <f aca="false">'📊 Risco por Setor'!B39</f>
        <v>Personalidade / Valores</v>
      </c>
      <c r="C78" s="26" t="n">
        <f aca="false">IFERROR('📊 Risco por Setor'!E39,"")</f>
        <v>0</v>
      </c>
      <c r="D78" s="27" t="str">
        <f aca="false">IFERROR('📊 Risco por Setor'!F39,"")</f>
        <v>Baixo</v>
      </c>
      <c r="E78" s="20" t="s">
        <v>282</v>
      </c>
      <c r="F78" s="20" t="s">
        <v>283</v>
      </c>
      <c r="G78" s="27" t="s">
        <v>240</v>
      </c>
      <c r="H78" s="27" t="s">
        <v>241</v>
      </c>
      <c r="I78" s="20" t="s">
        <v>284</v>
      </c>
      <c r="J78" s="27" t="s">
        <v>243</v>
      </c>
    </row>
    <row r="79" customFormat="false" ht="42" hidden="false" customHeight="true" outlineLevel="0" collapsed="false">
      <c r="A79" s="23" t="n">
        <f aca="false">'📊 Risco por Setor'!$A$8</f>
        <v>0</v>
      </c>
      <c r="B79" s="23" t="str">
        <f aca="false">'📊 Risco por Setor'!B40</f>
        <v>Interface Indivíduo-Trabalho</v>
      </c>
      <c r="C79" s="28" t="n">
        <f aca="false">IFERROR('📊 Risco por Setor'!E40,"")</f>
        <v>0</v>
      </c>
      <c r="D79" s="29" t="str">
        <f aca="false">IFERROR('📊 Risco por Setor'!F40,"")</f>
        <v>Baixo</v>
      </c>
      <c r="E79" s="23" t="s">
        <v>285</v>
      </c>
      <c r="F79" s="23" t="s">
        <v>286</v>
      </c>
      <c r="G79" s="29" t="s">
        <v>268</v>
      </c>
      <c r="H79" s="29" t="s">
        <v>256</v>
      </c>
      <c r="I79" s="23" t="s">
        <v>287</v>
      </c>
      <c r="J79" s="29" t="s">
        <v>243</v>
      </c>
    </row>
    <row r="80" customFormat="false" ht="42" hidden="false" customHeight="true" outlineLevel="0" collapsed="false">
      <c r="A80" s="20" t="n">
        <f aca="false">'📊 Risco por Setor'!$A$8</f>
        <v>0</v>
      </c>
      <c r="B80" s="20" t="str">
        <f aca="false">'📊 Risco por Setor'!B40</f>
        <v>Interface Indivíduo-Trabalho</v>
      </c>
      <c r="C80" s="26" t="n">
        <f aca="false">IFERROR('📊 Risco por Setor'!E40,"")</f>
        <v>0</v>
      </c>
      <c r="D80" s="27" t="str">
        <f aca="false">IFERROR('📊 Risco por Setor'!F40,"")</f>
        <v>Baixo</v>
      </c>
      <c r="E80" s="20" t="s">
        <v>288</v>
      </c>
      <c r="F80" s="20" t="s">
        <v>289</v>
      </c>
      <c r="G80" s="27" t="s">
        <v>290</v>
      </c>
      <c r="H80" s="27" t="s">
        <v>251</v>
      </c>
      <c r="I80" s="20" t="s">
        <v>291</v>
      </c>
      <c r="J80" s="27" t="s">
        <v>243</v>
      </c>
    </row>
    <row r="81" customFormat="false" ht="42" hidden="false" customHeight="true" outlineLevel="0" collapsed="false">
      <c r="A81" s="23" t="n">
        <f aca="false">'📊 Risco por Setor'!$A$8</f>
        <v>0</v>
      </c>
      <c r="B81" s="23" t="str">
        <f aca="false">'📊 Risco por Setor'!B40</f>
        <v>Interface Indivíduo-Trabalho</v>
      </c>
      <c r="C81" s="28" t="n">
        <f aca="false">IFERROR('📊 Risco por Setor'!E40,"")</f>
        <v>0</v>
      </c>
      <c r="D81" s="29" t="str">
        <f aca="false">IFERROR('📊 Risco por Setor'!F40,"")</f>
        <v>Baixo</v>
      </c>
      <c r="E81" s="23" t="s">
        <v>292</v>
      </c>
      <c r="F81" s="23" t="s">
        <v>293</v>
      </c>
      <c r="G81" s="29" t="s">
        <v>246</v>
      </c>
      <c r="H81" s="29" t="s">
        <v>264</v>
      </c>
      <c r="I81" s="23" t="s">
        <v>294</v>
      </c>
      <c r="J81" s="29" t="s">
        <v>243</v>
      </c>
    </row>
    <row r="82" customFormat="false" ht="42" hidden="false" customHeight="true" outlineLevel="0" collapsed="false">
      <c r="A82" s="20" t="n">
        <f aca="false">'📊 Risco por Setor'!$A$8</f>
        <v>0</v>
      </c>
      <c r="B82" s="20" t="str">
        <f aca="false">'📊 Risco por Setor'!B41</f>
        <v>Saúde e Bem-Estar</v>
      </c>
      <c r="C82" s="26" t="n">
        <f aca="false">IFERROR('📊 Risco por Setor'!E41,"")</f>
        <v>0</v>
      </c>
      <c r="D82" s="27" t="str">
        <f aca="false">IFERROR('📊 Risco por Setor'!F41,"")</f>
        <v>Baixo</v>
      </c>
      <c r="E82" s="20" t="s">
        <v>295</v>
      </c>
      <c r="F82" s="20" t="s">
        <v>296</v>
      </c>
      <c r="G82" s="27" t="s">
        <v>297</v>
      </c>
      <c r="H82" s="27" t="s">
        <v>241</v>
      </c>
      <c r="I82" s="20" t="s">
        <v>298</v>
      </c>
      <c r="J82" s="27" t="s">
        <v>243</v>
      </c>
    </row>
    <row r="83" customFormat="false" ht="42" hidden="false" customHeight="true" outlineLevel="0" collapsed="false">
      <c r="A83" s="23" t="n">
        <f aca="false">'📊 Risco por Setor'!$A$8</f>
        <v>0</v>
      </c>
      <c r="B83" s="23" t="str">
        <f aca="false">'📊 Risco por Setor'!B41</f>
        <v>Saúde e Bem-Estar</v>
      </c>
      <c r="C83" s="28" t="n">
        <f aca="false">IFERROR('📊 Risco por Setor'!E41,"")</f>
        <v>0</v>
      </c>
      <c r="D83" s="29" t="str">
        <f aca="false">IFERROR('📊 Risco por Setor'!F41,"")</f>
        <v>Baixo</v>
      </c>
      <c r="E83" s="23" t="s">
        <v>299</v>
      </c>
      <c r="F83" s="23" t="s">
        <v>300</v>
      </c>
      <c r="G83" s="29" t="s">
        <v>250</v>
      </c>
      <c r="H83" s="29" t="s">
        <v>251</v>
      </c>
      <c r="I83" s="23" t="s">
        <v>301</v>
      </c>
      <c r="J83" s="29" t="s">
        <v>243</v>
      </c>
    </row>
    <row r="84" customFormat="false" ht="42" hidden="false" customHeight="true" outlineLevel="0" collapsed="false">
      <c r="A84" s="20" t="n">
        <f aca="false">'📊 Risco por Setor'!$A$8</f>
        <v>0</v>
      </c>
      <c r="B84" s="20" t="str">
        <f aca="false">'📊 Risco por Setor'!B41</f>
        <v>Saúde e Bem-Estar</v>
      </c>
      <c r="C84" s="26" t="n">
        <f aca="false">IFERROR('📊 Risco por Setor'!E41,"")</f>
        <v>0</v>
      </c>
      <c r="D84" s="27" t="str">
        <f aca="false">IFERROR('📊 Risco por Setor'!F41,"")</f>
        <v>Baixo</v>
      </c>
      <c r="E84" s="20" t="s">
        <v>302</v>
      </c>
      <c r="F84" s="20" t="s">
        <v>303</v>
      </c>
      <c r="G84" s="27" t="s">
        <v>304</v>
      </c>
      <c r="H84" s="27" t="s">
        <v>241</v>
      </c>
      <c r="I84" s="20" t="s">
        <v>305</v>
      </c>
      <c r="J84" s="27" t="s">
        <v>243</v>
      </c>
    </row>
    <row r="85" customFormat="false" ht="42" hidden="false" customHeight="true" outlineLevel="0" collapsed="false">
      <c r="A85" s="23" t="n">
        <f aca="false">'📊 Risco por Setor'!$A$8</f>
        <v>0</v>
      </c>
      <c r="B85" s="23" t="str">
        <f aca="false">'📊 Risco por Setor'!B42</f>
        <v>Comportamentos Ofensivos</v>
      </c>
      <c r="C85" s="28" t="n">
        <f aca="false">IFERROR('📊 Risco por Setor'!E42,"")</f>
        <v>0</v>
      </c>
      <c r="D85" s="29" t="str">
        <f aca="false">IFERROR('📊 Risco por Setor'!F42,"")</f>
        <v>Baixo</v>
      </c>
      <c r="E85" s="23" t="s">
        <v>306</v>
      </c>
      <c r="F85" s="23" t="s">
        <v>307</v>
      </c>
      <c r="G85" s="29" t="s">
        <v>308</v>
      </c>
      <c r="H85" s="29" t="s">
        <v>309</v>
      </c>
      <c r="I85" s="23" t="s">
        <v>310</v>
      </c>
      <c r="J85" s="29" t="s">
        <v>243</v>
      </c>
    </row>
    <row r="86" customFormat="false" ht="42" hidden="false" customHeight="true" outlineLevel="0" collapsed="false">
      <c r="A86" s="20" t="n">
        <f aca="false">'📊 Risco por Setor'!$A$8</f>
        <v>0</v>
      </c>
      <c r="B86" s="20" t="str">
        <f aca="false">'📊 Risco por Setor'!B42</f>
        <v>Comportamentos Ofensivos</v>
      </c>
      <c r="C86" s="26" t="n">
        <f aca="false">IFERROR('📊 Risco por Setor'!E42,"")</f>
        <v>0</v>
      </c>
      <c r="D86" s="27" t="str">
        <f aca="false">IFERROR('📊 Risco por Setor'!F42,"")</f>
        <v>Baixo</v>
      </c>
      <c r="E86" s="20" t="s">
        <v>311</v>
      </c>
      <c r="F86" s="20" t="s">
        <v>312</v>
      </c>
      <c r="G86" s="27" t="s">
        <v>255</v>
      </c>
      <c r="H86" s="27" t="s">
        <v>313</v>
      </c>
      <c r="I86" s="20" t="s">
        <v>314</v>
      </c>
      <c r="J86" s="27" t="s">
        <v>243</v>
      </c>
    </row>
    <row r="87" customFormat="false" ht="42" hidden="false" customHeight="true" outlineLevel="0" collapsed="false">
      <c r="A87" s="23" t="n">
        <f aca="false">'📊 Risco por Setor'!$A$8</f>
        <v>0</v>
      </c>
      <c r="B87" s="23" t="str">
        <f aca="false">'📊 Risco por Setor'!B42</f>
        <v>Comportamentos Ofensivos</v>
      </c>
      <c r="C87" s="28" t="n">
        <f aca="false">IFERROR('📊 Risco por Setor'!E42,"")</f>
        <v>0</v>
      </c>
      <c r="D87" s="29" t="str">
        <f aca="false">IFERROR('📊 Risco por Setor'!F42,"")</f>
        <v>Baixo</v>
      </c>
      <c r="E87" s="23" t="s">
        <v>315</v>
      </c>
      <c r="F87" s="23" t="s">
        <v>316</v>
      </c>
      <c r="G87" s="29" t="s">
        <v>317</v>
      </c>
      <c r="H87" s="29" t="s">
        <v>313</v>
      </c>
      <c r="I87" s="23" t="s">
        <v>318</v>
      </c>
      <c r="J87" s="29" t="s">
        <v>243</v>
      </c>
    </row>
    <row r="88" customFormat="false" ht="42" hidden="false" customHeight="true" outlineLevel="0" collapsed="false">
      <c r="A88" s="20" t="n">
        <f aca="false">'📊 Risco por Setor'!$A$9</f>
        <v>0</v>
      </c>
      <c r="B88" s="20" t="str">
        <f aca="false">'📊 Risco por Setor'!B43</f>
        <v>Exigência Laboral</v>
      </c>
      <c r="C88" s="26" t="n">
        <f aca="false">IFERROR('📊 Risco por Setor'!E43,"")</f>
        <v>0</v>
      </c>
      <c r="D88" s="27" t="str">
        <f aca="false">IFERROR('📊 Risco por Setor'!F43,"")</f>
        <v>Baixo</v>
      </c>
      <c r="E88" s="20" t="s">
        <v>238</v>
      </c>
      <c r="F88" s="20" t="s">
        <v>239</v>
      </c>
      <c r="G88" s="27" t="s">
        <v>240</v>
      </c>
      <c r="H88" s="27" t="s">
        <v>241</v>
      </c>
      <c r="I88" s="20" t="s">
        <v>242</v>
      </c>
      <c r="J88" s="27" t="s">
        <v>243</v>
      </c>
    </row>
    <row r="89" customFormat="false" ht="42" hidden="false" customHeight="true" outlineLevel="0" collapsed="false">
      <c r="A89" s="23" t="n">
        <f aca="false">'📊 Risco por Setor'!$A$9</f>
        <v>0</v>
      </c>
      <c r="B89" s="23" t="str">
        <f aca="false">'📊 Risco por Setor'!B43</f>
        <v>Exigência Laboral</v>
      </c>
      <c r="C89" s="28" t="n">
        <f aca="false">IFERROR('📊 Risco por Setor'!E43,"")</f>
        <v>0</v>
      </c>
      <c r="D89" s="29" t="str">
        <f aca="false">IFERROR('📊 Risco por Setor'!F43,"")</f>
        <v>Baixo</v>
      </c>
      <c r="E89" s="23" t="s">
        <v>244</v>
      </c>
      <c r="F89" s="23" t="s">
        <v>245</v>
      </c>
      <c r="G89" s="29" t="s">
        <v>246</v>
      </c>
      <c r="H89" s="29" t="s">
        <v>241</v>
      </c>
      <c r="I89" s="23" t="s">
        <v>247</v>
      </c>
      <c r="J89" s="29" t="s">
        <v>243</v>
      </c>
    </row>
    <row r="90" customFormat="false" ht="42" hidden="false" customHeight="true" outlineLevel="0" collapsed="false">
      <c r="A90" s="20" t="n">
        <f aca="false">'📊 Risco por Setor'!$A$9</f>
        <v>0</v>
      </c>
      <c r="B90" s="20" t="str">
        <f aca="false">'📊 Risco por Setor'!B43</f>
        <v>Exigência Laboral</v>
      </c>
      <c r="C90" s="26" t="n">
        <f aca="false">IFERROR('📊 Risco por Setor'!E43,"")</f>
        <v>0</v>
      </c>
      <c r="D90" s="27" t="str">
        <f aca="false">IFERROR('📊 Risco por Setor'!F43,"")</f>
        <v>Baixo</v>
      </c>
      <c r="E90" s="20" t="s">
        <v>248</v>
      </c>
      <c r="F90" s="20" t="s">
        <v>249</v>
      </c>
      <c r="G90" s="27" t="s">
        <v>250</v>
      </c>
      <c r="H90" s="27" t="s">
        <v>251</v>
      </c>
      <c r="I90" s="20" t="s">
        <v>252</v>
      </c>
      <c r="J90" s="27" t="s">
        <v>243</v>
      </c>
    </row>
    <row r="91" customFormat="false" ht="42" hidden="false" customHeight="true" outlineLevel="0" collapsed="false">
      <c r="A91" s="23" t="n">
        <f aca="false">'📊 Risco por Setor'!$A$9</f>
        <v>0</v>
      </c>
      <c r="B91" s="23" t="str">
        <f aca="false">'📊 Risco por Setor'!B44</f>
        <v>Organização do Trabalho</v>
      </c>
      <c r="C91" s="28" t="n">
        <f aca="false">IFERROR('📊 Risco por Setor'!E44,"")</f>
        <v>0</v>
      </c>
      <c r="D91" s="29" t="str">
        <f aca="false">IFERROR('📊 Risco por Setor'!F44,"")</f>
        <v>Baixo</v>
      </c>
      <c r="E91" s="23" t="s">
        <v>253</v>
      </c>
      <c r="F91" s="23" t="s">
        <v>254</v>
      </c>
      <c r="G91" s="29" t="s">
        <v>255</v>
      </c>
      <c r="H91" s="29" t="s">
        <v>256</v>
      </c>
      <c r="I91" s="23" t="s">
        <v>257</v>
      </c>
      <c r="J91" s="29" t="s">
        <v>243</v>
      </c>
    </row>
    <row r="92" customFormat="false" ht="42" hidden="false" customHeight="true" outlineLevel="0" collapsed="false">
      <c r="A92" s="20" t="n">
        <f aca="false">'📊 Risco por Setor'!$A$9</f>
        <v>0</v>
      </c>
      <c r="B92" s="20" t="str">
        <f aca="false">'📊 Risco por Setor'!B44</f>
        <v>Organização do Trabalho</v>
      </c>
      <c r="C92" s="26" t="n">
        <f aca="false">IFERROR('📊 Risco por Setor'!E44,"")</f>
        <v>0</v>
      </c>
      <c r="D92" s="27" t="str">
        <f aca="false">IFERROR('📊 Risco por Setor'!F44,"")</f>
        <v>Baixo</v>
      </c>
      <c r="E92" s="20" t="s">
        <v>258</v>
      </c>
      <c r="F92" s="20" t="s">
        <v>259</v>
      </c>
      <c r="G92" s="27" t="s">
        <v>260</v>
      </c>
      <c r="H92" s="27" t="s">
        <v>241</v>
      </c>
      <c r="I92" s="20" t="s">
        <v>261</v>
      </c>
      <c r="J92" s="27" t="s">
        <v>243</v>
      </c>
    </row>
    <row r="93" customFormat="false" ht="42" hidden="false" customHeight="true" outlineLevel="0" collapsed="false">
      <c r="A93" s="23" t="n">
        <f aca="false">'📊 Risco por Setor'!$A$9</f>
        <v>0</v>
      </c>
      <c r="B93" s="23" t="str">
        <f aca="false">'📊 Risco por Setor'!B44</f>
        <v>Organização do Trabalho</v>
      </c>
      <c r="C93" s="28" t="n">
        <f aca="false">IFERROR('📊 Risco por Setor'!E44,"")</f>
        <v>0</v>
      </c>
      <c r="D93" s="29" t="str">
        <f aca="false">IFERROR('📊 Risco por Setor'!F44,"")</f>
        <v>Baixo</v>
      </c>
      <c r="E93" s="23" t="s">
        <v>262</v>
      </c>
      <c r="F93" s="23" t="s">
        <v>263</v>
      </c>
      <c r="G93" s="29" t="s">
        <v>255</v>
      </c>
      <c r="H93" s="29" t="s">
        <v>264</v>
      </c>
      <c r="I93" s="23" t="s">
        <v>265</v>
      </c>
      <c r="J93" s="29" t="s">
        <v>243</v>
      </c>
    </row>
    <row r="94" customFormat="false" ht="42" hidden="false" customHeight="true" outlineLevel="0" collapsed="false">
      <c r="A94" s="20" t="n">
        <f aca="false">'📊 Risco por Setor'!$A$9</f>
        <v>0</v>
      </c>
      <c r="B94" s="20" t="str">
        <f aca="false">'📊 Risco por Setor'!B45</f>
        <v>Relações Sociais e Liderança</v>
      </c>
      <c r="C94" s="26" t="n">
        <f aca="false">IFERROR('📊 Risco por Setor'!E45,"")</f>
        <v>0</v>
      </c>
      <c r="D94" s="27" t="str">
        <f aca="false">IFERROR('📊 Risco por Setor'!F45,"")</f>
        <v>Baixo</v>
      </c>
      <c r="E94" s="20" t="s">
        <v>266</v>
      </c>
      <c r="F94" s="20" t="s">
        <v>267</v>
      </c>
      <c r="G94" s="27" t="s">
        <v>268</v>
      </c>
      <c r="H94" s="27" t="s">
        <v>264</v>
      </c>
      <c r="I94" s="20" t="s">
        <v>269</v>
      </c>
      <c r="J94" s="27" t="s">
        <v>243</v>
      </c>
    </row>
    <row r="95" customFormat="false" ht="42" hidden="false" customHeight="true" outlineLevel="0" collapsed="false">
      <c r="A95" s="23" t="n">
        <f aca="false">'📊 Risco por Setor'!$A$9</f>
        <v>0</v>
      </c>
      <c r="B95" s="23" t="str">
        <f aca="false">'📊 Risco por Setor'!B45</f>
        <v>Relações Sociais e Liderança</v>
      </c>
      <c r="C95" s="28" t="n">
        <f aca="false">IFERROR('📊 Risco por Setor'!E45,"")</f>
        <v>0</v>
      </c>
      <c r="D95" s="29" t="str">
        <f aca="false">IFERROR('📊 Risco por Setor'!F45,"")</f>
        <v>Baixo</v>
      </c>
      <c r="E95" s="23" t="s">
        <v>270</v>
      </c>
      <c r="F95" s="23" t="s">
        <v>271</v>
      </c>
      <c r="G95" s="29" t="s">
        <v>246</v>
      </c>
      <c r="H95" s="29" t="s">
        <v>241</v>
      </c>
      <c r="I95" s="23" t="s">
        <v>272</v>
      </c>
      <c r="J95" s="29" t="s">
        <v>243</v>
      </c>
    </row>
    <row r="96" customFormat="false" ht="42" hidden="false" customHeight="true" outlineLevel="0" collapsed="false">
      <c r="A96" s="20" t="n">
        <f aca="false">'📊 Risco por Setor'!$A$9</f>
        <v>0</v>
      </c>
      <c r="B96" s="20" t="str">
        <f aca="false">'📊 Risco por Setor'!B45</f>
        <v>Relações Sociais e Liderança</v>
      </c>
      <c r="C96" s="26" t="n">
        <f aca="false">IFERROR('📊 Risco por Setor'!E45,"")</f>
        <v>0</v>
      </c>
      <c r="D96" s="27" t="str">
        <f aca="false">IFERROR('📊 Risco por Setor'!F45,"")</f>
        <v>Baixo</v>
      </c>
      <c r="E96" s="20" t="s">
        <v>273</v>
      </c>
      <c r="F96" s="20" t="s">
        <v>274</v>
      </c>
      <c r="G96" s="27" t="s">
        <v>250</v>
      </c>
      <c r="H96" s="27" t="s">
        <v>251</v>
      </c>
      <c r="I96" s="20" t="s">
        <v>275</v>
      </c>
      <c r="J96" s="27" t="s">
        <v>243</v>
      </c>
    </row>
    <row r="97" customFormat="false" ht="42" hidden="false" customHeight="true" outlineLevel="0" collapsed="false">
      <c r="A97" s="23" t="n">
        <f aca="false">'📊 Risco por Setor'!$A$9</f>
        <v>0</v>
      </c>
      <c r="B97" s="23" t="str">
        <f aca="false">'📊 Risco por Setor'!B46</f>
        <v>Personalidade / Valores</v>
      </c>
      <c r="C97" s="28" t="n">
        <f aca="false">IFERROR('📊 Risco por Setor'!E46,"")</f>
        <v>0</v>
      </c>
      <c r="D97" s="29" t="str">
        <f aca="false">IFERROR('📊 Risco por Setor'!F46,"")</f>
        <v>Baixo</v>
      </c>
      <c r="E97" s="23" t="s">
        <v>276</v>
      </c>
      <c r="F97" s="23" t="s">
        <v>277</v>
      </c>
      <c r="G97" s="29" t="s">
        <v>268</v>
      </c>
      <c r="H97" s="29" t="s">
        <v>264</v>
      </c>
      <c r="I97" s="23" t="s">
        <v>278</v>
      </c>
      <c r="J97" s="29" t="s">
        <v>243</v>
      </c>
    </row>
    <row r="98" customFormat="false" ht="42" hidden="false" customHeight="true" outlineLevel="0" collapsed="false">
      <c r="A98" s="20" t="n">
        <f aca="false">'📊 Risco por Setor'!$A$9</f>
        <v>0</v>
      </c>
      <c r="B98" s="20" t="str">
        <f aca="false">'📊 Risco por Setor'!B46</f>
        <v>Personalidade / Valores</v>
      </c>
      <c r="C98" s="26" t="n">
        <f aca="false">IFERROR('📊 Risco por Setor'!E46,"")</f>
        <v>0</v>
      </c>
      <c r="D98" s="27" t="str">
        <f aca="false">IFERROR('📊 Risco por Setor'!F46,"")</f>
        <v>Baixo</v>
      </c>
      <c r="E98" s="20" t="s">
        <v>279</v>
      </c>
      <c r="F98" s="20" t="s">
        <v>280</v>
      </c>
      <c r="G98" s="27" t="s">
        <v>255</v>
      </c>
      <c r="H98" s="27" t="s">
        <v>241</v>
      </c>
      <c r="I98" s="20" t="s">
        <v>281</v>
      </c>
      <c r="J98" s="27" t="s">
        <v>243</v>
      </c>
    </row>
    <row r="99" customFormat="false" ht="42" hidden="false" customHeight="true" outlineLevel="0" collapsed="false">
      <c r="A99" s="23" t="n">
        <f aca="false">'📊 Risco por Setor'!$A$9</f>
        <v>0</v>
      </c>
      <c r="B99" s="23" t="str">
        <f aca="false">'📊 Risco por Setor'!B46</f>
        <v>Personalidade / Valores</v>
      </c>
      <c r="C99" s="28" t="n">
        <f aca="false">IFERROR('📊 Risco por Setor'!E46,"")</f>
        <v>0</v>
      </c>
      <c r="D99" s="29" t="str">
        <f aca="false">IFERROR('📊 Risco por Setor'!F46,"")</f>
        <v>Baixo</v>
      </c>
      <c r="E99" s="23" t="s">
        <v>282</v>
      </c>
      <c r="F99" s="23" t="s">
        <v>283</v>
      </c>
      <c r="G99" s="29" t="s">
        <v>240</v>
      </c>
      <c r="H99" s="29" t="s">
        <v>241</v>
      </c>
      <c r="I99" s="23" t="s">
        <v>284</v>
      </c>
      <c r="J99" s="29" t="s">
        <v>243</v>
      </c>
    </row>
    <row r="100" customFormat="false" ht="42" hidden="false" customHeight="true" outlineLevel="0" collapsed="false">
      <c r="A100" s="20" t="n">
        <f aca="false">'📊 Risco por Setor'!$A$9</f>
        <v>0</v>
      </c>
      <c r="B100" s="20" t="str">
        <f aca="false">'📊 Risco por Setor'!B47</f>
        <v>Interface Indivíduo-Trabalho</v>
      </c>
      <c r="C100" s="26" t="n">
        <f aca="false">IFERROR('📊 Risco por Setor'!E47,"")</f>
        <v>0</v>
      </c>
      <c r="D100" s="27" t="str">
        <f aca="false">IFERROR('📊 Risco por Setor'!F47,"")</f>
        <v>Baixo</v>
      </c>
      <c r="E100" s="20" t="s">
        <v>285</v>
      </c>
      <c r="F100" s="20" t="s">
        <v>286</v>
      </c>
      <c r="G100" s="27" t="s">
        <v>268</v>
      </c>
      <c r="H100" s="27" t="s">
        <v>256</v>
      </c>
      <c r="I100" s="20" t="s">
        <v>287</v>
      </c>
      <c r="J100" s="27" t="s">
        <v>243</v>
      </c>
    </row>
    <row r="101" customFormat="false" ht="42" hidden="false" customHeight="true" outlineLevel="0" collapsed="false">
      <c r="A101" s="23" t="n">
        <f aca="false">'📊 Risco por Setor'!$A$9</f>
        <v>0</v>
      </c>
      <c r="B101" s="23" t="str">
        <f aca="false">'📊 Risco por Setor'!B47</f>
        <v>Interface Indivíduo-Trabalho</v>
      </c>
      <c r="C101" s="28" t="n">
        <f aca="false">IFERROR('📊 Risco por Setor'!E47,"")</f>
        <v>0</v>
      </c>
      <c r="D101" s="29" t="str">
        <f aca="false">IFERROR('📊 Risco por Setor'!F47,"")</f>
        <v>Baixo</v>
      </c>
      <c r="E101" s="23" t="s">
        <v>288</v>
      </c>
      <c r="F101" s="23" t="s">
        <v>289</v>
      </c>
      <c r="G101" s="29" t="s">
        <v>290</v>
      </c>
      <c r="H101" s="29" t="s">
        <v>251</v>
      </c>
      <c r="I101" s="23" t="s">
        <v>291</v>
      </c>
      <c r="J101" s="29" t="s">
        <v>243</v>
      </c>
    </row>
    <row r="102" customFormat="false" ht="42" hidden="false" customHeight="true" outlineLevel="0" collapsed="false">
      <c r="A102" s="20" t="n">
        <f aca="false">'📊 Risco por Setor'!$A$9</f>
        <v>0</v>
      </c>
      <c r="B102" s="20" t="str">
        <f aca="false">'📊 Risco por Setor'!B47</f>
        <v>Interface Indivíduo-Trabalho</v>
      </c>
      <c r="C102" s="26" t="n">
        <f aca="false">IFERROR('📊 Risco por Setor'!E47,"")</f>
        <v>0</v>
      </c>
      <c r="D102" s="27" t="str">
        <f aca="false">IFERROR('📊 Risco por Setor'!F47,"")</f>
        <v>Baixo</v>
      </c>
      <c r="E102" s="20" t="s">
        <v>292</v>
      </c>
      <c r="F102" s="20" t="s">
        <v>293</v>
      </c>
      <c r="G102" s="27" t="s">
        <v>246</v>
      </c>
      <c r="H102" s="27" t="s">
        <v>264</v>
      </c>
      <c r="I102" s="20" t="s">
        <v>294</v>
      </c>
      <c r="J102" s="27" t="s">
        <v>243</v>
      </c>
    </row>
    <row r="103" customFormat="false" ht="42" hidden="false" customHeight="true" outlineLevel="0" collapsed="false">
      <c r="A103" s="23" t="n">
        <f aca="false">'📊 Risco por Setor'!$A$9</f>
        <v>0</v>
      </c>
      <c r="B103" s="23" t="str">
        <f aca="false">'📊 Risco por Setor'!B48</f>
        <v>Saúde e Bem-Estar</v>
      </c>
      <c r="C103" s="28" t="n">
        <f aca="false">IFERROR('📊 Risco por Setor'!E48,"")</f>
        <v>0</v>
      </c>
      <c r="D103" s="29" t="str">
        <f aca="false">IFERROR('📊 Risco por Setor'!F48,"")</f>
        <v>Baixo</v>
      </c>
      <c r="E103" s="23" t="s">
        <v>295</v>
      </c>
      <c r="F103" s="23" t="s">
        <v>296</v>
      </c>
      <c r="G103" s="29" t="s">
        <v>297</v>
      </c>
      <c r="H103" s="29" t="s">
        <v>241</v>
      </c>
      <c r="I103" s="23" t="s">
        <v>298</v>
      </c>
      <c r="J103" s="29" t="s">
        <v>243</v>
      </c>
    </row>
    <row r="104" customFormat="false" ht="42" hidden="false" customHeight="true" outlineLevel="0" collapsed="false">
      <c r="A104" s="20" t="n">
        <f aca="false">'📊 Risco por Setor'!$A$9</f>
        <v>0</v>
      </c>
      <c r="B104" s="20" t="str">
        <f aca="false">'📊 Risco por Setor'!B48</f>
        <v>Saúde e Bem-Estar</v>
      </c>
      <c r="C104" s="26" t="n">
        <f aca="false">IFERROR('📊 Risco por Setor'!E48,"")</f>
        <v>0</v>
      </c>
      <c r="D104" s="27" t="str">
        <f aca="false">IFERROR('📊 Risco por Setor'!F48,"")</f>
        <v>Baixo</v>
      </c>
      <c r="E104" s="20" t="s">
        <v>299</v>
      </c>
      <c r="F104" s="20" t="s">
        <v>300</v>
      </c>
      <c r="G104" s="27" t="s">
        <v>250</v>
      </c>
      <c r="H104" s="27" t="s">
        <v>251</v>
      </c>
      <c r="I104" s="20" t="s">
        <v>301</v>
      </c>
      <c r="J104" s="27" t="s">
        <v>243</v>
      </c>
    </row>
    <row r="105" customFormat="false" ht="42" hidden="false" customHeight="true" outlineLevel="0" collapsed="false">
      <c r="A105" s="23" t="n">
        <f aca="false">'📊 Risco por Setor'!$A$9</f>
        <v>0</v>
      </c>
      <c r="B105" s="23" t="str">
        <f aca="false">'📊 Risco por Setor'!B48</f>
        <v>Saúde e Bem-Estar</v>
      </c>
      <c r="C105" s="28" t="n">
        <f aca="false">IFERROR('📊 Risco por Setor'!E48,"")</f>
        <v>0</v>
      </c>
      <c r="D105" s="29" t="str">
        <f aca="false">IFERROR('📊 Risco por Setor'!F48,"")</f>
        <v>Baixo</v>
      </c>
      <c r="E105" s="23" t="s">
        <v>302</v>
      </c>
      <c r="F105" s="23" t="s">
        <v>303</v>
      </c>
      <c r="G105" s="29" t="s">
        <v>304</v>
      </c>
      <c r="H105" s="29" t="s">
        <v>241</v>
      </c>
      <c r="I105" s="23" t="s">
        <v>305</v>
      </c>
      <c r="J105" s="29" t="s">
        <v>243</v>
      </c>
    </row>
    <row r="106" customFormat="false" ht="42" hidden="false" customHeight="true" outlineLevel="0" collapsed="false">
      <c r="A106" s="20" t="n">
        <f aca="false">'📊 Risco por Setor'!$A$9</f>
        <v>0</v>
      </c>
      <c r="B106" s="20" t="str">
        <f aca="false">'📊 Risco por Setor'!B49</f>
        <v>Comportamentos Ofensivos</v>
      </c>
      <c r="C106" s="26" t="n">
        <f aca="false">IFERROR('📊 Risco por Setor'!E49,"")</f>
        <v>0</v>
      </c>
      <c r="D106" s="27" t="str">
        <f aca="false">IFERROR('📊 Risco por Setor'!F49,"")</f>
        <v>Baixo</v>
      </c>
      <c r="E106" s="20" t="s">
        <v>306</v>
      </c>
      <c r="F106" s="20" t="s">
        <v>307</v>
      </c>
      <c r="G106" s="27" t="s">
        <v>308</v>
      </c>
      <c r="H106" s="27" t="s">
        <v>309</v>
      </c>
      <c r="I106" s="20" t="s">
        <v>310</v>
      </c>
      <c r="J106" s="27" t="s">
        <v>243</v>
      </c>
    </row>
    <row r="107" customFormat="false" ht="42" hidden="false" customHeight="true" outlineLevel="0" collapsed="false">
      <c r="A107" s="23" t="n">
        <f aca="false">'📊 Risco por Setor'!$A$9</f>
        <v>0</v>
      </c>
      <c r="B107" s="23" t="str">
        <f aca="false">'📊 Risco por Setor'!B49</f>
        <v>Comportamentos Ofensivos</v>
      </c>
      <c r="C107" s="28" t="n">
        <f aca="false">IFERROR('📊 Risco por Setor'!E49,"")</f>
        <v>0</v>
      </c>
      <c r="D107" s="29" t="str">
        <f aca="false">IFERROR('📊 Risco por Setor'!F49,"")</f>
        <v>Baixo</v>
      </c>
      <c r="E107" s="23" t="s">
        <v>311</v>
      </c>
      <c r="F107" s="23" t="s">
        <v>312</v>
      </c>
      <c r="G107" s="29" t="s">
        <v>255</v>
      </c>
      <c r="H107" s="29" t="s">
        <v>313</v>
      </c>
      <c r="I107" s="23" t="s">
        <v>314</v>
      </c>
      <c r="J107" s="29" t="s">
        <v>243</v>
      </c>
    </row>
    <row r="108" customFormat="false" ht="42" hidden="false" customHeight="true" outlineLevel="0" collapsed="false">
      <c r="A108" s="20" t="n">
        <f aca="false">'📊 Risco por Setor'!$A$9</f>
        <v>0</v>
      </c>
      <c r="B108" s="20" t="str">
        <f aca="false">'📊 Risco por Setor'!B49</f>
        <v>Comportamentos Ofensivos</v>
      </c>
      <c r="C108" s="26" t="n">
        <f aca="false">IFERROR('📊 Risco por Setor'!E49,"")</f>
        <v>0</v>
      </c>
      <c r="D108" s="27" t="str">
        <f aca="false">IFERROR('📊 Risco por Setor'!F49,"")</f>
        <v>Baixo</v>
      </c>
      <c r="E108" s="20" t="s">
        <v>315</v>
      </c>
      <c r="F108" s="20" t="s">
        <v>316</v>
      </c>
      <c r="G108" s="27" t="s">
        <v>317</v>
      </c>
      <c r="H108" s="27" t="s">
        <v>313</v>
      </c>
      <c r="I108" s="20" t="s">
        <v>318</v>
      </c>
      <c r="J108" s="27" t="s">
        <v>243</v>
      </c>
    </row>
    <row r="109" customFormat="false" ht="42" hidden="false" customHeight="true" outlineLevel="0" collapsed="false">
      <c r="A109" s="23" t="n">
        <f aca="false">'📊 Risco por Setor'!$A$10</f>
        <v>0</v>
      </c>
      <c r="B109" s="23" t="str">
        <f aca="false">'📊 Risco por Setor'!B50</f>
        <v>Exigência Laboral</v>
      </c>
      <c r="C109" s="28" t="n">
        <f aca="false">IFERROR('📊 Risco por Setor'!E50,"")</f>
        <v>0</v>
      </c>
      <c r="D109" s="29" t="str">
        <f aca="false">IFERROR('📊 Risco por Setor'!F50,"")</f>
        <v>Baixo</v>
      </c>
      <c r="E109" s="23" t="s">
        <v>238</v>
      </c>
      <c r="F109" s="23" t="s">
        <v>239</v>
      </c>
      <c r="G109" s="29" t="s">
        <v>240</v>
      </c>
      <c r="H109" s="29" t="s">
        <v>241</v>
      </c>
      <c r="I109" s="23" t="s">
        <v>242</v>
      </c>
      <c r="J109" s="29" t="s">
        <v>243</v>
      </c>
    </row>
    <row r="110" customFormat="false" ht="42" hidden="false" customHeight="true" outlineLevel="0" collapsed="false">
      <c r="A110" s="20" t="n">
        <f aca="false">'📊 Risco por Setor'!$A$10</f>
        <v>0</v>
      </c>
      <c r="B110" s="20" t="str">
        <f aca="false">'📊 Risco por Setor'!B50</f>
        <v>Exigência Laboral</v>
      </c>
      <c r="C110" s="26" t="n">
        <f aca="false">IFERROR('📊 Risco por Setor'!E50,"")</f>
        <v>0</v>
      </c>
      <c r="D110" s="27" t="str">
        <f aca="false">IFERROR('📊 Risco por Setor'!F50,"")</f>
        <v>Baixo</v>
      </c>
      <c r="E110" s="20" t="s">
        <v>244</v>
      </c>
      <c r="F110" s="20" t="s">
        <v>245</v>
      </c>
      <c r="G110" s="27" t="s">
        <v>246</v>
      </c>
      <c r="H110" s="27" t="s">
        <v>241</v>
      </c>
      <c r="I110" s="20" t="s">
        <v>247</v>
      </c>
      <c r="J110" s="27" t="s">
        <v>243</v>
      </c>
    </row>
    <row r="111" customFormat="false" ht="42" hidden="false" customHeight="true" outlineLevel="0" collapsed="false">
      <c r="A111" s="23" t="n">
        <f aca="false">'📊 Risco por Setor'!$A$10</f>
        <v>0</v>
      </c>
      <c r="B111" s="23" t="str">
        <f aca="false">'📊 Risco por Setor'!B50</f>
        <v>Exigência Laboral</v>
      </c>
      <c r="C111" s="28" t="n">
        <f aca="false">IFERROR('📊 Risco por Setor'!E50,"")</f>
        <v>0</v>
      </c>
      <c r="D111" s="29" t="str">
        <f aca="false">IFERROR('📊 Risco por Setor'!F50,"")</f>
        <v>Baixo</v>
      </c>
      <c r="E111" s="23" t="s">
        <v>248</v>
      </c>
      <c r="F111" s="23" t="s">
        <v>249</v>
      </c>
      <c r="G111" s="29" t="s">
        <v>250</v>
      </c>
      <c r="H111" s="29" t="s">
        <v>251</v>
      </c>
      <c r="I111" s="23" t="s">
        <v>252</v>
      </c>
      <c r="J111" s="29" t="s">
        <v>243</v>
      </c>
    </row>
    <row r="112" customFormat="false" ht="42" hidden="false" customHeight="true" outlineLevel="0" collapsed="false">
      <c r="A112" s="20" t="n">
        <f aca="false">'📊 Risco por Setor'!$A$10</f>
        <v>0</v>
      </c>
      <c r="B112" s="20" t="str">
        <f aca="false">'📊 Risco por Setor'!B51</f>
        <v>Organização do Trabalho</v>
      </c>
      <c r="C112" s="26" t="n">
        <f aca="false">IFERROR('📊 Risco por Setor'!E51,"")</f>
        <v>0</v>
      </c>
      <c r="D112" s="27" t="str">
        <f aca="false">IFERROR('📊 Risco por Setor'!F51,"")</f>
        <v>Baixo</v>
      </c>
      <c r="E112" s="20" t="s">
        <v>253</v>
      </c>
      <c r="F112" s="20" t="s">
        <v>254</v>
      </c>
      <c r="G112" s="27" t="s">
        <v>255</v>
      </c>
      <c r="H112" s="27" t="s">
        <v>256</v>
      </c>
      <c r="I112" s="20" t="s">
        <v>257</v>
      </c>
      <c r="J112" s="27" t="s">
        <v>243</v>
      </c>
    </row>
    <row r="113" customFormat="false" ht="42" hidden="false" customHeight="true" outlineLevel="0" collapsed="false">
      <c r="A113" s="23" t="n">
        <f aca="false">'📊 Risco por Setor'!$A$10</f>
        <v>0</v>
      </c>
      <c r="B113" s="23" t="str">
        <f aca="false">'📊 Risco por Setor'!B51</f>
        <v>Organização do Trabalho</v>
      </c>
      <c r="C113" s="28" t="n">
        <f aca="false">IFERROR('📊 Risco por Setor'!E51,"")</f>
        <v>0</v>
      </c>
      <c r="D113" s="29" t="str">
        <f aca="false">IFERROR('📊 Risco por Setor'!F51,"")</f>
        <v>Baixo</v>
      </c>
      <c r="E113" s="23" t="s">
        <v>258</v>
      </c>
      <c r="F113" s="23" t="s">
        <v>259</v>
      </c>
      <c r="G113" s="29" t="s">
        <v>260</v>
      </c>
      <c r="H113" s="29" t="s">
        <v>241</v>
      </c>
      <c r="I113" s="23" t="s">
        <v>261</v>
      </c>
      <c r="J113" s="29" t="s">
        <v>243</v>
      </c>
    </row>
    <row r="114" customFormat="false" ht="42" hidden="false" customHeight="true" outlineLevel="0" collapsed="false">
      <c r="A114" s="20" t="n">
        <f aca="false">'📊 Risco por Setor'!$A$10</f>
        <v>0</v>
      </c>
      <c r="B114" s="20" t="str">
        <f aca="false">'📊 Risco por Setor'!B51</f>
        <v>Organização do Trabalho</v>
      </c>
      <c r="C114" s="26" t="n">
        <f aca="false">IFERROR('📊 Risco por Setor'!E51,"")</f>
        <v>0</v>
      </c>
      <c r="D114" s="27" t="str">
        <f aca="false">IFERROR('📊 Risco por Setor'!F51,"")</f>
        <v>Baixo</v>
      </c>
      <c r="E114" s="20" t="s">
        <v>262</v>
      </c>
      <c r="F114" s="20" t="s">
        <v>263</v>
      </c>
      <c r="G114" s="27" t="s">
        <v>255</v>
      </c>
      <c r="H114" s="27" t="s">
        <v>264</v>
      </c>
      <c r="I114" s="20" t="s">
        <v>265</v>
      </c>
      <c r="J114" s="27" t="s">
        <v>243</v>
      </c>
    </row>
    <row r="115" customFormat="false" ht="42" hidden="false" customHeight="true" outlineLevel="0" collapsed="false">
      <c r="A115" s="23" t="n">
        <f aca="false">'📊 Risco por Setor'!$A$10</f>
        <v>0</v>
      </c>
      <c r="B115" s="23" t="str">
        <f aca="false">'📊 Risco por Setor'!B52</f>
        <v>Relações Sociais e Liderança</v>
      </c>
      <c r="C115" s="28" t="n">
        <f aca="false">IFERROR('📊 Risco por Setor'!E52,"")</f>
        <v>0</v>
      </c>
      <c r="D115" s="29" t="str">
        <f aca="false">IFERROR('📊 Risco por Setor'!F52,"")</f>
        <v>Baixo</v>
      </c>
      <c r="E115" s="23" t="s">
        <v>266</v>
      </c>
      <c r="F115" s="23" t="s">
        <v>267</v>
      </c>
      <c r="G115" s="29" t="s">
        <v>268</v>
      </c>
      <c r="H115" s="29" t="s">
        <v>264</v>
      </c>
      <c r="I115" s="23" t="s">
        <v>269</v>
      </c>
      <c r="J115" s="29" t="s">
        <v>243</v>
      </c>
    </row>
    <row r="116" customFormat="false" ht="42" hidden="false" customHeight="true" outlineLevel="0" collapsed="false">
      <c r="A116" s="20" t="n">
        <f aca="false">'📊 Risco por Setor'!$A$10</f>
        <v>0</v>
      </c>
      <c r="B116" s="20" t="str">
        <f aca="false">'📊 Risco por Setor'!B52</f>
        <v>Relações Sociais e Liderança</v>
      </c>
      <c r="C116" s="26" t="n">
        <f aca="false">IFERROR('📊 Risco por Setor'!E52,"")</f>
        <v>0</v>
      </c>
      <c r="D116" s="27" t="str">
        <f aca="false">IFERROR('📊 Risco por Setor'!F52,"")</f>
        <v>Baixo</v>
      </c>
      <c r="E116" s="20" t="s">
        <v>270</v>
      </c>
      <c r="F116" s="20" t="s">
        <v>271</v>
      </c>
      <c r="G116" s="27" t="s">
        <v>246</v>
      </c>
      <c r="H116" s="27" t="s">
        <v>241</v>
      </c>
      <c r="I116" s="20" t="s">
        <v>272</v>
      </c>
      <c r="J116" s="27" t="s">
        <v>243</v>
      </c>
    </row>
    <row r="117" customFormat="false" ht="42" hidden="false" customHeight="true" outlineLevel="0" collapsed="false">
      <c r="A117" s="23" t="n">
        <f aca="false">'📊 Risco por Setor'!$A$10</f>
        <v>0</v>
      </c>
      <c r="B117" s="23" t="str">
        <f aca="false">'📊 Risco por Setor'!B52</f>
        <v>Relações Sociais e Liderança</v>
      </c>
      <c r="C117" s="28" t="n">
        <f aca="false">IFERROR('📊 Risco por Setor'!E52,"")</f>
        <v>0</v>
      </c>
      <c r="D117" s="29" t="str">
        <f aca="false">IFERROR('📊 Risco por Setor'!F52,"")</f>
        <v>Baixo</v>
      </c>
      <c r="E117" s="23" t="s">
        <v>273</v>
      </c>
      <c r="F117" s="23" t="s">
        <v>274</v>
      </c>
      <c r="G117" s="29" t="s">
        <v>250</v>
      </c>
      <c r="H117" s="29" t="s">
        <v>251</v>
      </c>
      <c r="I117" s="23" t="s">
        <v>275</v>
      </c>
      <c r="J117" s="29" t="s">
        <v>243</v>
      </c>
    </row>
    <row r="118" customFormat="false" ht="42" hidden="false" customHeight="true" outlineLevel="0" collapsed="false">
      <c r="A118" s="20" t="n">
        <f aca="false">'📊 Risco por Setor'!$A$10</f>
        <v>0</v>
      </c>
      <c r="B118" s="20" t="str">
        <f aca="false">'📊 Risco por Setor'!B53</f>
        <v>Personalidade / Valores</v>
      </c>
      <c r="C118" s="26" t="n">
        <f aca="false">IFERROR('📊 Risco por Setor'!E53,"")</f>
        <v>0</v>
      </c>
      <c r="D118" s="27" t="str">
        <f aca="false">IFERROR('📊 Risco por Setor'!F53,"")</f>
        <v>Baixo</v>
      </c>
      <c r="E118" s="20" t="s">
        <v>276</v>
      </c>
      <c r="F118" s="20" t="s">
        <v>277</v>
      </c>
      <c r="G118" s="27" t="s">
        <v>268</v>
      </c>
      <c r="H118" s="27" t="s">
        <v>264</v>
      </c>
      <c r="I118" s="20" t="s">
        <v>278</v>
      </c>
      <c r="J118" s="27" t="s">
        <v>243</v>
      </c>
    </row>
    <row r="119" customFormat="false" ht="42" hidden="false" customHeight="true" outlineLevel="0" collapsed="false">
      <c r="A119" s="23" t="n">
        <f aca="false">'📊 Risco por Setor'!$A$10</f>
        <v>0</v>
      </c>
      <c r="B119" s="23" t="str">
        <f aca="false">'📊 Risco por Setor'!B53</f>
        <v>Personalidade / Valores</v>
      </c>
      <c r="C119" s="28" t="n">
        <f aca="false">IFERROR('📊 Risco por Setor'!E53,"")</f>
        <v>0</v>
      </c>
      <c r="D119" s="29" t="str">
        <f aca="false">IFERROR('📊 Risco por Setor'!F53,"")</f>
        <v>Baixo</v>
      </c>
      <c r="E119" s="23" t="s">
        <v>279</v>
      </c>
      <c r="F119" s="23" t="s">
        <v>280</v>
      </c>
      <c r="G119" s="29" t="s">
        <v>255</v>
      </c>
      <c r="H119" s="29" t="s">
        <v>241</v>
      </c>
      <c r="I119" s="23" t="s">
        <v>281</v>
      </c>
      <c r="J119" s="29" t="s">
        <v>243</v>
      </c>
    </row>
    <row r="120" customFormat="false" ht="42" hidden="false" customHeight="true" outlineLevel="0" collapsed="false">
      <c r="A120" s="20" t="n">
        <f aca="false">'📊 Risco por Setor'!$A$10</f>
        <v>0</v>
      </c>
      <c r="B120" s="20" t="str">
        <f aca="false">'📊 Risco por Setor'!B53</f>
        <v>Personalidade / Valores</v>
      </c>
      <c r="C120" s="26" t="n">
        <f aca="false">IFERROR('📊 Risco por Setor'!E53,"")</f>
        <v>0</v>
      </c>
      <c r="D120" s="27" t="str">
        <f aca="false">IFERROR('📊 Risco por Setor'!F53,"")</f>
        <v>Baixo</v>
      </c>
      <c r="E120" s="20" t="s">
        <v>282</v>
      </c>
      <c r="F120" s="20" t="s">
        <v>283</v>
      </c>
      <c r="G120" s="27" t="s">
        <v>240</v>
      </c>
      <c r="H120" s="27" t="s">
        <v>241</v>
      </c>
      <c r="I120" s="20" t="s">
        <v>284</v>
      </c>
      <c r="J120" s="27" t="s">
        <v>243</v>
      </c>
    </row>
    <row r="121" customFormat="false" ht="42" hidden="false" customHeight="true" outlineLevel="0" collapsed="false">
      <c r="A121" s="23" t="n">
        <f aca="false">'📊 Risco por Setor'!$A$10</f>
        <v>0</v>
      </c>
      <c r="B121" s="23" t="str">
        <f aca="false">'📊 Risco por Setor'!B54</f>
        <v>Interface Indivíduo-Trabalho</v>
      </c>
      <c r="C121" s="28" t="n">
        <f aca="false">IFERROR('📊 Risco por Setor'!E54,"")</f>
        <v>0</v>
      </c>
      <c r="D121" s="29" t="str">
        <f aca="false">IFERROR('📊 Risco por Setor'!F54,"")</f>
        <v>Baixo</v>
      </c>
      <c r="E121" s="23" t="s">
        <v>285</v>
      </c>
      <c r="F121" s="23" t="s">
        <v>286</v>
      </c>
      <c r="G121" s="29" t="s">
        <v>268</v>
      </c>
      <c r="H121" s="29" t="s">
        <v>256</v>
      </c>
      <c r="I121" s="23" t="s">
        <v>287</v>
      </c>
      <c r="J121" s="29" t="s">
        <v>243</v>
      </c>
    </row>
    <row r="122" customFormat="false" ht="42" hidden="false" customHeight="true" outlineLevel="0" collapsed="false">
      <c r="A122" s="20" t="n">
        <f aca="false">'📊 Risco por Setor'!$A$10</f>
        <v>0</v>
      </c>
      <c r="B122" s="20" t="str">
        <f aca="false">'📊 Risco por Setor'!B54</f>
        <v>Interface Indivíduo-Trabalho</v>
      </c>
      <c r="C122" s="26" t="n">
        <f aca="false">IFERROR('📊 Risco por Setor'!E54,"")</f>
        <v>0</v>
      </c>
      <c r="D122" s="27" t="str">
        <f aca="false">IFERROR('📊 Risco por Setor'!F54,"")</f>
        <v>Baixo</v>
      </c>
      <c r="E122" s="20" t="s">
        <v>288</v>
      </c>
      <c r="F122" s="20" t="s">
        <v>289</v>
      </c>
      <c r="G122" s="27" t="s">
        <v>290</v>
      </c>
      <c r="H122" s="27" t="s">
        <v>251</v>
      </c>
      <c r="I122" s="20" t="s">
        <v>291</v>
      </c>
      <c r="J122" s="27" t="s">
        <v>243</v>
      </c>
    </row>
    <row r="123" customFormat="false" ht="42" hidden="false" customHeight="true" outlineLevel="0" collapsed="false">
      <c r="A123" s="23" t="n">
        <f aca="false">'📊 Risco por Setor'!$A$10</f>
        <v>0</v>
      </c>
      <c r="B123" s="23" t="str">
        <f aca="false">'📊 Risco por Setor'!B54</f>
        <v>Interface Indivíduo-Trabalho</v>
      </c>
      <c r="C123" s="28" t="n">
        <f aca="false">IFERROR('📊 Risco por Setor'!E54,"")</f>
        <v>0</v>
      </c>
      <c r="D123" s="29" t="str">
        <f aca="false">IFERROR('📊 Risco por Setor'!F54,"")</f>
        <v>Baixo</v>
      </c>
      <c r="E123" s="23" t="s">
        <v>292</v>
      </c>
      <c r="F123" s="23" t="s">
        <v>293</v>
      </c>
      <c r="G123" s="29" t="s">
        <v>246</v>
      </c>
      <c r="H123" s="29" t="s">
        <v>264</v>
      </c>
      <c r="I123" s="23" t="s">
        <v>294</v>
      </c>
      <c r="J123" s="29" t="s">
        <v>243</v>
      </c>
    </row>
    <row r="124" customFormat="false" ht="42" hidden="false" customHeight="true" outlineLevel="0" collapsed="false">
      <c r="A124" s="20" t="n">
        <f aca="false">'📊 Risco por Setor'!$A$10</f>
        <v>0</v>
      </c>
      <c r="B124" s="20" t="str">
        <f aca="false">'📊 Risco por Setor'!B55</f>
        <v>Saúde e Bem-Estar</v>
      </c>
      <c r="C124" s="26" t="n">
        <f aca="false">IFERROR('📊 Risco por Setor'!E55,"")</f>
        <v>0</v>
      </c>
      <c r="D124" s="27" t="str">
        <f aca="false">IFERROR('📊 Risco por Setor'!F55,"")</f>
        <v>Baixo</v>
      </c>
      <c r="E124" s="20" t="s">
        <v>295</v>
      </c>
      <c r="F124" s="20" t="s">
        <v>296</v>
      </c>
      <c r="G124" s="27" t="s">
        <v>297</v>
      </c>
      <c r="H124" s="27" t="s">
        <v>241</v>
      </c>
      <c r="I124" s="20" t="s">
        <v>298</v>
      </c>
      <c r="J124" s="27" t="s">
        <v>243</v>
      </c>
    </row>
    <row r="125" customFormat="false" ht="42" hidden="false" customHeight="true" outlineLevel="0" collapsed="false">
      <c r="A125" s="23" t="n">
        <f aca="false">'📊 Risco por Setor'!$A$10</f>
        <v>0</v>
      </c>
      <c r="B125" s="23" t="str">
        <f aca="false">'📊 Risco por Setor'!B55</f>
        <v>Saúde e Bem-Estar</v>
      </c>
      <c r="C125" s="28" t="n">
        <f aca="false">IFERROR('📊 Risco por Setor'!E55,"")</f>
        <v>0</v>
      </c>
      <c r="D125" s="29" t="str">
        <f aca="false">IFERROR('📊 Risco por Setor'!F55,"")</f>
        <v>Baixo</v>
      </c>
      <c r="E125" s="23" t="s">
        <v>299</v>
      </c>
      <c r="F125" s="23" t="s">
        <v>300</v>
      </c>
      <c r="G125" s="29" t="s">
        <v>250</v>
      </c>
      <c r="H125" s="29" t="s">
        <v>251</v>
      </c>
      <c r="I125" s="23" t="s">
        <v>301</v>
      </c>
      <c r="J125" s="29" t="s">
        <v>243</v>
      </c>
    </row>
    <row r="126" customFormat="false" ht="42" hidden="false" customHeight="true" outlineLevel="0" collapsed="false">
      <c r="A126" s="20" t="n">
        <f aca="false">'📊 Risco por Setor'!$A$10</f>
        <v>0</v>
      </c>
      <c r="B126" s="20" t="str">
        <f aca="false">'📊 Risco por Setor'!B55</f>
        <v>Saúde e Bem-Estar</v>
      </c>
      <c r="C126" s="26" t="n">
        <f aca="false">IFERROR('📊 Risco por Setor'!E55,"")</f>
        <v>0</v>
      </c>
      <c r="D126" s="27" t="str">
        <f aca="false">IFERROR('📊 Risco por Setor'!F55,"")</f>
        <v>Baixo</v>
      </c>
      <c r="E126" s="20" t="s">
        <v>302</v>
      </c>
      <c r="F126" s="20" t="s">
        <v>303</v>
      </c>
      <c r="G126" s="27" t="s">
        <v>304</v>
      </c>
      <c r="H126" s="27" t="s">
        <v>241</v>
      </c>
      <c r="I126" s="20" t="s">
        <v>305</v>
      </c>
      <c r="J126" s="27" t="s">
        <v>243</v>
      </c>
    </row>
    <row r="127" customFormat="false" ht="42" hidden="false" customHeight="true" outlineLevel="0" collapsed="false">
      <c r="A127" s="23" t="n">
        <f aca="false">'📊 Risco por Setor'!$A$10</f>
        <v>0</v>
      </c>
      <c r="B127" s="23" t="str">
        <f aca="false">'📊 Risco por Setor'!B56</f>
        <v>Comportamentos Ofensivos</v>
      </c>
      <c r="C127" s="28" t="n">
        <f aca="false">IFERROR('📊 Risco por Setor'!E56,"")</f>
        <v>0</v>
      </c>
      <c r="D127" s="29" t="str">
        <f aca="false">IFERROR('📊 Risco por Setor'!F56,"")</f>
        <v>Baixo</v>
      </c>
      <c r="E127" s="23" t="s">
        <v>306</v>
      </c>
      <c r="F127" s="23" t="s">
        <v>307</v>
      </c>
      <c r="G127" s="29" t="s">
        <v>308</v>
      </c>
      <c r="H127" s="29" t="s">
        <v>309</v>
      </c>
      <c r="I127" s="23" t="s">
        <v>310</v>
      </c>
      <c r="J127" s="29" t="s">
        <v>243</v>
      </c>
    </row>
    <row r="128" customFormat="false" ht="42" hidden="false" customHeight="true" outlineLevel="0" collapsed="false">
      <c r="A128" s="20" t="n">
        <f aca="false">'📊 Risco por Setor'!$A$10</f>
        <v>0</v>
      </c>
      <c r="B128" s="20" t="str">
        <f aca="false">'📊 Risco por Setor'!B56</f>
        <v>Comportamentos Ofensivos</v>
      </c>
      <c r="C128" s="26" t="n">
        <f aca="false">IFERROR('📊 Risco por Setor'!E56,"")</f>
        <v>0</v>
      </c>
      <c r="D128" s="27" t="str">
        <f aca="false">IFERROR('📊 Risco por Setor'!F56,"")</f>
        <v>Baixo</v>
      </c>
      <c r="E128" s="20" t="s">
        <v>311</v>
      </c>
      <c r="F128" s="20" t="s">
        <v>312</v>
      </c>
      <c r="G128" s="27" t="s">
        <v>255</v>
      </c>
      <c r="H128" s="27" t="s">
        <v>313</v>
      </c>
      <c r="I128" s="20" t="s">
        <v>314</v>
      </c>
      <c r="J128" s="27" t="s">
        <v>243</v>
      </c>
    </row>
    <row r="129" customFormat="false" ht="42" hidden="false" customHeight="true" outlineLevel="0" collapsed="false">
      <c r="A129" s="23" t="n">
        <f aca="false">'📊 Risco por Setor'!$A$10</f>
        <v>0</v>
      </c>
      <c r="B129" s="23" t="str">
        <f aca="false">'📊 Risco por Setor'!B56</f>
        <v>Comportamentos Ofensivos</v>
      </c>
      <c r="C129" s="28" t="n">
        <f aca="false">IFERROR('📊 Risco por Setor'!E56,"")</f>
        <v>0</v>
      </c>
      <c r="D129" s="29" t="str">
        <f aca="false">IFERROR('📊 Risco por Setor'!F56,"")</f>
        <v>Baixo</v>
      </c>
      <c r="E129" s="23" t="s">
        <v>315</v>
      </c>
      <c r="F129" s="23" t="s">
        <v>316</v>
      </c>
      <c r="G129" s="29" t="s">
        <v>317</v>
      </c>
      <c r="H129" s="29" t="s">
        <v>313</v>
      </c>
      <c r="I129" s="23" t="s">
        <v>318</v>
      </c>
      <c r="J129" s="29" t="s">
        <v>243</v>
      </c>
    </row>
    <row r="130" customFormat="false" ht="42" hidden="false" customHeight="true" outlineLevel="0" collapsed="false">
      <c r="A130" s="20" t="n">
        <f aca="false">'📊 Risco por Setor'!$A$11</f>
        <v>0</v>
      </c>
      <c r="B130" s="20" t="str">
        <f aca="false">'📊 Risco por Setor'!B57</f>
        <v>Exigência Laboral</v>
      </c>
      <c r="C130" s="26" t="n">
        <f aca="false">IFERROR('📊 Risco por Setor'!E57,"")</f>
        <v>0</v>
      </c>
      <c r="D130" s="27" t="str">
        <f aca="false">IFERROR('📊 Risco por Setor'!F57,"")</f>
        <v>Baixo</v>
      </c>
      <c r="E130" s="20" t="s">
        <v>238</v>
      </c>
      <c r="F130" s="20" t="s">
        <v>239</v>
      </c>
      <c r="G130" s="27" t="s">
        <v>240</v>
      </c>
      <c r="H130" s="27" t="s">
        <v>241</v>
      </c>
      <c r="I130" s="20" t="s">
        <v>242</v>
      </c>
      <c r="J130" s="27" t="s">
        <v>243</v>
      </c>
    </row>
    <row r="131" customFormat="false" ht="42" hidden="false" customHeight="true" outlineLevel="0" collapsed="false">
      <c r="A131" s="23" t="n">
        <f aca="false">'📊 Risco por Setor'!$A$11</f>
        <v>0</v>
      </c>
      <c r="B131" s="23" t="str">
        <f aca="false">'📊 Risco por Setor'!B57</f>
        <v>Exigência Laboral</v>
      </c>
      <c r="C131" s="28" t="n">
        <f aca="false">IFERROR('📊 Risco por Setor'!E57,"")</f>
        <v>0</v>
      </c>
      <c r="D131" s="29" t="str">
        <f aca="false">IFERROR('📊 Risco por Setor'!F57,"")</f>
        <v>Baixo</v>
      </c>
      <c r="E131" s="23" t="s">
        <v>244</v>
      </c>
      <c r="F131" s="23" t="s">
        <v>245</v>
      </c>
      <c r="G131" s="29" t="s">
        <v>246</v>
      </c>
      <c r="H131" s="29" t="s">
        <v>241</v>
      </c>
      <c r="I131" s="23" t="s">
        <v>247</v>
      </c>
      <c r="J131" s="29" t="s">
        <v>243</v>
      </c>
    </row>
    <row r="132" customFormat="false" ht="42" hidden="false" customHeight="true" outlineLevel="0" collapsed="false">
      <c r="A132" s="20" t="n">
        <f aca="false">'📊 Risco por Setor'!$A$11</f>
        <v>0</v>
      </c>
      <c r="B132" s="20" t="str">
        <f aca="false">'📊 Risco por Setor'!B57</f>
        <v>Exigência Laboral</v>
      </c>
      <c r="C132" s="26" t="n">
        <f aca="false">IFERROR('📊 Risco por Setor'!E57,"")</f>
        <v>0</v>
      </c>
      <c r="D132" s="27" t="str">
        <f aca="false">IFERROR('📊 Risco por Setor'!F57,"")</f>
        <v>Baixo</v>
      </c>
      <c r="E132" s="20" t="s">
        <v>248</v>
      </c>
      <c r="F132" s="20" t="s">
        <v>249</v>
      </c>
      <c r="G132" s="27" t="s">
        <v>250</v>
      </c>
      <c r="H132" s="27" t="s">
        <v>251</v>
      </c>
      <c r="I132" s="20" t="s">
        <v>252</v>
      </c>
      <c r="J132" s="27" t="s">
        <v>243</v>
      </c>
    </row>
    <row r="133" customFormat="false" ht="42" hidden="false" customHeight="true" outlineLevel="0" collapsed="false">
      <c r="A133" s="23" t="n">
        <f aca="false">'📊 Risco por Setor'!$A$11</f>
        <v>0</v>
      </c>
      <c r="B133" s="23" t="str">
        <f aca="false">'📊 Risco por Setor'!B58</f>
        <v>Organização do Trabalho</v>
      </c>
      <c r="C133" s="28" t="n">
        <f aca="false">IFERROR('📊 Risco por Setor'!E58,"")</f>
        <v>0</v>
      </c>
      <c r="D133" s="29" t="str">
        <f aca="false">IFERROR('📊 Risco por Setor'!F58,"")</f>
        <v>Baixo</v>
      </c>
      <c r="E133" s="23" t="s">
        <v>253</v>
      </c>
      <c r="F133" s="23" t="s">
        <v>254</v>
      </c>
      <c r="G133" s="29" t="s">
        <v>255</v>
      </c>
      <c r="H133" s="29" t="s">
        <v>256</v>
      </c>
      <c r="I133" s="23" t="s">
        <v>257</v>
      </c>
      <c r="J133" s="29" t="s">
        <v>243</v>
      </c>
    </row>
    <row r="134" customFormat="false" ht="42" hidden="false" customHeight="true" outlineLevel="0" collapsed="false">
      <c r="A134" s="20" t="n">
        <f aca="false">'📊 Risco por Setor'!$A$11</f>
        <v>0</v>
      </c>
      <c r="B134" s="20" t="str">
        <f aca="false">'📊 Risco por Setor'!B58</f>
        <v>Organização do Trabalho</v>
      </c>
      <c r="C134" s="26" t="n">
        <f aca="false">IFERROR('📊 Risco por Setor'!E58,"")</f>
        <v>0</v>
      </c>
      <c r="D134" s="27" t="str">
        <f aca="false">IFERROR('📊 Risco por Setor'!F58,"")</f>
        <v>Baixo</v>
      </c>
      <c r="E134" s="20" t="s">
        <v>258</v>
      </c>
      <c r="F134" s="20" t="s">
        <v>259</v>
      </c>
      <c r="G134" s="27" t="s">
        <v>260</v>
      </c>
      <c r="H134" s="27" t="s">
        <v>241</v>
      </c>
      <c r="I134" s="20" t="s">
        <v>261</v>
      </c>
      <c r="J134" s="27" t="s">
        <v>243</v>
      </c>
    </row>
    <row r="135" customFormat="false" ht="42" hidden="false" customHeight="true" outlineLevel="0" collapsed="false">
      <c r="A135" s="23" t="n">
        <f aca="false">'📊 Risco por Setor'!$A$11</f>
        <v>0</v>
      </c>
      <c r="B135" s="23" t="str">
        <f aca="false">'📊 Risco por Setor'!B58</f>
        <v>Organização do Trabalho</v>
      </c>
      <c r="C135" s="28" t="n">
        <f aca="false">IFERROR('📊 Risco por Setor'!E58,"")</f>
        <v>0</v>
      </c>
      <c r="D135" s="29" t="str">
        <f aca="false">IFERROR('📊 Risco por Setor'!F58,"")</f>
        <v>Baixo</v>
      </c>
      <c r="E135" s="23" t="s">
        <v>262</v>
      </c>
      <c r="F135" s="23" t="s">
        <v>263</v>
      </c>
      <c r="G135" s="29" t="s">
        <v>255</v>
      </c>
      <c r="H135" s="29" t="s">
        <v>264</v>
      </c>
      <c r="I135" s="23" t="s">
        <v>265</v>
      </c>
      <c r="J135" s="29" t="s">
        <v>243</v>
      </c>
    </row>
    <row r="136" customFormat="false" ht="42" hidden="false" customHeight="true" outlineLevel="0" collapsed="false">
      <c r="A136" s="20" t="n">
        <f aca="false">'📊 Risco por Setor'!$A$11</f>
        <v>0</v>
      </c>
      <c r="B136" s="20" t="str">
        <f aca="false">'📊 Risco por Setor'!B59</f>
        <v>Relações Sociais e Liderança</v>
      </c>
      <c r="C136" s="26" t="n">
        <f aca="false">IFERROR('📊 Risco por Setor'!E59,"")</f>
        <v>0</v>
      </c>
      <c r="D136" s="27" t="str">
        <f aca="false">IFERROR('📊 Risco por Setor'!F59,"")</f>
        <v>Baixo</v>
      </c>
      <c r="E136" s="20" t="s">
        <v>266</v>
      </c>
      <c r="F136" s="20" t="s">
        <v>267</v>
      </c>
      <c r="G136" s="27" t="s">
        <v>268</v>
      </c>
      <c r="H136" s="27" t="s">
        <v>264</v>
      </c>
      <c r="I136" s="20" t="s">
        <v>269</v>
      </c>
      <c r="J136" s="27" t="s">
        <v>243</v>
      </c>
    </row>
    <row r="137" customFormat="false" ht="42" hidden="false" customHeight="true" outlineLevel="0" collapsed="false">
      <c r="A137" s="23" t="n">
        <f aca="false">'📊 Risco por Setor'!$A$11</f>
        <v>0</v>
      </c>
      <c r="B137" s="23" t="str">
        <f aca="false">'📊 Risco por Setor'!B59</f>
        <v>Relações Sociais e Liderança</v>
      </c>
      <c r="C137" s="28" t="n">
        <f aca="false">IFERROR('📊 Risco por Setor'!E59,"")</f>
        <v>0</v>
      </c>
      <c r="D137" s="29" t="str">
        <f aca="false">IFERROR('📊 Risco por Setor'!F59,"")</f>
        <v>Baixo</v>
      </c>
      <c r="E137" s="23" t="s">
        <v>270</v>
      </c>
      <c r="F137" s="23" t="s">
        <v>271</v>
      </c>
      <c r="G137" s="29" t="s">
        <v>246</v>
      </c>
      <c r="H137" s="29" t="s">
        <v>241</v>
      </c>
      <c r="I137" s="23" t="s">
        <v>272</v>
      </c>
      <c r="J137" s="29" t="s">
        <v>243</v>
      </c>
    </row>
    <row r="138" customFormat="false" ht="42" hidden="false" customHeight="true" outlineLevel="0" collapsed="false">
      <c r="A138" s="20" t="n">
        <f aca="false">'📊 Risco por Setor'!$A$11</f>
        <v>0</v>
      </c>
      <c r="B138" s="20" t="str">
        <f aca="false">'📊 Risco por Setor'!B59</f>
        <v>Relações Sociais e Liderança</v>
      </c>
      <c r="C138" s="26" t="n">
        <f aca="false">IFERROR('📊 Risco por Setor'!E59,"")</f>
        <v>0</v>
      </c>
      <c r="D138" s="27" t="str">
        <f aca="false">IFERROR('📊 Risco por Setor'!F59,"")</f>
        <v>Baixo</v>
      </c>
      <c r="E138" s="20" t="s">
        <v>273</v>
      </c>
      <c r="F138" s="20" t="s">
        <v>274</v>
      </c>
      <c r="G138" s="27" t="s">
        <v>250</v>
      </c>
      <c r="H138" s="27" t="s">
        <v>251</v>
      </c>
      <c r="I138" s="20" t="s">
        <v>275</v>
      </c>
      <c r="J138" s="27" t="s">
        <v>243</v>
      </c>
    </row>
    <row r="139" customFormat="false" ht="42" hidden="false" customHeight="true" outlineLevel="0" collapsed="false">
      <c r="A139" s="23" t="n">
        <f aca="false">'📊 Risco por Setor'!$A$11</f>
        <v>0</v>
      </c>
      <c r="B139" s="23" t="str">
        <f aca="false">'📊 Risco por Setor'!B60</f>
        <v>Personalidade / Valores</v>
      </c>
      <c r="C139" s="28" t="n">
        <f aca="false">IFERROR('📊 Risco por Setor'!E60,"")</f>
        <v>0</v>
      </c>
      <c r="D139" s="29" t="str">
        <f aca="false">IFERROR('📊 Risco por Setor'!F60,"")</f>
        <v>Baixo</v>
      </c>
      <c r="E139" s="23" t="s">
        <v>276</v>
      </c>
      <c r="F139" s="23" t="s">
        <v>277</v>
      </c>
      <c r="G139" s="29" t="s">
        <v>268</v>
      </c>
      <c r="H139" s="29" t="s">
        <v>264</v>
      </c>
      <c r="I139" s="23" t="s">
        <v>278</v>
      </c>
      <c r="J139" s="29" t="s">
        <v>243</v>
      </c>
    </row>
    <row r="140" customFormat="false" ht="42" hidden="false" customHeight="true" outlineLevel="0" collapsed="false">
      <c r="A140" s="20" t="n">
        <f aca="false">'📊 Risco por Setor'!$A$11</f>
        <v>0</v>
      </c>
      <c r="B140" s="20" t="str">
        <f aca="false">'📊 Risco por Setor'!B60</f>
        <v>Personalidade / Valores</v>
      </c>
      <c r="C140" s="26" t="n">
        <f aca="false">IFERROR('📊 Risco por Setor'!E60,"")</f>
        <v>0</v>
      </c>
      <c r="D140" s="27" t="str">
        <f aca="false">IFERROR('📊 Risco por Setor'!F60,"")</f>
        <v>Baixo</v>
      </c>
      <c r="E140" s="20" t="s">
        <v>279</v>
      </c>
      <c r="F140" s="20" t="s">
        <v>280</v>
      </c>
      <c r="G140" s="27" t="s">
        <v>255</v>
      </c>
      <c r="H140" s="27" t="s">
        <v>241</v>
      </c>
      <c r="I140" s="20" t="s">
        <v>281</v>
      </c>
      <c r="J140" s="27" t="s">
        <v>243</v>
      </c>
    </row>
    <row r="141" customFormat="false" ht="42" hidden="false" customHeight="true" outlineLevel="0" collapsed="false">
      <c r="A141" s="23" t="n">
        <f aca="false">'📊 Risco por Setor'!$A$11</f>
        <v>0</v>
      </c>
      <c r="B141" s="23" t="str">
        <f aca="false">'📊 Risco por Setor'!B60</f>
        <v>Personalidade / Valores</v>
      </c>
      <c r="C141" s="28" t="n">
        <f aca="false">IFERROR('📊 Risco por Setor'!E60,"")</f>
        <v>0</v>
      </c>
      <c r="D141" s="29" t="str">
        <f aca="false">IFERROR('📊 Risco por Setor'!F60,"")</f>
        <v>Baixo</v>
      </c>
      <c r="E141" s="23" t="s">
        <v>282</v>
      </c>
      <c r="F141" s="23" t="s">
        <v>283</v>
      </c>
      <c r="G141" s="29" t="s">
        <v>240</v>
      </c>
      <c r="H141" s="29" t="s">
        <v>241</v>
      </c>
      <c r="I141" s="23" t="s">
        <v>284</v>
      </c>
      <c r="J141" s="29" t="s">
        <v>243</v>
      </c>
    </row>
    <row r="142" customFormat="false" ht="42" hidden="false" customHeight="true" outlineLevel="0" collapsed="false">
      <c r="A142" s="20" t="n">
        <f aca="false">'📊 Risco por Setor'!$A$11</f>
        <v>0</v>
      </c>
      <c r="B142" s="20" t="str">
        <f aca="false">'📊 Risco por Setor'!B61</f>
        <v>Interface Indivíduo-Trabalho</v>
      </c>
      <c r="C142" s="26" t="n">
        <f aca="false">IFERROR('📊 Risco por Setor'!E61,"")</f>
        <v>0</v>
      </c>
      <c r="D142" s="27" t="str">
        <f aca="false">IFERROR('📊 Risco por Setor'!F61,"")</f>
        <v>Baixo</v>
      </c>
      <c r="E142" s="20" t="s">
        <v>285</v>
      </c>
      <c r="F142" s="20" t="s">
        <v>286</v>
      </c>
      <c r="G142" s="27" t="s">
        <v>268</v>
      </c>
      <c r="H142" s="27" t="s">
        <v>256</v>
      </c>
      <c r="I142" s="20" t="s">
        <v>287</v>
      </c>
      <c r="J142" s="27" t="s">
        <v>243</v>
      </c>
    </row>
    <row r="143" customFormat="false" ht="42" hidden="false" customHeight="true" outlineLevel="0" collapsed="false">
      <c r="A143" s="23" t="n">
        <f aca="false">'📊 Risco por Setor'!$A$11</f>
        <v>0</v>
      </c>
      <c r="B143" s="23" t="str">
        <f aca="false">'📊 Risco por Setor'!B61</f>
        <v>Interface Indivíduo-Trabalho</v>
      </c>
      <c r="C143" s="28" t="n">
        <f aca="false">IFERROR('📊 Risco por Setor'!E61,"")</f>
        <v>0</v>
      </c>
      <c r="D143" s="29" t="str">
        <f aca="false">IFERROR('📊 Risco por Setor'!F61,"")</f>
        <v>Baixo</v>
      </c>
      <c r="E143" s="23" t="s">
        <v>288</v>
      </c>
      <c r="F143" s="23" t="s">
        <v>289</v>
      </c>
      <c r="G143" s="29" t="s">
        <v>290</v>
      </c>
      <c r="H143" s="29" t="s">
        <v>251</v>
      </c>
      <c r="I143" s="23" t="s">
        <v>291</v>
      </c>
      <c r="J143" s="29" t="s">
        <v>243</v>
      </c>
    </row>
    <row r="144" customFormat="false" ht="42" hidden="false" customHeight="true" outlineLevel="0" collapsed="false">
      <c r="A144" s="20" t="n">
        <f aca="false">'📊 Risco por Setor'!$A$11</f>
        <v>0</v>
      </c>
      <c r="B144" s="20" t="str">
        <f aca="false">'📊 Risco por Setor'!B61</f>
        <v>Interface Indivíduo-Trabalho</v>
      </c>
      <c r="C144" s="26" t="n">
        <f aca="false">IFERROR('📊 Risco por Setor'!E61,"")</f>
        <v>0</v>
      </c>
      <c r="D144" s="27" t="str">
        <f aca="false">IFERROR('📊 Risco por Setor'!F61,"")</f>
        <v>Baixo</v>
      </c>
      <c r="E144" s="20" t="s">
        <v>292</v>
      </c>
      <c r="F144" s="20" t="s">
        <v>293</v>
      </c>
      <c r="G144" s="27" t="s">
        <v>246</v>
      </c>
      <c r="H144" s="27" t="s">
        <v>264</v>
      </c>
      <c r="I144" s="20" t="s">
        <v>294</v>
      </c>
      <c r="J144" s="27" t="s">
        <v>243</v>
      </c>
    </row>
    <row r="145" customFormat="false" ht="42" hidden="false" customHeight="true" outlineLevel="0" collapsed="false">
      <c r="A145" s="23" t="n">
        <f aca="false">'📊 Risco por Setor'!$A$11</f>
        <v>0</v>
      </c>
      <c r="B145" s="23" t="str">
        <f aca="false">'📊 Risco por Setor'!B62</f>
        <v>Saúde e Bem-Estar</v>
      </c>
      <c r="C145" s="28" t="n">
        <f aca="false">IFERROR('📊 Risco por Setor'!E62,"")</f>
        <v>0</v>
      </c>
      <c r="D145" s="29" t="str">
        <f aca="false">IFERROR('📊 Risco por Setor'!F62,"")</f>
        <v>Baixo</v>
      </c>
      <c r="E145" s="23" t="s">
        <v>295</v>
      </c>
      <c r="F145" s="23" t="s">
        <v>296</v>
      </c>
      <c r="G145" s="29" t="s">
        <v>297</v>
      </c>
      <c r="H145" s="29" t="s">
        <v>241</v>
      </c>
      <c r="I145" s="23" t="s">
        <v>298</v>
      </c>
      <c r="J145" s="29" t="s">
        <v>243</v>
      </c>
    </row>
    <row r="146" customFormat="false" ht="42" hidden="false" customHeight="true" outlineLevel="0" collapsed="false">
      <c r="A146" s="20" t="n">
        <f aca="false">'📊 Risco por Setor'!$A$11</f>
        <v>0</v>
      </c>
      <c r="B146" s="20" t="str">
        <f aca="false">'📊 Risco por Setor'!B62</f>
        <v>Saúde e Bem-Estar</v>
      </c>
      <c r="C146" s="26" t="n">
        <f aca="false">IFERROR('📊 Risco por Setor'!E62,"")</f>
        <v>0</v>
      </c>
      <c r="D146" s="27" t="str">
        <f aca="false">IFERROR('📊 Risco por Setor'!F62,"")</f>
        <v>Baixo</v>
      </c>
      <c r="E146" s="20" t="s">
        <v>299</v>
      </c>
      <c r="F146" s="20" t="s">
        <v>300</v>
      </c>
      <c r="G146" s="27" t="s">
        <v>250</v>
      </c>
      <c r="H146" s="27" t="s">
        <v>251</v>
      </c>
      <c r="I146" s="20" t="s">
        <v>301</v>
      </c>
      <c r="J146" s="27" t="s">
        <v>243</v>
      </c>
    </row>
    <row r="147" customFormat="false" ht="42" hidden="false" customHeight="true" outlineLevel="0" collapsed="false">
      <c r="A147" s="23" t="n">
        <f aca="false">'📊 Risco por Setor'!$A$11</f>
        <v>0</v>
      </c>
      <c r="B147" s="23" t="str">
        <f aca="false">'📊 Risco por Setor'!B62</f>
        <v>Saúde e Bem-Estar</v>
      </c>
      <c r="C147" s="28" t="n">
        <f aca="false">IFERROR('📊 Risco por Setor'!E62,"")</f>
        <v>0</v>
      </c>
      <c r="D147" s="29" t="str">
        <f aca="false">IFERROR('📊 Risco por Setor'!F62,"")</f>
        <v>Baixo</v>
      </c>
      <c r="E147" s="23" t="s">
        <v>302</v>
      </c>
      <c r="F147" s="23" t="s">
        <v>303</v>
      </c>
      <c r="G147" s="29" t="s">
        <v>304</v>
      </c>
      <c r="H147" s="29" t="s">
        <v>241</v>
      </c>
      <c r="I147" s="23" t="s">
        <v>305</v>
      </c>
      <c r="J147" s="29" t="s">
        <v>243</v>
      </c>
    </row>
    <row r="148" customFormat="false" ht="42" hidden="false" customHeight="true" outlineLevel="0" collapsed="false">
      <c r="A148" s="20" t="n">
        <f aca="false">'📊 Risco por Setor'!$A$11</f>
        <v>0</v>
      </c>
      <c r="B148" s="20" t="str">
        <f aca="false">'📊 Risco por Setor'!B63</f>
        <v>Comportamentos Ofensivos</v>
      </c>
      <c r="C148" s="26" t="n">
        <f aca="false">IFERROR('📊 Risco por Setor'!E63,"")</f>
        <v>0</v>
      </c>
      <c r="D148" s="27" t="str">
        <f aca="false">IFERROR('📊 Risco por Setor'!F63,"")</f>
        <v>Baixo</v>
      </c>
      <c r="E148" s="20" t="s">
        <v>306</v>
      </c>
      <c r="F148" s="20" t="s">
        <v>307</v>
      </c>
      <c r="G148" s="27" t="s">
        <v>308</v>
      </c>
      <c r="H148" s="27" t="s">
        <v>309</v>
      </c>
      <c r="I148" s="20" t="s">
        <v>310</v>
      </c>
      <c r="J148" s="27" t="s">
        <v>243</v>
      </c>
    </row>
    <row r="149" customFormat="false" ht="42" hidden="false" customHeight="true" outlineLevel="0" collapsed="false">
      <c r="A149" s="23" t="n">
        <f aca="false">'📊 Risco por Setor'!$A$11</f>
        <v>0</v>
      </c>
      <c r="B149" s="23" t="str">
        <f aca="false">'📊 Risco por Setor'!B63</f>
        <v>Comportamentos Ofensivos</v>
      </c>
      <c r="C149" s="28" t="n">
        <f aca="false">IFERROR('📊 Risco por Setor'!E63,"")</f>
        <v>0</v>
      </c>
      <c r="D149" s="29" t="str">
        <f aca="false">IFERROR('📊 Risco por Setor'!F63,"")</f>
        <v>Baixo</v>
      </c>
      <c r="E149" s="23" t="s">
        <v>311</v>
      </c>
      <c r="F149" s="23" t="s">
        <v>312</v>
      </c>
      <c r="G149" s="29" t="s">
        <v>255</v>
      </c>
      <c r="H149" s="29" t="s">
        <v>313</v>
      </c>
      <c r="I149" s="23" t="s">
        <v>314</v>
      </c>
      <c r="J149" s="29" t="s">
        <v>243</v>
      </c>
    </row>
    <row r="150" customFormat="false" ht="42" hidden="false" customHeight="true" outlineLevel="0" collapsed="false">
      <c r="A150" s="20" t="n">
        <f aca="false">'📊 Risco por Setor'!$A$11</f>
        <v>0</v>
      </c>
      <c r="B150" s="20" t="str">
        <f aca="false">'📊 Risco por Setor'!B63</f>
        <v>Comportamentos Ofensivos</v>
      </c>
      <c r="C150" s="26" t="n">
        <f aca="false">IFERROR('📊 Risco por Setor'!E63,"")</f>
        <v>0</v>
      </c>
      <c r="D150" s="27" t="str">
        <f aca="false">IFERROR('📊 Risco por Setor'!F63,"")</f>
        <v>Baixo</v>
      </c>
      <c r="E150" s="20" t="s">
        <v>315</v>
      </c>
      <c r="F150" s="20" t="s">
        <v>316</v>
      </c>
      <c r="G150" s="27" t="s">
        <v>317</v>
      </c>
      <c r="H150" s="27" t="s">
        <v>313</v>
      </c>
      <c r="I150" s="20" t="s">
        <v>318</v>
      </c>
      <c r="J150" s="27" t="s">
        <v>243</v>
      </c>
    </row>
    <row r="151" customFormat="false" ht="42" hidden="false" customHeight="true" outlineLevel="0" collapsed="false">
      <c r="A151" s="23" t="n">
        <f aca="false">'📊 Risco por Setor'!$A$12</f>
        <v>0</v>
      </c>
      <c r="B151" s="23" t="str">
        <f aca="false">'📊 Risco por Setor'!B64</f>
        <v>Exigência Laboral</v>
      </c>
      <c r="C151" s="28" t="n">
        <f aca="false">IFERROR('📊 Risco por Setor'!E64,"")</f>
        <v>0</v>
      </c>
      <c r="D151" s="29" t="str">
        <f aca="false">IFERROR('📊 Risco por Setor'!F64,"")</f>
        <v>Baixo</v>
      </c>
      <c r="E151" s="23" t="s">
        <v>238</v>
      </c>
      <c r="F151" s="23" t="s">
        <v>239</v>
      </c>
      <c r="G151" s="29" t="s">
        <v>240</v>
      </c>
      <c r="H151" s="29" t="s">
        <v>241</v>
      </c>
      <c r="I151" s="23" t="s">
        <v>242</v>
      </c>
      <c r="J151" s="29" t="s">
        <v>243</v>
      </c>
    </row>
    <row r="152" customFormat="false" ht="42" hidden="false" customHeight="true" outlineLevel="0" collapsed="false">
      <c r="A152" s="20" t="n">
        <f aca="false">'📊 Risco por Setor'!$A$12</f>
        <v>0</v>
      </c>
      <c r="B152" s="20" t="str">
        <f aca="false">'📊 Risco por Setor'!B64</f>
        <v>Exigência Laboral</v>
      </c>
      <c r="C152" s="26" t="n">
        <f aca="false">IFERROR('📊 Risco por Setor'!E64,"")</f>
        <v>0</v>
      </c>
      <c r="D152" s="27" t="str">
        <f aca="false">IFERROR('📊 Risco por Setor'!F64,"")</f>
        <v>Baixo</v>
      </c>
      <c r="E152" s="20" t="s">
        <v>244</v>
      </c>
      <c r="F152" s="20" t="s">
        <v>245</v>
      </c>
      <c r="G152" s="27" t="s">
        <v>246</v>
      </c>
      <c r="H152" s="27" t="s">
        <v>241</v>
      </c>
      <c r="I152" s="20" t="s">
        <v>247</v>
      </c>
      <c r="J152" s="27" t="s">
        <v>243</v>
      </c>
    </row>
    <row r="153" customFormat="false" ht="42" hidden="false" customHeight="true" outlineLevel="0" collapsed="false">
      <c r="A153" s="23" t="n">
        <f aca="false">'📊 Risco por Setor'!$A$12</f>
        <v>0</v>
      </c>
      <c r="B153" s="23" t="str">
        <f aca="false">'📊 Risco por Setor'!B64</f>
        <v>Exigência Laboral</v>
      </c>
      <c r="C153" s="28" t="n">
        <f aca="false">IFERROR('📊 Risco por Setor'!E64,"")</f>
        <v>0</v>
      </c>
      <c r="D153" s="29" t="str">
        <f aca="false">IFERROR('📊 Risco por Setor'!F64,"")</f>
        <v>Baixo</v>
      </c>
      <c r="E153" s="23" t="s">
        <v>248</v>
      </c>
      <c r="F153" s="23" t="s">
        <v>249</v>
      </c>
      <c r="G153" s="29" t="s">
        <v>250</v>
      </c>
      <c r="H153" s="29" t="s">
        <v>251</v>
      </c>
      <c r="I153" s="23" t="s">
        <v>252</v>
      </c>
      <c r="J153" s="29" t="s">
        <v>243</v>
      </c>
    </row>
    <row r="154" customFormat="false" ht="42" hidden="false" customHeight="true" outlineLevel="0" collapsed="false">
      <c r="A154" s="20" t="n">
        <f aca="false">'📊 Risco por Setor'!$A$12</f>
        <v>0</v>
      </c>
      <c r="B154" s="20" t="str">
        <f aca="false">'📊 Risco por Setor'!B65</f>
        <v>Organização do Trabalho</v>
      </c>
      <c r="C154" s="26" t="n">
        <f aca="false">IFERROR('📊 Risco por Setor'!E65,"")</f>
        <v>0</v>
      </c>
      <c r="D154" s="27" t="str">
        <f aca="false">IFERROR('📊 Risco por Setor'!F65,"")</f>
        <v>Baixo</v>
      </c>
      <c r="E154" s="20" t="s">
        <v>253</v>
      </c>
      <c r="F154" s="20" t="s">
        <v>254</v>
      </c>
      <c r="G154" s="27" t="s">
        <v>255</v>
      </c>
      <c r="H154" s="27" t="s">
        <v>256</v>
      </c>
      <c r="I154" s="20" t="s">
        <v>257</v>
      </c>
      <c r="J154" s="27" t="s">
        <v>243</v>
      </c>
    </row>
    <row r="155" customFormat="false" ht="42" hidden="false" customHeight="true" outlineLevel="0" collapsed="false">
      <c r="A155" s="23" t="n">
        <f aca="false">'📊 Risco por Setor'!$A$12</f>
        <v>0</v>
      </c>
      <c r="B155" s="23" t="str">
        <f aca="false">'📊 Risco por Setor'!B65</f>
        <v>Organização do Trabalho</v>
      </c>
      <c r="C155" s="28" t="n">
        <f aca="false">IFERROR('📊 Risco por Setor'!E65,"")</f>
        <v>0</v>
      </c>
      <c r="D155" s="29" t="str">
        <f aca="false">IFERROR('📊 Risco por Setor'!F65,"")</f>
        <v>Baixo</v>
      </c>
      <c r="E155" s="23" t="s">
        <v>258</v>
      </c>
      <c r="F155" s="23" t="s">
        <v>259</v>
      </c>
      <c r="G155" s="29" t="s">
        <v>260</v>
      </c>
      <c r="H155" s="29" t="s">
        <v>241</v>
      </c>
      <c r="I155" s="23" t="s">
        <v>261</v>
      </c>
      <c r="J155" s="29" t="s">
        <v>243</v>
      </c>
    </row>
    <row r="156" customFormat="false" ht="42" hidden="false" customHeight="true" outlineLevel="0" collapsed="false">
      <c r="A156" s="20" t="n">
        <f aca="false">'📊 Risco por Setor'!$A$12</f>
        <v>0</v>
      </c>
      <c r="B156" s="20" t="str">
        <f aca="false">'📊 Risco por Setor'!B65</f>
        <v>Organização do Trabalho</v>
      </c>
      <c r="C156" s="26" t="n">
        <f aca="false">IFERROR('📊 Risco por Setor'!E65,"")</f>
        <v>0</v>
      </c>
      <c r="D156" s="27" t="str">
        <f aca="false">IFERROR('📊 Risco por Setor'!F65,"")</f>
        <v>Baixo</v>
      </c>
      <c r="E156" s="20" t="s">
        <v>262</v>
      </c>
      <c r="F156" s="20" t="s">
        <v>263</v>
      </c>
      <c r="G156" s="27" t="s">
        <v>255</v>
      </c>
      <c r="H156" s="27" t="s">
        <v>264</v>
      </c>
      <c r="I156" s="20" t="s">
        <v>265</v>
      </c>
      <c r="J156" s="27" t="s">
        <v>243</v>
      </c>
    </row>
    <row r="157" customFormat="false" ht="42" hidden="false" customHeight="true" outlineLevel="0" collapsed="false">
      <c r="A157" s="23" t="n">
        <f aca="false">'📊 Risco por Setor'!$A$12</f>
        <v>0</v>
      </c>
      <c r="B157" s="23" t="str">
        <f aca="false">'📊 Risco por Setor'!B66</f>
        <v>Relações Sociais e Liderança</v>
      </c>
      <c r="C157" s="28" t="n">
        <f aca="false">IFERROR('📊 Risco por Setor'!E66,"")</f>
        <v>0</v>
      </c>
      <c r="D157" s="29" t="str">
        <f aca="false">IFERROR('📊 Risco por Setor'!F66,"")</f>
        <v>Baixo</v>
      </c>
      <c r="E157" s="23" t="s">
        <v>266</v>
      </c>
      <c r="F157" s="23" t="s">
        <v>267</v>
      </c>
      <c r="G157" s="29" t="s">
        <v>268</v>
      </c>
      <c r="H157" s="29" t="s">
        <v>264</v>
      </c>
      <c r="I157" s="23" t="s">
        <v>269</v>
      </c>
      <c r="J157" s="29" t="s">
        <v>243</v>
      </c>
    </row>
    <row r="158" customFormat="false" ht="42" hidden="false" customHeight="true" outlineLevel="0" collapsed="false">
      <c r="A158" s="20" t="n">
        <f aca="false">'📊 Risco por Setor'!$A$12</f>
        <v>0</v>
      </c>
      <c r="B158" s="20" t="str">
        <f aca="false">'📊 Risco por Setor'!B66</f>
        <v>Relações Sociais e Liderança</v>
      </c>
      <c r="C158" s="26" t="n">
        <f aca="false">IFERROR('📊 Risco por Setor'!E66,"")</f>
        <v>0</v>
      </c>
      <c r="D158" s="27" t="str">
        <f aca="false">IFERROR('📊 Risco por Setor'!F66,"")</f>
        <v>Baixo</v>
      </c>
      <c r="E158" s="20" t="s">
        <v>270</v>
      </c>
      <c r="F158" s="20" t="s">
        <v>271</v>
      </c>
      <c r="G158" s="27" t="s">
        <v>246</v>
      </c>
      <c r="H158" s="27" t="s">
        <v>241</v>
      </c>
      <c r="I158" s="20" t="s">
        <v>272</v>
      </c>
      <c r="J158" s="27" t="s">
        <v>243</v>
      </c>
    </row>
    <row r="159" customFormat="false" ht="42" hidden="false" customHeight="true" outlineLevel="0" collapsed="false">
      <c r="A159" s="23" t="n">
        <f aca="false">'📊 Risco por Setor'!$A$12</f>
        <v>0</v>
      </c>
      <c r="B159" s="23" t="str">
        <f aca="false">'📊 Risco por Setor'!B66</f>
        <v>Relações Sociais e Liderança</v>
      </c>
      <c r="C159" s="28" t="n">
        <f aca="false">IFERROR('📊 Risco por Setor'!E66,"")</f>
        <v>0</v>
      </c>
      <c r="D159" s="29" t="str">
        <f aca="false">IFERROR('📊 Risco por Setor'!F66,"")</f>
        <v>Baixo</v>
      </c>
      <c r="E159" s="23" t="s">
        <v>273</v>
      </c>
      <c r="F159" s="23" t="s">
        <v>274</v>
      </c>
      <c r="G159" s="29" t="s">
        <v>250</v>
      </c>
      <c r="H159" s="29" t="s">
        <v>251</v>
      </c>
      <c r="I159" s="23" t="s">
        <v>275</v>
      </c>
      <c r="J159" s="29" t="s">
        <v>243</v>
      </c>
    </row>
    <row r="160" customFormat="false" ht="42" hidden="false" customHeight="true" outlineLevel="0" collapsed="false">
      <c r="A160" s="20" t="n">
        <f aca="false">'📊 Risco por Setor'!$A$12</f>
        <v>0</v>
      </c>
      <c r="B160" s="20" t="str">
        <f aca="false">'📊 Risco por Setor'!B67</f>
        <v>Personalidade / Valores</v>
      </c>
      <c r="C160" s="26" t="n">
        <f aca="false">IFERROR('📊 Risco por Setor'!E67,"")</f>
        <v>0</v>
      </c>
      <c r="D160" s="27" t="str">
        <f aca="false">IFERROR('📊 Risco por Setor'!F67,"")</f>
        <v>Baixo</v>
      </c>
      <c r="E160" s="20" t="s">
        <v>276</v>
      </c>
      <c r="F160" s="20" t="s">
        <v>277</v>
      </c>
      <c r="G160" s="27" t="s">
        <v>268</v>
      </c>
      <c r="H160" s="27" t="s">
        <v>264</v>
      </c>
      <c r="I160" s="20" t="s">
        <v>278</v>
      </c>
      <c r="J160" s="27" t="s">
        <v>243</v>
      </c>
    </row>
    <row r="161" customFormat="false" ht="42" hidden="false" customHeight="true" outlineLevel="0" collapsed="false">
      <c r="A161" s="23" t="n">
        <f aca="false">'📊 Risco por Setor'!$A$12</f>
        <v>0</v>
      </c>
      <c r="B161" s="23" t="str">
        <f aca="false">'📊 Risco por Setor'!B67</f>
        <v>Personalidade / Valores</v>
      </c>
      <c r="C161" s="28" t="n">
        <f aca="false">IFERROR('📊 Risco por Setor'!E67,"")</f>
        <v>0</v>
      </c>
      <c r="D161" s="29" t="str">
        <f aca="false">IFERROR('📊 Risco por Setor'!F67,"")</f>
        <v>Baixo</v>
      </c>
      <c r="E161" s="23" t="s">
        <v>279</v>
      </c>
      <c r="F161" s="23" t="s">
        <v>280</v>
      </c>
      <c r="G161" s="29" t="s">
        <v>255</v>
      </c>
      <c r="H161" s="29" t="s">
        <v>241</v>
      </c>
      <c r="I161" s="23" t="s">
        <v>281</v>
      </c>
      <c r="J161" s="29" t="s">
        <v>243</v>
      </c>
    </row>
    <row r="162" customFormat="false" ht="42" hidden="false" customHeight="true" outlineLevel="0" collapsed="false">
      <c r="A162" s="20" t="n">
        <f aca="false">'📊 Risco por Setor'!$A$12</f>
        <v>0</v>
      </c>
      <c r="B162" s="20" t="str">
        <f aca="false">'📊 Risco por Setor'!B67</f>
        <v>Personalidade / Valores</v>
      </c>
      <c r="C162" s="26" t="n">
        <f aca="false">IFERROR('📊 Risco por Setor'!E67,"")</f>
        <v>0</v>
      </c>
      <c r="D162" s="27" t="str">
        <f aca="false">IFERROR('📊 Risco por Setor'!F67,"")</f>
        <v>Baixo</v>
      </c>
      <c r="E162" s="20" t="s">
        <v>282</v>
      </c>
      <c r="F162" s="20" t="s">
        <v>283</v>
      </c>
      <c r="G162" s="27" t="s">
        <v>240</v>
      </c>
      <c r="H162" s="27" t="s">
        <v>241</v>
      </c>
      <c r="I162" s="20" t="s">
        <v>284</v>
      </c>
      <c r="J162" s="27" t="s">
        <v>243</v>
      </c>
    </row>
    <row r="163" customFormat="false" ht="42" hidden="false" customHeight="true" outlineLevel="0" collapsed="false">
      <c r="A163" s="23" t="n">
        <f aca="false">'📊 Risco por Setor'!$A$12</f>
        <v>0</v>
      </c>
      <c r="B163" s="23" t="str">
        <f aca="false">'📊 Risco por Setor'!B68</f>
        <v>Interface Indivíduo-Trabalho</v>
      </c>
      <c r="C163" s="28" t="n">
        <f aca="false">IFERROR('📊 Risco por Setor'!E68,"")</f>
        <v>0</v>
      </c>
      <c r="D163" s="29" t="str">
        <f aca="false">IFERROR('📊 Risco por Setor'!F68,"")</f>
        <v>Baixo</v>
      </c>
      <c r="E163" s="23" t="s">
        <v>285</v>
      </c>
      <c r="F163" s="23" t="s">
        <v>286</v>
      </c>
      <c r="G163" s="29" t="s">
        <v>268</v>
      </c>
      <c r="H163" s="29" t="s">
        <v>256</v>
      </c>
      <c r="I163" s="23" t="s">
        <v>287</v>
      </c>
      <c r="J163" s="29" t="s">
        <v>243</v>
      </c>
    </row>
    <row r="164" customFormat="false" ht="42" hidden="false" customHeight="true" outlineLevel="0" collapsed="false">
      <c r="A164" s="20" t="n">
        <f aca="false">'📊 Risco por Setor'!$A$12</f>
        <v>0</v>
      </c>
      <c r="B164" s="20" t="str">
        <f aca="false">'📊 Risco por Setor'!B68</f>
        <v>Interface Indivíduo-Trabalho</v>
      </c>
      <c r="C164" s="26" t="n">
        <f aca="false">IFERROR('📊 Risco por Setor'!E68,"")</f>
        <v>0</v>
      </c>
      <c r="D164" s="27" t="str">
        <f aca="false">IFERROR('📊 Risco por Setor'!F68,"")</f>
        <v>Baixo</v>
      </c>
      <c r="E164" s="20" t="s">
        <v>288</v>
      </c>
      <c r="F164" s="20" t="s">
        <v>289</v>
      </c>
      <c r="G164" s="27" t="s">
        <v>290</v>
      </c>
      <c r="H164" s="27" t="s">
        <v>251</v>
      </c>
      <c r="I164" s="20" t="s">
        <v>291</v>
      </c>
      <c r="J164" s="27" t="s">
        <v>243</v>
      </c>
    </row>
    <row r="165" customFormat="false" ht="42" hidden="false" customHeight="true" outlineLevel="0" collapsed="false">
      <c r="A165" s="23" t="n">
        <f aca="false">'📊 Risco por Setor'!$A$12</f>
        <v>0</v>
      </c>
      <c r="B165" s="23" t="str">
        <f aca="false">'📊 Risco por Setor'!B68</f>
        <v>Interface Indivíduo-Trabalho</v>
      </c>
      <c r="C165" s="28" t="n">
        <f aca="false">IFERROR('📊 Risco por Setor'!E68,"")</f>
        <v>0</v>
      </c>
      <c r="D165" s="29" t="str">
        <f aca="false">IFERROR('📊 Risco por Setor'!F68,"")</f>
        <v>Baixo</v>
      </c>
      <c r="E165" s="23" t="s">
        <v>292</v>
      </c>
      <c r="F165" s="23" t="s">
        <v>293</v>
      </c>
      <c r="G165" s="29" t="s">
        <v>246</v>
      </c>
      <c r="H165" s="29" t="s">
        <v>264</v>
      </c>
      <c r="I165" s="23" t="s">
        <v>294</v>
      </c>
      <c r="J165" s="29" t="s">
        <v>243</v>
      </c>
    </row>
    <row r="166" customFormat="false" ht="42" hidden="false" customHeight="true" outlineLevel="0" collapsed="false">
      <c r="A166" s="20" t="n">
        <f aca="false">'📊 Risco por Setor'!$A$12</f>
        <v>0</v>
      </c>
      <c r="B166" s="20" t="str">
        <f aca="false">'📊 Risco por Setor'!B69</f>
        <v>Saúde e Bem-Estar</v>
      </c>
      <c r="C166" s="26" t="n">
        <f aca="false">IFERROR('📊 Risco por Setor'!E69,"")</f>
        <v>0</v>
      </c>
      <c r="D166" s="27" t="str">
        <f aca="false">IFERROR('📊 Risco por Setor'!F69,"")</f>
        <v>Baixo</v>
      </c>
      <c r="E166" s="20" t="s">
        <v>295</v>
      </c>
      <c r="F166" s="20" t="s">
        <v>296</v>
      </c>
      <c r="G166" s="27" t="s">
        <v>297</v>
      </c>
      <c r="H166" s="27" t="s">
        <v>241</v>
      </c>
      <c r="I166" s="20" t="s">
        <v>298</v>
      </c>
      <c r="J166" s="27" t="s">
        <v>243</v>
      </c>
    </row>
    <row r="167" customFormat="false" ht="42" hidden="false" customHeight="true" outlineLevel="0" collapsed="false">
      <c r="A167" s="23" t="n">
        <f aca="false">'📊 Risco por Setor'!$A$12</f>
        <v>0</v>
      </c>
      <c r="B167" s="23" t="str">
        <f aca="false">'📊 Risco por Setor'!B69</f>
        <v>Saúde e Bem-Estar</v>
      </c>
      <c r="C167" s="28" t="n">
        <f aca="false">IFERROR('📊 Risco por Setor'!E69,"")</f>
        <v>0</v>
      </c>
      <c r="D167" s="29" t="str">
        <f aca="false">IFERROR('📊 Risco por Setor'!F69,"")</f>
        <v>Baixo</v>
      </c>
      <c r="E167" s="23" t="s">
        <v>299</v>
      </c>
      <c r="F167" s="23" t="s">
        <v>300</v>
      </c>
      <c r="G167" s="29" t="s">
        <v>250</v>
      </c>
      <c r="H167" s="29" t="s">
        <v>251</v>
      </c>
      <c r="I167" s="23" t="s">
        <v>301</v>
      </c>
      <c r="J167" s="29" t="s">
        <v>243</v>
      </c>
    </row>
    <row r="168" customFormat="false" ht="42" hidden="false" customHeight="true" outlineLevel="0" collapsed="false">
      <c r="A168" s="20" t="n">
        <f aca="false">'📊 Risco por Setor'!$A$12</f>
        <v>0</v>
      </c>
      <c r="B168" s="20" t="str">
        <f aca="false">'📊 Risco por Setor'!B69</f>
        <v>Saúde e Bem-Estar</v>
      </c>
      <c r="C168" s="26" t="n">
        <f aca="false">IFERROR('📊 Risco por Setor'!E69,"")</f>
        <v>0</v>
      </c>
      <c r="D168" s="27" t="str">
        <f aca="false">IFERROR('📊 Risco por Setor'!F69,"")</f>
        <v>Baixo</v>
      </c>
      <c r="E168" s="20" t="s">
        <v>302</v>
      </c>
      <c r="F168" s="20" t="s">
        <v>303</v>
      </c>
      <c r="G168" s="27" t="s">
        <v>304</v>
      </c>
      <c r="H168" s="27" t="s">
        <v>241</v>
      </c>
      <c r="I168" s="20" t="s">
        <v>305</v>
      </c>
      <c r="J168" s="27" t="s">
        <v>243</v>
      </c>
    </row>
    <row r="169" customFormat="false" ht="42" hidden="false" customHeight="true" outlineLevel="0" collapsed="false">
      <c r="A169" s="23" t="n">
        <f aca="false">'📊 Risco por Setor'!$A$12</f>
        <v>0</v>
      </c>
      <c r="B169" s="23" t="str">
        <f aca="false">'📊 Risco por Setor'!B70</f>
        <v>Comportamentos Ofensivos</v>
      </c>
      <c r="C169" s="28" t="n">
        <f aca="false">IFERROR('📊 Risco por Setor'!E70,"")</f>
        <v>0</v>
      </c>
      <c r="D169" s="29" t="str">
        <f aca="false">IFERROR('📊 Risco por Setor'!F70,"")</f>
        <v>Baixo</v>
      </c>
      <c r="E169" s="23" t="s">
        <v>306</v>
      </c>
      <c r="F169" s="23" t="s">
        <v>307</v>
      </c>
      <c r="G169" s="29" t="s">
        <v>308</v>
      </c>
      <c r="H169" s="29" t="s">
        <v>309</v>
      </c>
      <c r="I169" s="23" t="s">
        <v>310</v>
      </c>
      <c r="J169" s="29" t="s">
        <v>243</v>
      </c>
    </row>
    <row r="170" customFormat="false" ht="42" hidden="false" customHeight="true" outlineLevel="0" collapsed="false">
      <c r="A170" s="20" t="n">
        <f aca="false">'📊 Risco por Setor'!$A$12</f>
        <v>0</v>
      </c>
      <c r="B170" s="20" t="str">
        <f aca="false">'📊 Risco por Setor'!B70</f>
        <v>Comportamentos Ofensivos</v>
      </c>
      <c r="C170" s="26" t="n">
        <f aca="false">IFERROR('📊 Risco por Setor'!E70,"")</f>
        <v>0</v>
      </c>
      <c r="D170" s="27" t="str">
        <f aca="false">IFERROR('📊 Risco por Setor'!F70,"")</f>
        <v>Baixo</v>
      </c>
      <c r="E170" s="20" t="s">
        <v>311</v>
      </c>
      <c r="F170" s="20" t="s">
        <v>312</v>
      </c>
      <c r="G170" s="27" t="s">
        <v>255</v>
      </c>
      <c r="H170" s="27" t="s">
        <v>313</v>
      </c>
      <c r="I170" s="20" t="s">
        <v>314</v>
      </c>
      <c r="J170" s="27" t="s">
        <v>243</v>
      </c>
    </row>
    <row r="171" customFormat="false" ht="42" hidden="false" customHeight="true" outlineLevel="0" collapsed="false">
      <c r="A171" s="23" t="n">
        <f aca="false">'📊 Risco por Setor'!$A$12</f>
        <v>0</v>
      </c>
      <c r="B171" s="23" t="str">
        <f aca="false">'📊 Risco por Setor'!B70</f>
        <v>Comportamentos Ofensivos</v>
      </c>
      <c r="C171" s="28" t="n">
        <f aca="false">IFERROR('📊 Risco por Setor'!E70,"")</f>
        <v>0</v>
      </c>
      <c r="D171" s="29" t="str">
        <f aca="false">IFERROR('📊 Risco por Setor'!F70,"")</f>
        <v>Baixo</v>
      </c>
      <c r="E171" s="23" t="s">
        <v>315</v>
      </c>
      <c r="F171" s="23" t="s">
        <v>316</v>
      </c>
      <c r="G171" s="29" t="s">
        <v>317</v>
      </c>
      <c r="H171" s="29" t="s">
        <v>313</v>
      </c>
      <c r="I171" s="23" t="s">
        <v>318</v>
      </c>
      <c r="J171" s="29" t="s">
        <v>243</v>
      </c>
    </row>
  </sheetData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J4:J171" type="list">
      <formula1>"Pendente,Em Andamento,Concluído,Cancelado"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55"/>
  </cols>
  <sheetData>
    <row r="1" customFormat="false" ht="25.5" hidden="false" customHeight="true" outlineLevel="0" collapsed="false">
      <c r="A1" s="6" t="s">
        <v>319</v>
      </c>
      <c r="B1" s="6"/>
      <c r="C1" s="6"/>
      <c r="D1" s="6"/>
    </row>
    <row r="3" customFormat="false" ht="15" hidden="false" customHeight="true" outlineLevel="0" collapsed="false">
      <c r="A3" s="7" t="s">
        <v>320</v>
      </c>
      <c r="B3" s="7" t="s">
        <v>321</v>
      </c>
      <c r="C3" s="7" t="s">
        <v>322</v>
      </c>
      <c r="D3" s="7"/>
    </row>
    <row r="4" customFormat="false" ht="18" hidden="false" customHeight="true" outlineLevel="0" collapsed="false">
      <c r="A4" s="30" t="s">
        <v>323</v>
      </c>
      <c r="B4" s="31" t="s">
        <v>324</v>
      </c>
      <c r="C4" s="32" t="s">
        <v>325</v>
      </c>
      <c r="D4" s="32"/>
    </row>
    <row r="5" customFormat="false" ht="18" hidden="false" customHeight="true" outlineLevel="0" collapsed="false">
      <c r="A5" s="33" t="s">
        <v>326</v>
      </c>
      <c r="B5" s="31" t="s">
        <v>327</v>
      </c>
      <c r="C5" s="32" t="s">
        <v>328</v>
      </c>
      <c r="D5" s="32"/>
    </row>
    <row r="6" customFormat="false" ht="18" hidden="false" customHeight="true" outlineLevel="0" collapsed="false">
      <c r="A6" s="34" t="s">
        <v>329</v>
      </c>
      <c r="B6" s="31" t="s">
        <v>330</v>
      </c>
      <c r="C6" s="32" t="s">
        <v>331</v>
      </c>
      <c r="D6" s="32"/>
    </row>
    <row r="7" customFormat="false" ht="18" hidden="false" customHeight="true" outlineLevel="0" collapsed="false">
      <c r="A7" s="35" t="s">
        <v>332</v>
      </c>
      <c r="B7" s="31" t="s">
        <v>333</v>
      </c>
      <c r="C7" s="32" t="s">
        <v>334</v>
      </c>
      <c r="D7" s="32"/>
    </row>
    <row r="9" customFormat="false" ht="15" hidden="false" customHeight="false" outlineLevel="0" collapsed="false">
      <c r="A9" s="36" t="s">
        <v>335</v>
      </c>
      <c r="B9" s="36"/>
      <c r="C9" s="36"/>
      <c r="D9" s="36"/>
    </row>
    <row r="10" customFormat="false" ht="15.75" hidden="false" customHeight="true" outlineLevel="0" collapsed="false">
      <c r="A10" s="37" t="s">
        <v>336</v>
      </c>
      <c r="B10" s="37"/>
      <c r="C10" s="37"/>
      <c r="D10" s="37"/>
    </row>
    <row r="11" customFormat="false" ht="15.75" hidden="false" customHeight="true" outlineLevel="0" collapsed="false">
      <c r="A11" s="37" t="s">
        <v>337</v>
      </c>
      <c r="B11" s="37"/>
      <c r="C11" s="37"/>
      <c r="D11" s="37"/>
    </row>
    <row r="12" customFormat="false" ht="15.75" hidden="false" customHeight="true" outlineLevel="0" collapsed="false">
      <c r="A12" s="37" t="s">
        <v>338</v>
      </c>
      <c r="B12" s="37"/>
      <c r="C12" s="37"/>
      <c r="D12" s="37"/>
    </row>
    <row r="13" customFormat="false" ht="15.75" hidden="false" customHeight="true" outlineLevel="0" collapsed="false">
      <c r="A13" s="37" t="s">
        <v>339</v>
      </c>
      <c r="B13" s="37"/>
      <c r="C13" s="37"/>
      <c r="D13" s="37"/>
    </row>
    <row r="14" customFormat="false" ht="15.75" hidden="false" customHeight="true" outlineLevel="0" collapsed="false">
      <c r="A14" s="37" t="s">
        <v>340</v>
      </c>
      <c r="B14" s="37"/>
      <c r="C14" s="37"/>
      <c r="D14" s="37"/>
    </row>
    <row r="15" customFormat="false" ht="15.75" hidden="false" customHeight="true" outlineLevel="0" collapsed="false">
      <c r="A15" s="37" t="s">
        <v>341</v>
      </c>
      <c r="B15" s="37"/>
      <c r="C15" s="37"/>
      <c r="D15" s="37"/>
    </row>
    <row r="16" customFormat="false" ht="15.75" hidden="false" customHeight="true" outlineLevel="0" collapsed="false">
      <c r="A16" s="37" t="s">
        <v>342</v>
      </c>
      <c r="B16" s="37"/>
      <c r="C16" s="37"/>
      <c r="D16" s="37"/>
    </row>
    <row r="17" customFormat="false" ht="15.75" hidden="false" customHeight="true" outlineLevel="0" collapsed="false">
      <c r="A17" s="37" t="s">
        <v>343</v>
      </c>
      <c r="B17" s="37"/>
      <c r="C17" s="37"/>
      <c r="D17" s="37"/>
    </row>
  </sheetData>
  <mergeCells count="15">
    <mergeCell ref="A1:D1"/>
    <mergeCell ref="C3:D3"/>
    <mergeCell ref="C4:D4"/>
    <mergeCell ref="C5:D5"/>
    <mergeCell ref="C6:D6"/>
    <mergeCell ref="C7:D7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2026-05-29T16:14:51Z</dcterms:created>
  <dc:creator>openpyxl</dc:creator>
  <dc:description/>
  <dc:language>en-US</dc:language>
  <cp:lastModifiedBy/>
  <dcterms:modified xsi:type="dcterms:W3CDTF">2026-05-29T16:14:55Z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